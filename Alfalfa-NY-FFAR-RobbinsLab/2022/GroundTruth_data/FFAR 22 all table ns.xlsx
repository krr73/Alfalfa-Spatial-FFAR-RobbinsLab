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g663/FFAR-Alfalfa-NY-DG/2022/GroundTruth_data/"/>
    </mc:Choice>
  </mc:AlternateContent>
  <xr:revisionPtr revIDLastSave="0" documentId="13_ncr:1_{D1B80FE7-5673-443D-AF90-DC2879E2A12F}" xr6:coauthVersionLast="47" xr6:coauthVersionMax="47" xr10:uidLastSave="{00000000-0000-0000-0000-000000000000}"/>
  <bookViews>
    <workbookView xWindow="5240" yWindow="3260" windowWidth="21600" windowHeight="12740" xr2:uid="{6BEB3E6F-7C31-463D-82E6-5CE06CDE13AC}"/>
  </bookViews>
  <sheets>
    <sheet name="first production ye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0" i="1" l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5" i="1"/>
</calcChain>
</file>

<file path=xl/sharedStrings.xml><?xml version="1.0" encoding="utf-8"?>
<sst xmlns="http://schemas.openxmlformats.org/spreadsheetml/2006/main" count="118" uniqueCount="67">
  <si>
    <t>FFAR Alfalfa Trial planted at Musgrave Research Farm in Aurora NY in May 2021</t>
  </si>
  <si>
    <t>First production year summary</t>
  </si>
  <si>
    <t>Entry no.</t>
  </si>
  <si>
    <t>Har. 1</t>
  </si>
  <si>
    <t>Har. 2</t>
  </si>
  <si>
    <t>Total 2022</t>
  </si>
  <si>
    <t>Har .3</t>
  </si>
  <si>
    <t>SW4412Y</t>
  </si>
  <si>
    <t>AmeriStand 427 TQ</t>
  </si>
  <si>
    <t>Vernal</t>
  </si>
  <si>
    <t>Hi-Gest 360</t>
  </si>
  <si>
    <t>55V50</t>
  </si>
  <si>
    <t>Pluss III</t>
  </si>
  <si>
    <t>WL 358LH</t>
  </si>
  <si>
    <t>NY1614</t>
  </si>
  <si>
    <t>Lander</t>
  </si>
  <si>
    <t>Lightning Bolt</t>
  </si>
  <si>
    <t>N-R-Gee</t>
  </si>
  <si>
    <t>SW4602Z</t>
  </si>
  <si>
    <t>Oneida VR</t>
  </si>
  <si>
    <t>Regen</t>
  </si>
  <si>
    <t>NY2003</t>
  </si>
  <si>
    <t>NY0651</t>
  </si>
  <si>
    <t>NY1517</t>
  </si>
  <si>
    <t>Seedway 9558</t>
  </si>
  <si>
    <t>AlfaBar</t>
  </si>
  <si>
    <t>SW4107</t>
  </si>
  <si>
    <t>Guardsman II</t>
  </si>
  <si>
    <t>SW315 LH</t>
  </si>
  <si>
    <t>Seedway 9558 SBR</t>
  </si>
  <si>
    <t>FSG 415BR</t>
  </si>
  <si>
    <t>NY1615</t>
  </si>
  <si>
    <t>Rebound 6XT</t>
  </si>
  <si>
    <t>NY0465</t>
  </si>
  <si>
    <t>WL 349HQ</t>
  </si>
  <si>
    <t>FSG 421LH</t>
  </si>
  <si>
    <t>SW3407</t>
  </si>
  <si>
    <t>SW5606</t>
  </si>
  <si>
    <t>Ezra</t>
  </si>
  <si>
    <t>SW5210</t>
  </si>
  <si>
    <t>Persist III</t>
  </si>
  <si>
    <t>Algonquin</t>
  </si>
  <si>
    <t>Oneida Ultra</t>
  </si>
  <si>
    <t>Cultivar/Population</t>
  </si>
  <si>
    <t>Trial Mean</t>
  </si>
  <si>
    <t>Error squared</t>
  </si>
  <si>
    <t>df</t>
  </si>
  <si>
    <t>CV</t>
  </si>
  <si>
    <t>F-entry</t>
  </si>
  <si>
    <t>2.92**</t>
  </si>
  <si>
    <t>1.60 *</t>
  </si>
  <si>
    <t>1.49 ns</t>
  </si>
  <si>
    <t>2.56 **</t>
  </si>
  <si>
    <t>LSD (0.05)</t>
  </si>
  <si>
    <t>Rank</t>
  </si>
  <si>
    <t>FFAR Alfalfa Trial planted at Campus Area Farms in Ithaca in May 2021</t>
  </si>
  <si>
    <t>4.62 **</t>
  </si>
  <si>
    <t>3.53 **</t>
  </si>
  <si>
    <t>5.71 **</t>
  </si>
  <si>
    <t>4.74 **</t>
  </si>
  <si>
    <t>Samples for Forage Quality:</t>
  </si>
  <si>
    <t>Sampled 2 replicates * 36 entries on June 3</t>
  </si>
  <si>
    <t>Sampled 2 replicates * 36 entries on June 13</t>
  </si>
  <si>
    <t>Sampled 2 replicates * 36 entries on July 21</t>
  </si>
  <si>
    <t>Sampled 2 replicates * 36 entries on July 27</t>
  </si>
  <si>
    <t>Sampled 2 replicates * 6 entries on Sept. 20</t>
  </si>
  <si>
    <t>Sampled 2 replicates * 6 entries on Sept.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</si>
</sst>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[$-409]d\-mm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2" fontId="2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" fontId="1" fillId="0" borderId="1" xfId="0" applyNumberFormat="1" applyFont="1" applyBorder="1" applyAlignment="1">
      <alignment horizontal="center"/>
    </xf>
    <xf numFmtId="166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3E778-5233-4BCB-8AEF-E41EB57EA8D9}">
  <dimension ref="A1:O55"/>
  <sheetViews>
    <sheetView tabSelected="1" workbookViewId="0">
      <selection activeCell="F8" sqref="F8"/>
    </sheetView>
  </sheetViews>
  <sheetFormatPr baseColWidth="10" defaultColWidth="8.83203125" defaultRowHeight="15" x14ac:dyDescent="0.2"/>
  <cols>
    <col min="1" max="1" width="9.33203125" style="3" bestFit="1" customWidth="1"/>
    <col min="2" max="2" width="19.33203125" style="3" customWidth="1"/>
    <col min="3" max="3" width="9.33203125" style="2" bestFit="1" customWidth="1"/>
    <col min="4" max="4" width="13.5" style="2" bestFit="1" customWidth="1"/>
    <col min="5" max="5" width="9.33203125" style="2" bestFit="1" customWidth="1"/>
    <col min="6" max="6" width="13.5" style="2" bestFit="1" customWidth="1"/>
    <col min="7" max="7" width="9.1640625" style="9"/>
    <col min="9" max="9" width="8.5" customWidth="1"/>
    <col min="10" max="10" width="20" customWidth="1"/>
  </cols>
  <sheetData>
    <row r="1" spans="1:15" x14ac:dyDescent="0.2">
      <c r="A1" t="s">
        <v>0</v>
      </c>
      <c r="B1"/>
      <c r="I1" t="s">
        <v>55</v>
      </c>
    </row>
    <row r="2" spans="1:15" x14ac:dyDescent="0.2">
      <c r="A2" s="4" t="s">
        <v>1</v>
      </c>
      <c r="B2" s="4"/>
      <c r="I2" s="4" t="s">
        <v>1</v>
      </c>
    </row>
    <row r="3" spans="1:15" x14ac:dyDescent="0.2">
      <c r="C3" s="12">
        <v>45083</v>
      </c>
      <c r="D3" s="12">
        <v>45128</v>
      </c>
      <c r="E3" s="12">
        <v>45189</v>
      </c>
      <c r="K3" s="12">
        <v>45091</v>
      </c>
      <c r="L3" s="12">
        <v>45134</v>
      </c>
      <c r="M3" s="12">
        <v>45185</v>
      </c>
    </row>
    <row r="4" spans="1:15" x14ac:dyDescent="0.2">
      <c r="A4" s="6" t="s">
        <v>2</v>
      </c>
      <c r="B4" s="6" t="s">
        <v>43</v>
      </c>
      <c r="C4" s="7" t="s">
        <v>3</v>
      </c>
      <c r="D4" s="7" t="s">
        <v>4</v>
      </c>
      <c r="E4" s="7" t="s">
        <v>6</v>
      </c>
      <c r="F4" s="7" t="s">
        <v>5</v>
      </c>
      <c r="G4" s="11" t="s">
        <v>54</v>
      </c>
      <c r="I4" s="6" t="s">
        <v>2</v>
      </c>
      <c r="J4" s="6" t="s">
        <v>43</v>
      </c>
      <c r="K4" s="7" t="s">
        <v>3</v>
      </c>
      <c r="L4" s="7" t="s">
        <v>4</v>
      </c>
      <c r="M4" s="7" t="s">
        <v>6</v>
      </c>
      <c r="N4" s="7" t="s">
        <v>5</v>
      </c>
      <c r="O4" s="11" t="s">
        <v>54</v>
      </c>
    </row>
    <row r="5" spans="1:15" x14ac:dyDescent="0.2">
      <c r="A5" s="5">
        <v>1</v>
      </c>
      <c r="B5" t="s">
        <v>27</v>
      </c>
      <c r="C5" s="1">
        <v>1.845</v>
      </c>
      <c r="D5" s="1">
        <v>0.81499999999999995</v>
      </c>
      <c r="E5" s="1">
        <v>0.56000000000000005</v>
      </c>
      <c r="F5" s="1">
        <v>3.22</v>
      </c>
      <c r="G5" s="9">
        <f>RANK(F5,F$5:F$40)</f>
        <v>12</v>
      </c>
      <c r="I5" s="5">
        <v>1</v>
      </c>
      <c r="J5" t="s">
        <v>27</v>
      </c>
      <c r="K5" s="2">
        <v>2.0024999999999999</v>
      </c>
      <c r="L5" s="2">
        <v>1.9575</v>
      </c>
      <c r="M5" s="2">
        <v>1.395</v>
      </c>
      <c r="N5" s="2">
        <v>5.36</v>
      </c>
      <c r="O5" s="9">
        <f>RANK(N5,N$5:N$40)</f>
        <v>10</v>
      </c>
    </row>
    <row r="6" spans="1:15" x14ac:dyDescent="0.2">
      <c r="A6" s="5">
        <v>2</v>
      </c>
      <c r="B6" t="s">
        <v>20</v>
      </c>
      <c r="C6" s="1">
        <v>1.9225000000000001</v>
      </c>
      <c r="D6" s="1">
        <v>0.96013733000000001</v>
      </c>
      <c r="E6" s="1">
        <v>0.6</v>
      </c>
      <c r="F6" s="1">
        <v>3.54122059</v>
      </c>
      <c r="G6" s="9">
        <f t="shared" ref="G6:G40" si="0">RANK(F6,F$5:F$40)</f>
        <v>3</v>
      </c>
      <c r="I6" s="5">
        <v>2</v>
      </c>
      <c r="J6" t="s">
        <v>20</v>
      </c>
      <c r="K6" s="2">
        <v>2.27</v>
      </c>
      <c r="L6" s="2">
        <v>1.99</v>
      </c>
      <c r="M6" s="2">
        <v>1.4975000000000001</v>
      </c>
      <c r="N6" s="2">
        <v>5.7549999999999999</v>
      </c>
      <c r="O6" s="9">
        <f t="shared" ref="O6:O40" si="1">RANK(N6,N$5:N$40)</f>
        <v>1</v>
      </c>
    </row>
    <row r="7" spans="1:15" x14ac:dyDescent="0.2">
      <c r="A7" s="5">
        <v>3</v>
      </c>
      <c r="B7" t="s">
        <v>29</v>
      </c>
      <c r="C7" s="1">
        <v>1.845</v>
      </c>
      <c r="D7" s="1">
        <v>0.8175</v>
      </c>
      <c r="E7" s="1">
        <v>0.55500000000000005</v>
      </c>
      <c r="F7" s="1">
        <v>3.2174999999999998</v>
      </c>
      <c r="G7" s="9">
        <f t="shared" si="0"/>
        <v>14</v>
      </c>
      <c r="I7" s="5">
        <v>3</v>
      </c>
      <c r="J7" t="s">
        <v>29</v>
      </c>
      <c r="K7" s="2">
        <v>1.8574999999999999</v>
      </c>
      <c r="L7" s="2">
        <v>1.5549999999999999</v>
      </c>
      <c r="M7" s="2">
        <v>1.2424999999999999</v>
      </c>
      <c r="N7" s="2">
        <v>4.6524999999999999</v>
      </c>
      <c r="O7" s="9">
        <f t="shared" si="1"/>
        <v>31</v>
      </c>
    </row>
    <row r="8" spans="1:15" x14ac:dyDescent="0.2">
      <c r="A8" s="5">
        <v>4</v>
      </c>
      <c r="B8" t="s">
        <v>9</v>
      </c>
      <c r="C8" s="1">
        <v>1.3875</v>
      </c>
      <c r="D8" s="1">
        <v>0.65974241</v>
      </c>
      <c r="E8" s="1">
        <v>0.54</v>
      </c>
      <c r="F8" s="1">
        <v>2.5729535100000001</v>
      </c>
      <c r="G8" s="9">
        <f t="shared" si="0"/>
        <v>35</v>
      </c>
      <c r="I8" s="5">
        <v>4</v>
      </c>
      <c r="J8" t="s">
        <v>9</v>
      </c>
      <c r="K8" s="2">
        <v>1.77</v>
      </c>
      <c r="L8" s="2">
        <v>1.605</v>
      </c>
      <c r="M8" s="2">
        <v>1.3075000000000001</v>
      </c>
      <c r="N8" s="2">
        <v>4.68</v>
      </c>
      <c r="O8" s="9">
        <f t="shared" si="1"/>
        <v>30</v>
      </c>
    </row>
    <row r="9" spans="1:15" x14ac:dyDescent="0.2">
      <c r="A9" s="5">
        <v>5</v>
      </c>
      <c r="B9" t="s">
        <v>34</v>
      </c>
      <c r="C9" s="1">
        <v>1.6025</v>
      </c>
      <c r="D9" s="1">
        <v>0.78249999999999997</v>
      </c>
      <c r="E9" s="1">
        <v>0.54</v>
      </c>
      <c r="F9" s="1">
        <v>2.9249999999999998</v>
      </c>
      <c r="G9" s="9">
        <f t="shared" si="0"/>
        <v>28</v>
      </c>
      <c r="I9" s="5">
        <v>5</v>
      </c>
      <c r="J9" t="s">
        <v>34</v>
      </c>
      <c r="K9" s="2">
        <v>1.8097169799999999</v>
      </c>
      <c r="L9" s="2">
        <v>1.7787264199999999</v>
      </c>
      <c r="M9" s="2">
        <v>1.21417453</v>
      </c>
      <c r="N9" s="2">
        <v>4.8023820800000001</v>
      </c>
      <c r="O9" s="9">
        <f t="shared" si="1"/>
        <v>26</v>
      </c>
    </row>
    <row r="10" spans="1:15" x14ac:dyDescent="0.2">
      <c r="A10" s="5">
        <v>6</v>
      </c>
      <c r="B10" t="s">
        <v>37</v>
      </c>
      <c r="C10" s="1">
        <v>1.7250000000000001</v>
      </c>
      <c r="D10" s="1">
        <v>0.7</v>
      </c>
      <c r="E10" s="1">
        <v>0.45750000000000002</v>
      </c>
      <c r="F10" s="1">
        <v>2.8849999999999998</v>
      </c>
      <c r="G10" s="9">
        <f t="shared" si="0"/>
        <v>30</v>
      </c>
      <c r="I10" s="5">
        <v>6</v>
      </c>
      <c r="J10" t="s">
        <v>37</v>
      </c>
      <c r="K10" s="2">
        <v>1.8325</v>
      </c>
      <c r="L10" s="2">
        <v>1.77</v>
      </c>
      <c r="M10" s="2">
        <v>1.2549999999999999</v>
      </c>
      <c r="N10" s="2">
        <v>4.8499999999999996</v>
      </c>
      <c r="O10" s="9">
        <f t="shared" si="1"/>
        <v>24</v>
      </c>
    </row>
    <row r="11" spans="1:15" x14ac:dyDescent="0.2">
      <c r="A11" s="5">
        <v>7</v>
      </c>
      <c r="B11" t="s">
        <v>17</v>
      </c>
      <c r="C11" s="1">
        <v>1.7250000000000001</v>
      </c>
      <c r="D11" s="1">
        <v>0.75749999999999995</v>
      </c>
      <c r="E11" s="1">
        <v>0.47499999999999998</v>
      </c>
      <c r="F11" s="1">
        <v>2.9550000000000001</v>
      </c>
      <c r="G11" s="9">
        <f t="shared" si="0"/>
        <v>26</v>
      </c>
      <c r="I11" s="5">
        <v>7</v>
      </c>
      <c r="J11" t="s">
        <v>17</v>
      </c>
      <c r="K11" s="2">
        <v>1.8274999999999999</v>
      </c>
      <c r="L11" s="2">
        <v>1.8374999999999999</v>
      </c>
      <c r="M11" s="2">
        <v>1.2725</v>
      </c>
      <c r="N11" s="2">
        <v>4.9400000000000004</v>
      </c>
      <c r="O11" s="9">
        <f t="shared" si="1"/>
        <v>21</v>
      </c>
    </row>
    <row r="12" spans="1:15" x14ac:dyDescent="0.2">
      <c r="A12" s="5">
        <v>8</v>
      </c>
      <c r="B12" t="s">
        <v>36</v>
      </c>
      <c r="C12" s="1">
        <v>1.7849999999999999</v>
      </c>
      <c r="D12" s="1">
        <v>0.82746332</v>
      </c>
      <c r="E12" s="1">
        <v>0.59250000000000003</v>
      </c>
      <c r="F12" s="1">
        <v>3.3035295100000002</v>
      </c>
      <c r="G12" s="9">
        <f t="shared" si="0"/>
        <v>9</v>
      </c>
      <c r="I12" s="5">
        <v>8</v>
      </c>
      <c r="J12" t="s">
        <v>36</v>
      </c>
      <c r="K12" s="2">
        <v>2.0449999999999999</v>
      </c>
      <c r="L12" s="2">
        <v>1.8674999999999999</v>
      </c>
      <c r="M12" s="2">
        <v>1.2424999999999999</v>
      </c>
      <c r="N12" s="2">
        <v>5.16</v>
      </c>
      <c r="O12" s="9">
        <f t="shared" si="1"/>
        <v>14</v>
      </c>
    </row>
    <row r="13" spans="1:15" x14ac:dyDescent="0.2">
      <c r="A13" s="5">
        <v>9</v>
      </c>
      <c r="B13" t="s">
        <v>21</v>
      </c>
      <c r="C13" s="1">
        <v>1.7050000000000001</v>
      </c>
      <c r="D13" s="1">
        <v>0.80596155999999997</v>
      </c>
      <c r="E13" s="1">
        <v>0.54</v>
      </c>
      <c r="F13" s="1">
        <v>3.09395088</v>
      </c>
      <c r="G13" s="9">
        <f t="shared" si="0"/>
        <v>19</v>
      </c>
      <c r="I13" s="5">
        <v>9</v>
      </c>
      <c r="J13" t="s">
        <v>21</v>
      </c>
      <c r="K13" s="2">
        <v>1.8625</v>
      </c>
      <c r="L13" s="2">
        <v>1.63</v>
      </c>
      <c r="M13" s="2">
        <v>1.2324999999999999</v>
      </c>
      <c r="N13" s="2">
        <v>4.7249999999999996</v>
      </c>
      <c r="O13" s="9">
        <f t="shared" si="1"/>
        <v>29</v>
      </c>
    </row>
    <row r="14" spans="1:15" x14ac:dyDescent="0.2">
      <c r="A14" s="5">
        <v>10</v>
      </c>
      <c r="B14" t="s">
        <v>41</v>
      </c>
      <c r="C14" s="1">
        <v>1.6125</v>
      </c>
      <c r="D14" s="1">
        <v>0.69</v>
      </c>
      <c r="E14" s="1">
        <v>0.5575</v>
      </c>
      <c r="F14" s="1">
        <v>2.8624999999999998</v>
      </c>
      <c r="G14" s="9">
        <f t="shared" si="0"/>
        <v>31</v>
      </c>
      <c r="I14" s="5">
        <v>10</v>
      </c>
      <c r="J14" t="s">
        <v>41</v>
      </c>
      <c r="K14" s="2">
        <v>1.7675000000000001</v>
      </c>
      <c r="L14" s="2">
        <v>1.675</v>
      </c>
      <c r="M14" s="2">
        <v>1.3049999999999999</v>
      </c>
      <c r="N14" s="2">
        <v>4.7424999999999997</v>
      </c>
      <c r="O14" s="9">
        <f t="shared" si="1"/>
        <v>28</v>
      </c>
    </row>
    <row r="15" spans="1:15" x14ac:dyDescent="0.2">
      <c r="A15" s="5">
        <v>11</v>
      </c>
      <c r="B15" t="s">
        <v>16</v>
      </c>
      <c r="C15" s="1">
        <v>1.7849999999999999</v>
      </c>
      <c r="D15" s="1">
        <v>0.87974240999999997</v>
      </c>
      <c r="E15" s="1">
        <v>0.63249999999999995</v>
      </c>
      <c r="F15" s="1">
        <v>3.30962018</v>
      </c>
      <c r="G15" s="9">
        <f t="shared" si="0"/>
        <v>7</v>
      </c>
      <c r="I15" s="5">
        <v>11</v>
      </c>
      <c r="J15" t="s">
        <v>16</v>
      </c>
      <c r="K15" s="2">
        <v>1.87</v>
      </c>
      <c r="L15" s="2">
        <v>1.9075</v>
      </c>
      <c r="M15" s="2">
        <v>1.34</v>
      </c>
      <c r="N15" s="2">
        <v>5.12</v>
      </c>
      <c r="O15" s="9">
        <f t="shared" si="1"/>
        <v>16</v>
      </c>
    </row>
    <row r="16" spans="1:15" x14ac:dyDescent="0.2">
      <c r="A16" s="5">
        <v>12</v>
      </c>
      <c r="B16" t="s">
        <v>39</v>
      </c>
      <c r="C16" s="1">
        <v>2.1175000000000002</v>
      </c>
      <c r="D16" s="1">
        <v>0.92749999999999999</v>
      </c>
      <c r="E16" s="1">
        <v>0.63</v>
      </c>
      <c r="F16" s="1">
        <v>3.6724999999999999</v>
      </c>
      <c r="G16" s="9">
        <f t="shared" si="0"/>
        <v>2</v>
      </c>
      <c r="I16" s="5">
        <v>12</v>
      </c>
      <c r="J16" t="s">
        <v>39</v>
      </c>
      <c r="K16" s="2">
        <v>1.9924999999999999</v>
      </c>
      <c r="L16" s="2">
        <v>1.8075000000000001</v>
      </c>
      <c r="M16" s="2">
        <v>1.3025</v>
      </c>
      <c r="N16" s="2">
        <v>5.1050000000000004</v>
      </c>
      <c r="O16" s="9">
        <f t="shared" si="1"/>
        <v>18</v>
      </c>
    </row>
    <row r="17" spans="1:15" x14ac:dyDescent="0.2">
      <c r="A17" s="5">
        <v>13</v>
      </c>
      <c r="B17" t="s">
        <v>26</v>
      </c>
      <c r="C17" s="1">
        <v>1.83</v>
      </c>
      <c r="D17" s="1">
        <v>0.87749999999999995</v>
      </c>
      <c r="E17" s="1">
        <v>0.51249999999999996</v>
      </c>
      <c r="F17" s="1">
        <v>3.22</v>
      </c>
      <c r="G17" s="9">
        <f t="shared" si="0"/>
        <v>12</v>
      </c>
      <c r="I17" s="5">
        <v>13</v>
      </c>
      <c r="J17" t="s">
        <v>26</v>
      </c>
      <c r="K17" s="2">
        <v>1.88</v>
      </c>
      <c r="L17" s="2">
        <v>1.8725000000000001</v>
      </c>
      <c r="M17" s="2">
        <v>1.23</v>
      </c>
      <c r="N17" s="2">
        <v>4.9850000000000003</v>
      </c>
      <c r="O17" s="9">
        <f t="shared" si="1"/>
        <v>20</v>
      </c>
    </row>
    <row r="18" spans="1:15" x14ac:dyDescent="0.2">
      <c r="A18" s="5">
        <v>14</v>
      </c>
      <c r="B18" t="s">
        <v>28</v>
      </c>
      <c r="C18" s="1">
        <v>1.825</v>
      </c>
      <c r="D18" s="1">
        <v>0.64749999999999996</v>
      </c>
      <c r="E18" s="1">
        <v>0.55000000000000004</v>
      </c>
      <c r="F18" s="1">
        <v>3.0274999999999999</v>
      </c>
      <c r="G18" s="9">
        <f t="shared" si="0"/>
        <v>21</v>
      </c>
      <c r="I18" s="5">
        <v>14</v>
      </c>
      <c r="J18" t="s">
        <v>28</v>
      </c>
      <c r="K18" s="2">
        <v>2.0325000000000002</v>
      </c>
      <c r="L18" s="2">
        <v>1.595</v>
      </c>
      <c r="M18" s="2">
        <v>1.2649999999999999</v>
      </c>
      <c r="N18" s="2">
        <v>4.8925000000000001</v>
      </c>
      <c r="O18" s="9">
        <f t="shared" si="1"/>
        <v>23</v>
      </c>
    </row>
    <row r="19" spans="1:15" x14ac:dyDescent="0.2">
      <c r="A19" s="5">
        <v>15</v>
      </c>
      <c r="B19" t="s">
        <v>22</v>
      </c>
      <c r="C19" s="1">
        <v>1.8025</v>
      </c>
      <c r="D19" s="1">
        <v>0.92929488999999998</v>
      </c>
      <c r="E19" s="1">
        <v>0.54</v>
      </c>
      <c r="F19" s="1">
        <v>3.2739508800000001</v>
      </c>
      <c r="G19" s="9">
        <f t="shared" si="0"/>
        <v>10</v>
      </c>
      <c r="I19" s="5">
        <v>15</v>
      </c>
      <c r="J19" t="s">
        <v>22</v>
      </c>
      <c r="K19" s="2">
        <v>1.825</v>
      </c>
      <c r="L19" s="2">
        <v>1.7675000000000001</v>
      </c>
      <c r="M19" s="2">
        <v>1.335</v>
      </c>
      <c r="N19" s="2">
        <v>4.9225000000000003</v>
      </c>
      <c r="O19" s="9">
        <f t="shared" si="1"/>
        <v>22</v>
      </c>
    </row>
    <row r="20" spans="1:15" x14ac:dyDescent="0.2">
      <c r="A20" s="5">
        <v>16</v>
      </c>
      <c r="B20" t="s">
        <v>13</v>
      </c>
      <c r="C20" s="1">
        <v>1.5275000000000001</v>
      </c>
      <c r="D20" s="1">
        <v>0.75249999999999995</v>
      </c>
      <c r="E20" s="1">
        <v>0.48499999999999999</v>
      </c>
      <c r="F20" s="1">
        <v>2.76</v>
      </c>
      <c r="G20" s="9">
        <f t="shared" si="0"/>
        <v>34</v>
      </c>
      <c r="I20" s="5">
        <v>16</v>
      </c>
      <c r="J20" t="s">
        <v>13</v>
      </c>
      <c r="K20" s="2">
        <v>1.635</v>
      </c>
      <c r="L20" s="2">
        <v>1.7024999999999999</v>
      </c>
      <c r="M20" s="2">
        <v>1.1274999999999999</v>
      </c>
      <c r="N20" s="2">
        <v>4.4649999999999999</v>
      </c>
      <c r="O20" s="9">
        <f t="shared" si="1"/>
        <v>35</v>
      </c>
    </row>
    <row r="21" spans="1:15" x14ac:dyDescent="0.2">
      <c r="A21" s="5">
        <v>17</v>
      </c>
      <c r="B21" t="s">
        <v>18</v>
      </c>
      <c r="C21" s="1">
        <v>1.655</v>
      </c>
      <c r="D21" s="1">
        <v>0.70250000000000001</v>
      </c>
      <c r="E21" s="1">
        <v>0.45500000000000002</v>
      </c>
      <c r="F21" s="1">
        <v>2.8075000000000001</v>
      </c>
      <c r="G21" s="9">
        <f t="shared" si="0"/>
        <v>33</v>
      </c>
      <c r="I21" s="5">
        <v>17</v>
      </c>
      <c r="J21" t="s">
        <v>18</v>
      </c>
      <c r="K21" s="2">
        <v>1.6875</v>
      </c>
      <c r="L21" s="2">
        <v>1.7649999999999999</v>
      </c>
      <c r="M21" s="2">
        <v>1.1599999999999999</v>
      </c>
      <c r="N21" s="2">
        <v>4.6150000000000002</v>
      </c>
      <c r="O21" s="9">
        <f t="shared" si="1"/>
        <v>33</v>
      </c>
    </row>
    <row r="22" spans="1:15" x14ac:dyDescent="0.2">
      <c r="A22" s="5">
        <v>18</v>
      </c>
      <c r="B22" t="s">
        <v>19</v>
      </c>
      <c r="C22" s="1">
        <v>1.7050000000000001</v>
      </c>
      <c r="D22" s="1">
        <v>0.66</v>
      </c>
      <c r="E22" s="1">
        <v>0.57999999999999996</v>
      </c>
      <c r="F22" s="1">
        <v>2.9474999999999998</v>
      </c>
      <c r="G22" s="9">
        <f t="shared" si="0"/>
        <v>27</v>
      </c>
      <c r="I22" s="5">
        <v>18</v>
      </c>
      <c r="J22" t="s">
        <v>19</v>
      </c>
      <c r="K22" s="2">
        <v>2.1225000000000001</v>
      </c>
      <c r="L22" s="2">
        <v>1.8425</v>
      </c>
      <c r="M22" s="2">
        <v>1.4325000000000001</v>
      </c>
      <c r="N22" s="2">
        <v>5.3949999999999996</v>
      </c>
      <c r="O22" s="9">
        <f t="shared" si="1"/>
        <v>7</v>
      </c>
    </row>
    <row r="23" spans="1:15" x14ac:dyDescent="0.2">
      <c r="A23" s="5">
        <v>19</v>
      </c>
      <c r="B23" t="s">
        <v>11</v>
      </c>
      <c r="C23" s="1">
        <v>2.1375000000000002</v>
      </c>
      <c r="D23" s="1">
        <v>1.01</v>
      </c>
      <c r="E23" s="1">
        <v>0.69</v>
      </c>
      <c r="F23" s="1">
        <v>3.8325</v>
      </c>
      <c r="G23" s="9">
        <f t="shared" si="0"/>
        <v>1</v>
      </c>
      <c r="I23" s="5">
        <v>19</v>
      </c>
      <c r="J23" t="s">
        <v>11</v>
      </c>
      <c r="K23" s="2">
        <v>2.0499999999999998</v>
      </c>
      <c r="L23" s="2">
        <v>1.9724999999999999</v>
      </c>
      <c r="M23" s="2">
        <v>1.345</v>
      </c>
      <c r="N23" s="2">
        <v>5.37</v>
      </c>
      <c r="O23" s="9">
        <f t="shared" si="1"/>
        <v>9</v>
      </c>
    </row>
    <row r="24" spans="1:15" x14ac:dyDescent="0.2">
      <c r="A24" s="5">
        <v>20</v>
      </c>
      <c r="B24" t="s">
        <v>32</v>
      </c>
      <c r="C24" s="1">
        <v>1.71</v>
      </c>
      <c r="D24" s="1">
        <v>0.76749999999999996</v>
      </c>
      <c r="E24" s="1">
        <v>0.50249999999999995</v>
      </c>
      <c r="F24" s="1">
        <v>2.9750000000000001</v>
      </c>
      <c r="G24" s="9">
        <f t="shared" si="0"/>
        <v>25</v>
      </c>
      <c r="I24" s="5">
        <v>20</v>
      </c>
      <c r="J24" t="s">
        <v>32</v>
      </c>
      <c r="K24" s="2">
        <v>1.6408490600000001</v>
      </c>
      <c r="L24" s="2">
        <v>1.6988207500000001</v>
      </c>
      <c r="M24" s="2">
        <v>1.2074764200000001</v>
      </c>
      <c r="N24" s="2">
        <v>4.5528537699999996</v>
      </c>
      <c r="O24" s="9">
        <f t="shared" si="1"/>
        <v>34</v>
      </c>
    </row>
    <row r="25" spans="1:15" x14ac:dyDescent="0.2">
      <c r="A25" s="5">
        <v>21</v>
      </c>
      <c r="B25" t="s">
        <v>24</v>
      </c>
      <c r="C25" s="1">
        <v>1.645</v>
      </c>
      <c r="D25" s="1">
        <v>0.75513733000000005</v>
      </c>
      <c r="E25" s="1">
        <v>0.55500000000000005</v>
      </c>
      <c r="F25" s="1">
        <v>2.81122059</v>
      </c>
      <c r="G25" s="9">
        <f t="shared" si="0"/>
        <v>32</v>
      </c>
      <c r="I25" s="5">
        <v>21</v>
      </c>
      <c r="J25" t="s">
        <v>24</v>
      </c>
      <c r="K25" s="2">
        <v>2.0350000000000001</v>
      </c>
      <c r="L25" s="2">
        <v>1.895</v>
      </c>
      <c r="M25" s="2">
        <v>1.49</v>
      </c>
      <c r="N25" s="2">
        <v>5.4175000000000004</v>
      </c>
      <c r="O25" s="9">
        <f t="shared" si="1"/>
        <v>4</v>
      </c>
    </row>
    <row r="26" spans="1:15" x14ac:dyDescent="0.2">
      <c r="A26" s="5">
        <v>22</v>
      </c>
      <c r="B26" t="s">
        <v>7</v>
      </c>
      <c r="C26" s="1">
        <v>1.835</v>
      </c>
      <c r="D26" s="1">
        <v>0.69307574000000005</v>
      </c>
      <c r="E26" s="1">
        <v>0.50749999999999995</v>
      </c>
      <c r="F26" s="1">
        <v>3.1129535100000001</v>
      </c>
      <c r="G26" s="9">
        <f t="shared" si="0"/>
        <v>17</v>
      </c>
      <c r="I26" s="5">
        <v>22</v>
      </c>
      <c r="J26" t="s">
        <v>7</v>
      </c>
      <c r="K26" s="2">
        <v>2.0699999999999998</v>
      </c>
      <c r="L26" s="2">
        <v>1.98</v>
      </c>
      <c r="M26" s="2">
        <v>1.335</v>
      </c>
      <c r="N26" s="2">
        <v>5.3849999999999998</v>
      </c>
      <c r="O26" s="9">
        <f t="shared" si="1"/>
        <v>8</v>
      </c>
    </row>
    <row r="27" spans="1:15" x14ac:dyDescent="0.2">
      <c r="A27" s="5">
        <v>23</v>
      </c>
      <c r="B27" t="s">
        <v>42</v>
      </c>
      <c r="C27" s="1">
        <v>1.68</v>
      </c>
      <c r="D27" s="1">
        <v>0.755</v>
      </c>
      <c r="E27" s="1">
        <v>0.57499999999999996</v>
      </c>
      <c r="F27" s="1">
        <v>3.01</v>
      </c>
      <c r="G27" s="9">
        <f t="shared" si="0"/>
        <v>22</v>
      </c>
      <c r="I27" s="5">
        <v>23</v>
      </c>
      <c r="J27" t="s">
        <v>42</v>
      </c>
      <c r="K27" s="2">
        <v>1.7250000000000001</v>
      </c>
      <c r="L27" s="2">
        <v>1.72</v>
      </c>
      <c r="M27" s="2">
        <v>1.345</v>
      </c>
      <c r="N27" s="2">
        <v>4.79</v>
      </c>
      <c r="O27" s="9">
        <f t="shared" si="1"/>
        <v>27</v>
      </c>
    </row>
    <row r="28" spans="1:15" x14ac:dyDescent="0.2">
      <c r="A28" s="5">
        <v>24</v>
      </c>
      <c r="B28" t="s">
        <v>38</v>
      </c>
      <c r="C28" s="1">
        <v>1.84</v>
      </c>
      <c r="D28" s="1">
        <v>0.61750000000000005</v>
      </c>
      <c r="E28" s="1">
        <v>0.52</v>
      </c>
      <c r="F28" s="1">
        <v>2.9775</v>
      </c>
      <c r="G28" s="9">
        <f t="shared" si="0"/>
        <v>24</v>
      </c>
      <c r="I28" s="5">
        <v>24</v>
      </c>
      <c r="J28" t="s">
        <v>38</v>
      </c>
      <c r="K28" s="2">
        <v>2.0649999999999999</v>
      </c>
      <c r="L28" s="2">
        <v>1.8625</v>
      </c>
      <c r="M28" s="2">
        <v>1.4775</v>
      </c>
      <c r="N28" s="2">
        <v>5.4024999999999999</v>
      </c>
      <c r="O28" s="9">
        <f t="shared" si="1"/>
        <v>6</v>
      </c>
    </row>
    <row r="29" spans="1:15" x14ac:dyDescent="0.2">
      <c r="A29" s="5">
        <v>25</v>
      </c>
      <c r="B29" t="s">
        <v>8</v>
      </c>
      <c r="C29" s="1">
        <v>1.8174999999999999</v>
      </c>
      <c r="D29" s="1">
        <v>0.76749999999999996</v>
      </c>
      <c r="E29" s="1">
        <v>0.59</v>
      </c>
      <c r="F29" s="1">
        <v>3.1749999999999998</v>
      </c>
      <c r="G29" s="9">
        <f t="shared" si="0"/>
        <v>16</v>
      </c>
      <c r="I29" s="5">
        <v>25</v>
      </c>
      <c r="J29" t="s">
        <v>8</v>
      </c>
      <c r="K29" s="2">
        <v>1.7124999999999999</v>
      </c>
      <c r="L29" s="2">
        <v>1.74</v>
      </c>
      <c r="M29" s="2">
        <v>1.1625000000000001</v>
      </c>
      <c r="N29" s="2">
        <v>4.6174999999999997</v>
      </c>
      <c r="O29" s="9">
        <f t="shared" si="1"/>
        <v>32</v>
      </c>
    </row>
    <row r="30" spans="1:15" x14ac:dyDescent="0.2">
      <c r="A30" s="5">
        <v>26</v>
      </c>
      <c r="B30" t="s">
        <v>23</v>
      </c>
      <c r="C30" s="1">
        <v>2.0625</v>
      </c>
      <c r="D30" s="1">
        <v>0.71596156</v>
      </c>
      <c r="E30" s="1">
        <v>0.57999999999999996</v>
      </c>
      <c r="F30" s="1">
        <v>3.2639508799999999</v>
      </c>
      <c r="G30" s="9">
        <f t="shared" si="0"/>
        <v>11</v>
      </c>
      <c r="I30" s="5">
        <v>26</v>
      </c>
      <c r="J30" t="s">
        <v>23</v>
      </c>
      <c r="K30" s="2">
        <v>2.2349999999999999</v>
      </c>
      <c r="L30" s="2">
        <v>1.62</v>
      </c>
      <c r="M30" s="2">
        <v>1.3125</v>
      </c>
      <c r="N30" s="2">
        <v>5.1675000000000004</v>
      </c>
      <c r="O30" s="9">
        <f t="shared" si="1"/>
        <v>13</v>
      </c>
    </row>
    <row r="31" spans="1:15" x14ac:dyDescent="0.2">
      <c r="A31" s="5">
        <v>27</v>
      </c>
      <c r="B31" t="s">
        <v>15</v>
      </c>
      <c r="C31" s="1">
        <v>1.3474999999999999</v>
      </c>
      <c r="D31" s="1">
        <v>0.64500000000000002</v>
      </c>
      <c r="E31" s="1">
        <v>0.53</v>
      </c>
      <c r="F31" s="1">
        <v>2.5274999999999999</v>
      </c>
      <c r="G31" s="9">
        <f t="shared" si="0"/>
        <v>36</v>
      </c>
      <c r="I31" s="5">
        <v>27</v>
      </c>
      <c r="J31" t="s">
        <v>15</v>
      </c>
      <c r="K31" s="2">
        <v>2.02</v>
      </c>
      <c r="L31" s="2">
        <v>1.85</v>
      </c>
      <c r="M31" s="2">
        <v>1.4075</v>
      </c>
      <c r="N31" s="2">
        <v>5.2774999999999999</v>
      </c>
      <c r="O31" s="9">
        <f t="shared" si="1"/>
        <v>11</v>
      </c>
    </row>
    <row r="32" spans="1:15" x14ac:dyDescent="0.2">
      <c r="A32" s="5">
        <v>28</v>
      </c>
      <c r="B32" t="s">
        <v>14</v>
      </c>
      <c r="C32" s="1">
        <v>1.7250000000000001</v>
      </c>
      <c r="D32" s="1">
        <v>0.79</v>
      </c>
      <c r="E32" s="1">
        <v>0.59750000000000003</v>
      </c>
      <c r="F32" s="1">
        <v>3.1124999999999998</v>
      </c>
      <c r="G32" s="9">
        <f t="shared" si="0"/>
        <v>18</v>
      </c>
      <c r="I32" s="5">
        <v>28</v>
      </c>
      <c r="J32" t="s">
        <v>14</v>
      </c>
      <c r="K32" s="2">
        <v>2.0225</v>
      </c>
      <c r="L32" s="2">
        <v>1.6875</v>
      </c>
      <c r="M32" s="2">
        <v>1.4</v>
      </c>
      <c r="N32" s="2">
        <v>5.1100000000000003</v>
      </c>
      <c r="O32" s="9">
        <f t="shared" si="1"/>
        <v>17</v>
      </c>
    </row>
    <row r="33" spans="1:15" x14ac:dyDescent="0.2">
      <c r="A33" s="5">
        <v>29</v>
      </c>
      <c r="B33" t="s">
        <v>12</v>
      </c>
      <c r="C33" s="1">
        <v>1.64</v>
      </c>
      <c r="D33" s="1">
        <v>0.74</v>
      </c>
      <c r="E33" s="1">
        <v>0.51</v>
      </c>
      <c r="F33" s="1">
        <v>2.89</v>
      </c>
      <c r="G33" s="9">
        <f t="shared" si="0"/>
        <v>29</v>
      </c>
      <c r="I33" s="5">
        <v>29</v>
      </c>
      <c r="J33" t="s">
        <v>12</v>
      </c>
      <c r="K33" s="2">
        <v>1.85</v>
      </c>
      <c r="L33" s="2">
        <v>1.87</v>
      </c>
      <c r="M33" s="2">
        <v>1.1074999999999999</v>
      </c>
      <c r="N33" s="2">
        <v>4.8274999999999997</v>
      </c>
      <c r="O33" s="9">
        <f t="shared" si="1"/>
        <v>25</v>
      </c>
    </row>
    <row r="34" spans="1:15" x14ac:dyDescent="0.2">
      <c r="A34" s="5">
        <v>30</v>
      </c>
      <c r="B34" t="s">
        <v>10</v>
      </c>
      <c r="C34" s="1">
        <v>1.5149999999999999</v>
      </c>
      <c r="D34" s="1">
        <v>0.88580859999999995</v>
      </c>
      <c r="E34" s="1">
        <v>0.51500000000000001</v>
      </c>
      <c r="F34" s="1">
        <v>2.9797245399999999</v>
      </c>
      <c r="G34" s="9">
        <f t="shared" si="0"/>
        <v>23</v>
      </c>
      <c r="I34" s="5">
        <v>30</v>
      </c>
      <c r="J34" t="s">
        <v>10</v>
      </c>
      <c r="K34" s="2">
        <v>1.8975</v>
      </c>
      <c r="L34" s="2">
        <v>1.8474999999999999</v>
      </c>
      <c r="M34" s="2">
        <v>1.2775000000000001</v>
      </c>
      <c r="N34" s="2">
        <v>5.0225</v>
      </c>
      <c r="O34" s="9">
        <f t="shared" si="1"/>
        <v>19</v>
      </c>
    </row>
    <row r="35" spans="1:15" x14ac:dyDescent="0.2">
      <c r="A35" s="5">
        <v>31</v>
      </c>
      <c r="B35" t="s">
        <v>33</v>
      </c>
      <c r="C35" s="1">
        <v>1.7324999999999999</v>
      </c>
      <c r="D35" s="1">
        <v>0.71750000000000003</v>
      </c>
      <c r="E35" s="1">
        <v>0.58750000000000002</v>
      </c>
      <c r="F35" s="1">
        <v>3.0375000000000001</v>
      </c>
      <c r="G35" s="9">
        <f t="shared" si="0"/>
        <v>20</v>
      </c>
      <c r="I35" s="5">
        <v>31</v>
      </c>
      <c r="J35" t="s">
        <v>33</v>
      </c>
      <c r="K35" s="2">
        <v>1.99</v>
      </c>
      <c r="L35" s="2">
        <v>1.8625</v>
      </c>
      <c r="M35" s="2">
        <v>1.5625</v>
      </c>
      <c r="N35" s="2">
        <v>5.4175000000000004</v>
      </c>
      <c r="O35" s="9">
        <f t="shared" si="1"/>
        <v>4</v>
      </c>
    </row>
    <row r="36" spans="1:15" x14ac:dyDescent="0.2">
      <c r="A36" s="5">
        <v>32</v>
      </c>
      <c r="B36" t="s">
        <v>35</v>
      </c>
      <c r="C36" s="1">
        <v>1.86</v>
      </c>
      <c r="D36" s="1">
        <v>0.86499999999999999</v>
      </c>
      <c r="E36" s="1">
        <v>0.58499999999999996</v>
      </c>
      <c r="F36" s="1">
        <v>3.3075000000000001</v>
      </c>
      <c r="G36" s="9">
        <f t="shared" si="0"/>
        <v>8</v>
      </c>
      <c r="I36" s="5">
        <v>32</v>
      </c>
      <c r="J36" t="s">
        <v>35</v>
      </c>
      <c r="K36" s="2">
        <v>1.65</v>
      </c>
      <c r="L36" s="2">
        <v>1.6425000000000001</v>
      </c>
      <c r="M36" s="2">
        <v>1.1599999999999999</v>
      </c>
      <c r="N36" s="2">
        <v>4.45</v>
      </c>
      <c r="O36" s="9">
        <f t="shared" si="1"/>
        <v>36</v>
      </c>
    </row>
    <row r="37" spans="1:15" x14ac:dyDescent="0.2">
      <c r="A37" s="5">
        <v>33</v>
      </c>
      <c r="B37" t="s">
        <v>25</v>
      </c>
      <c r="C37" s="1">
        <v>2.0150000000000001</v>
      </c>
      <c r="D37" s="1">
        <v>0.76500000000000001</v>
      </c>
      <c r="E37" s="1">
        <v>0.58750000000000002</v>
      </c>
      <c r="F37" s="1">
        <v>3.3675000000000002</v>
      </c>
      <c r="G37" s="9">
        <f t="shared" si="0"/>
        <v>4</v>
      </c>
      <c r="I37" s="5">
        <v>33</v>
      </c>
      <c r="J37" t="s">
        <v>25</v>
      </c>
      <c r="K37" s="2">
        <v>2.1625000000000001</v>
      </c>
      <c r="L37" s="2">
        <v>1.9275</v>
      </c>
      <c r="M37" s="2">
        <v>1.3674999999999999</v>
      </c>
      <c r="N37" s="2">
        <v>5.4574999999999996</v>
      </c>
      <c r="O37" s="9">
        <f t="shared" si="1"/>
        <v>3</v>
      </c>
    </row>
    <row r="38" spans="1:15" x14ac:dyDescent="0.2">
      <c r="A38" s="5">
        <v>34</v>
      </c>
      <c r="B38" t="s">
        <v>40</v>
      </c>
      <c r="C38" s="1">
        <v>1.905</v>
      </c>
      <c r="D38" s="1">
        <v>0.84250000000000003</v>
      </c>
      <c r="E38" s="1">
        <v>0.59750000000000003</v>
      </c>
      <c r="F38" s="1">
        <v>3.3424999999999998</v>
      </c>
      <c r="G38" s="9">
        <f t="shared" si="0"/>
        <v>6</v>
      </c>
      <c r="I38" s="5">
        <v>34</v>
      </c>
      <c r="J38" t="s">
        <v>40</v>
      </c>
      <c r="K38" s="2">
        <v>2.1025</v>
      </c>
      <c r="L38" s="2">
        <v>1.9650000000000001</v>
      </c>
      <c r="M38" s="2">
        <v>1.4075</v>
      </c>
      <c r="N38" s="2">
        <v>5.4725000000000001</v>
      </c>
      <c r="O38" s="9">
        <f t="shared" si="1"/>
        <v>2</v>
      </c>
    </row>
    <row r="39" spans="1:15" x14ac:dyDescent="0.2">
      <c r="A39" s="5">
        <v>35</v>
      </c>
      <c r="B39" t="s">
        <v>30</v>
      </c>
      <c r="C39" s="1">
        <v>1.8525</v>
      </c>
      <c r="D39" s="1">
        <v>0.85974240999999996</v>
      </c>
      <c r="E39" s="1">
        <v>0.58250000000000002</v>
      </c>
      <c r="F39" s="1">
        <v>3.3462868499999998</v>
      </c>
      <c r="G39" s="9">
        <f t="shared" si="0"/>
        <v>5</v>
      </c>
      <c r="I39" s="5">
        <v>35</v>
      </c>
      <c r="J39" t="s">
        <v>30</v>
      </c>
      <c r="K39" s="2">
        <v>1.9375</v>
      </c>
      <c r="L39" s="2">
        <v>1.895</v>
      </c>
      <c r="M39" s="2">
        <v>1.4225000000000001</v>
      </c>
      <c r="N39" s="2">
        <v>5.25</v>
      </c>
      <c r="O39" s="9">
        <f t="shared" si="1"/>
        <v>12</v>
      </c>
    </row>
    <row r="40" spans="1:15" x14ac:dyDescent="0.2">
      <c r="A40" s="5">
        <v>36</v>
      </c>
      <c r="B40" t="s">
        <v>31</v>
      </c>
      <c r="C40" s="1">
        <v>1.9850000000000001</v>
      </c>
      <c r="D40" s="1">
        <v>0.6875</v>
      </c>
      <c r="E40" s="1">
        <v>0.52</v>
      </c>
      <c r="F40" s="1">
        <v>3.1924999999999999</v>
      </c>
      <c r="G40" s="9">
        <f t="shared" si="0"/>
        <v>15</v>
      </c>
      <c r="I40" s="5">
        <v>36</v>
      </c>
      <c r="J40" t="s">
        <v>31</v>
      </c>
      <c r="K40" s="2">
        <v>2.0699999999999998</v>
      </c>
      <c r="L40" s="2">
        <v>1.69</v>
      </c>
      <c r="M40" s="2">
        <v>1.395</v>
      </c>
      <c r="N40" s="2">
        <v>5.1524999999999999</v>
      </c>
      <c r="O40" s="9">
        <f t="shared" si="1"/>
        <v>15</v>
      </c>
    </row>
    <row r="41" spans="1:15" x14ac:dyDescent="0.2">
      <c r="K41" s="2"/>
      <c r="L41" s="2"/>
      <c r="M41" s="2"/>
      <c r="N41" s="2"/>
    </row>
    <row r="42" spans="1:15" x14ac:dyDescent="0.2">
      <c r="B42" s="3" t="s">
        <v>44</v>
      </c>
      <c r="C42" s="2">
        <v>1.77</v>
      </c>
      <c r="D42" s="2">
        <v>0.78</v>
      </c>
      <c r="E42" s="2">
        <v>0.55000000000000004</v>
      </c>
      <c r="F42" s="2">
        <v>3.11</v>
      </c>
      <c r="J42" s="3" t="s">
        <v>44</v>
      </c>
      <c r="K42" s="2">
        <v>1.93</v>
      </c>
      <c r="L42" s="2">
        <v>1.8</v>
      </c>
      <c r="M42" s="2">
        <v>1.32</v>
      </c>
      <c r="N42" s="2">
        <v>5.04</v>
      </c>
    </row>
    <row r="43" spans="1:15" x14ac:dyDescent="0.2">
      <c r="B43" s="3" t="s">
        <v>45</v>
      </c>
      <c r="C43" s="8">
        <v>4.3400000000000001E-2</v>
      </c>
      <c r="D43" s="8">
        <v>2.0199999999999999E-2</v>
      </c>
      <c r="E43" s="8">
        <v>6.7999999999999996E-3</v>
      </c>
      <c r="F43" s="8">
        <v>0.10723000000000001</v>
      </c>
      <c r="J43" s="3" t="s">
        <v>45</v>
      </c>
      <c r="K43" s="8">
        <v>2.3449999999999999E-2</v>
      </c>
      <c r="L43" s="8">
        <v>1.6879999999999999E-2</v>
      </c>
      <c r="M43" s="8">
        <v>8.5000000000000006E-3</v>
      </c>
      <c r="N43" s="8">
        <v>9.2399999999999996E-2</v>
      </c>
    </row>
    <row r="44" spans="1:15" x14ac:dyDescent="0.2">
      <c r="B44" s="3" t="s">
        <v>46</v>
      </c>
      <c r="C44" s="9">
        <v>105</v>
      </c>
      <c r="D44" s="9">
        <v>91</v>
      </c>
      <c r="E44" s="9">
        <v>105</v>
      </c>
      <c r="F44" s="9">
        <v>91</v>
      </c>
      <c r="J44" s="3" t="s">
        <v>46</v>
      </c>
      <c r="K44" s="9">
        <v>105</v>
      </c>
      <c r="L44" s="9">
        <v>105</v>
      </c>
      <c r="M44" s="9">
        <v>105</v>
      </c>
      <c r="N44" s="9">
        <v>105</v>
      </c>
    </row>
    <row r="45" spans="1:15" x14ac:dyDescent="0.2">
      <c r="B45" s="3" t="s">
        <v>47</v>
      </c>
      <c r="C45" s="10">
        <v>11.8</v>
      </c>
      <c r="D45" s="10">
        <v>18.2</v>
      </c>
      <c r="E45" s="10">
        <v>14.9</v>
      </c>
      <c r="F45" s="10">
        <v>10.5</v>
      </c>
      <c r="J45" s="3" t="s">
        <v>47</v>
      </c>
      <c r="K45" s="10">
        <v>7.9</v>
      </c>
      <c r="L45" s="10">
        <v>7.2</v>
      </c>
      <c r="M45" s="10">
        <v>7</v>
      </c>
      <c r="N45" s="10">
        <v>6</v>
      </c>
    </row>
    <row r="46" spans="1:15" x14ac:dyDescent="0.2">
      <c r="B46" s="3" t="s">
        <v>48</v>
      </c>
      <c r="C46" s="2" t="s">
        <v>49</v>
      </c>
      <c r="D46" s="2" t="s">
        <v>50</v>
      </c>
      <c r="E46" s="2" t="s">
        <v>51</v>
      </c>
      <c r="F46" s="2" t="s">
        <v>52</v>
      </c>
      <c r="J46" s="3" t="s">
        <v>48</v>
      </c>
      <c r="K46" s="3" t="s">
        <v>56</v>
      </c>
      <c r="L46" s="3" t="s">
        <v>57</v>
      </c>
      <c r="M46" s="3" t="s">
        <v>58</v>
      </c>
      <c r="N46" s="3" t="s">
        <v>59</v>
      </c>
    </row>
    <row r="47" spans="1:15" x14ac:dyDescent="0.2">
      <c r="B47" s="3" t="s">
        <v>53</v>
      </c>
      <c r="C47" s="2">
        <v>0.28999999999999998</v>
      </c>
      <c r="D47" s="2">
        <v>0.2</v>
      </c>
      <c r="E47" s="2">
        <v>0.11</v>
      </c>
      <c r="F47" s="2">
        <v>0.46</v>
      </c>
      <c r="J47" s="3" t="s">
        <v>53</v>
      </c>
      <c r="K47" s="2">
        <v>0.21</v>
      </c>
      <c r="L47" s="2">
        <v>0.18</v>
      </c>
      <c r="M47" s="2">
        <v>0.13</v>
      </c>
      <c r="N47" s="2">
        <v>0.43</v>
      </c>
    </row>
    <row r="50" spans="2:10" x14ac:dyDescent="0.2">
      <c r="B50" s="4" t="s">
        <v>60</v>
      </c>
      <c r="G50" s="2"/>
      <c r="J50" s="4" t="s">
        <v>60</v>
      </c>
    </row>
    <row r="51" spans="2:10" x14ac:dyDescent="0.2">
      <c r="B51" s="4" t="s">
        <v>61</v>
      </c>
      <c r="J51" s="4" t="s">
        <v>62</v>
      </c>
    </row>
    <row r="52" spans="2:10" x14ac:dyDescent="0.2">
      <c r="B52" s="4" t="s">
        <v>63</v>
      </c>
      <c r="J52" s="4" t="s">
        <v>64</v>
      </c>
    </row>
    <row r="53" spans="2:10" x14ac:dyDescent="0.2">
      <c r="B53" s="4" t="s">
        <v>65</v>
      </c>
      <c r="J53" s="4" t="s">
        <v>66</v>
      </c>
    </row>
    <row r="54" spans="2:10" x14ac:dyDescent="0.2">
      <c r="B54" s="4"/>
    </row>
    <row r="55" spans="2:10" x14ac:dyDescent="0.2">
      <c r="B55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 production 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Lynn Hansen</dc:creator>
  <cp:lastModifiedBy>Dinesh</cp:lastModifiedBy>
  <dcterms:created xsi:type="dcterms:W3CDTF">2023-01-18T14:43:47Z</dcterms:created>
  <dcterms:modified xsi:type="dcterms:W3CDTF">2026-05-01T17:13:57Z</dcterms:modified>
</cp:coreProperties>
</file>