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3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g663/FFAR-Alfalfa-NMSU/Miscellaneous/Genotyping/"/>
    </mc:Choice>
  </mc:AlternateContent>
  <xr:revisionPtr revIDLastSave="0" documentId="13_ncr:1_{8E14012C-E140-7141-AC75-F26E39E48E7E}" xr6:coauthVersionLast="47" xr6:coauthVersionMax="47" xr10:uidLastSave="{00000000-0000-0000-0000-000000000000}"/>
  <bookViews>
    <workbookView xWindow="-34440" yWindow="-25580" windowWidth="22700" windowHeight="25580" activeTab="3" xr2:uid="{00000000-000D-0000-FFFF-FFFF00000000}"/>
  </bookViews>
  <sheets>
    <sheet name="2019 AVT Entry list" sheetId="3" r:id="rId1"/>
    <sheet name="Genotyping" sheetId="4" r:id="rId2"/>
    <sheet name="plates" sheetId="6" r:id="rId3"/>
    <sheet name="Genotyping_DG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5" i="3" l="1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24" i="3"/>
  <c r="F16" i="3" l="1"/>
  <c r="F15" i="3"/>
  <c r="F8" i="3"/>
  <c r="F7" i="3"/>
  <c r="E21" i="3"/>
  <c r="G21" i="3" s="1"/>
  <c r="E20" i="3"/>
  <c r="G20" i="3" s="1"/>
  <c r="E19" i="3"/>
  <c r="G19" i="3" s="1"/>
  <c r="E18" i="3"/>
  <c r="G18" i="3" s="1"/>
  <c r="E17" i="3"/>
  <c r="G17" i="3" s="1"/>
  <c r="E16" i="3"/>
  <c r="G16" i="3" s="1"/>
  <c r="E15" i="3"/>
  <c r="G15" i="3" s="1"/>
  <c r="E14" i="3"/>
  <c r="G14" i="3" s="1"/>
  <c r="E13" i="3"/>
  <c r="G13" i="3" s="1"/>
  <c r="E12" i="3"/>
  <c r="G12" i="3" s="1"/>
  <c r="E11" i="3"/>
  <c r="G11" i="3" s="1"/>
  <c r="E10" i="3"/>
  <c r="G10" i="3" s="1"/>
  <c r="E9" i="3"/>
  <c r="G9" i="3" s="1"/>
  <c r="E8" i="3"/>
  <c r="G8" i="3" s="1"/>
  <c r="E7" i="3"/>
  <c r="G7" i="3" s="1"/>
  <c r="E6" i="3"/>
  <c r="G6" i="3" s="1"/>
  <c r="E5" i="3"/>
  <c r="G5" i="3" s="1"/>
  <c r="E4" i="3"/>
  <c r="G4" i="3" s="1"/>
  <c r="E3" i="3"/>
  <c r="G3" i="3" s="1"/>
  <c r="F17" i="3" l="1"/>
  <c r="F10" i="3"/>
  <c r="F18" i="3"/>
  <c r="F9" i="3"/>
  <c r="F11" i="3"/>
  <c r="F4" i="3"/>
  <c r="F12" i="3"/>
  <c r="F20" i="3"/>
  <c r="F19" i="3"/>
  <c r="F5" i="3"/>
  <c r="F13" i="3"/>
  <c r="F21" i="3"/>
  <c r="F6" i="3"/>
  <c r="F14" i="3"/>
  <c r="F3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Gonzaga Sabadin, José Felipe</author>
  </authors>
  <commentList>
    <comment ref="G2" authorId="0" shapeId="0" xr:uid="{30CA09C1-05CF-49E0-ABB5-3A45CDEEA372}">
      <text>
        <r>
          <rPr>
            <b/>
            <sz val="9"/>
            <color indexed="81"/>
            <rFont val="Tahoma"/>
            <family val="2"/>
          </rPr>
          <t>Gonzaga Sabadin, José Felipe:</t>
        </r>
        <r>
          <rPr>
            <sz val="9"/>
            <color indexed="81"/>
            <rFont val="Tahoma"/>
            <family val="2"/>
          </rPr>
          <t xml:space="preserve">
amount to be sowed to have 120 seedlings</t>
        </r>
      </text>
    </comment>
    <comment ref="E23" authorId="0" shapeId="0" xr:uid="{2E52B1FE-0FF8-4716-9798-14969F51793F}">
      <text>
        <r>
          <rPr>
            <b/>
            <sz val="9"/>
            <color indexed="81"/>
            <rFont val="Tahoma"/>
            <family val="2"/>
          </rPr>
          <t>Gonzaga Sabadin, José Felipe:</t>
        </r>
        <r>
          <rPr>
            <sz val="9"/>
            <color indexed="81"/>
            <rFont val="Tahoma"/>
            <family val="2"/>
          </rPr>
          <t xml:space="preserve">
amount to be sowed to have 120 seedlings</t>
        </r>
      </text>
    </comment>
  </commentList>
</comments>
</file>

<file path=xl/sharedStrings.xml><?xml version="1.0" encoding="utf-8"?>
<sst xmlns="http://schemas.openxmlformats.org/spreadsheetml/2006/main" count="485" uniqueCount="132">
  <si>
    <t>Entry Number</t>
  </si>
  <si>
    <t>Entry</t>
  </si>
  <si>
    <t>AmeriStand 803T</t>
  </si>
  <si>
    <t>Mesquite</t>
  </si>
  <si>
    <t>NM1701PAR</t>
  </si>
  <si>
    <t>NM1702PAR</t>
  </si>
  <si>
    <t>NM1703PAR</t>
  </si>
  <si>
    <t>NM1704PAR</t>
  </si>
  <si>
    <t>NM1705PAR</t>
  </si>
  <si>
    <t>NM170506PAR</t>
  </si>
  <si>
    <t>NM1712PAR</t>
  </si>
  <si>
    <t>NM1713PAR</t>
  </si>
  <si>
    <t>NM1715PAR</t>
  </si>
  <si>
    <t>NuMex Bill Melton CA 2019</t>
  </si>
  <si>
    <t>SW 1011</t>
  </si>
  <si>
    <t>SW 8421S</t>
  </si>
  <si>
    <t>SW 8888</t>
  </si>
  <si>
    <t>SW 9720</t>
  </si>
  <si>
    <t>SW 9812</t>
  </si>
  <si>
    <t>SW 9813</t>
  </si>
  <si>
    <t>Proprietor</t>
  </si>
  <si>
    <t>America's Alfalfa</t>
  </si>
  <si>
    <t>Helena Chemical Co.</t>
  </si>
  <si>
    <t>NMSU</t>
  </si>
  <si>
    <t>NMSU/Alstar Seeds</t>
  </si>
  <si>
    <t>S&amp;W Seeds</t>
  </si>
  <si>
    <t>Dona Ana</t>
  </si>
  <si>
    <t>Roswell Seed</t>
  </si>
  <si>
    <t>2019 AVT entries (Entry number remain the same in both studies)</t>
  </si>
  <si>
    <t>Germ % as tested in 2019</t>
  </si>
  <si>
    <t>Minumum seed to plant</t>
  </si>
  <si>
    <t>Adjusted for time -10%</t>
  </si>
  <si>
    <t xml:space="preserve">You might want to bump these up. </t>
  </si>
  <si>
    <t>I don't know that they were tested for germ.</t>
  </si>
  <si>
    <t xml:space="preserve">The 100% germ on all S&amp;W entries has me </t>
  </si>
  <si>
    <t>thinking that germ tests were not conducted on these.</t>
  </si>
  <si>
    <t>Try 100 seed!</t>
  </si>
  <si>
    <t>Felipe</t>
  </si>
  <si>
    <t>UNM</t>
  </si>
  <si>
    <t>SW3407</t>
  </si>
  <si>
    <t>NY2003</t>
  </si>
  <si>
    <t>Algonquin</t>
  </si>
  <si>
    <t>Lightning Bolt</t>
  </si>
  <si>
    <t>SW5210</t>
  </si>
  <si>
    <t>Guardsman II</t>
  </si>
  <si>
    <t>Regen.</t>
  </si>
  <si>
    <t>Seedway 9558 SBR</t>
  </si>
  <si>
    <t>Vernal</t>
  </si>
  <si>
    <t>WL349HQ</t>
  </si>
  <si>
    <t>SW5606</t>
  </si>
  <si>
    <t>SW4107</t>
  </si>
  <si>
    <t>SW315 LH</t>
  </si>
  <si>
    <t>NY0651</t>
  </si>
  <si>
    <t>Oneida VR</t>
  </si>
  <si>
    <t>SW4412Y</t>
  </si>
  <si>
    <t>Oneida Ultra</t>
  </si>
  <si>
    <t>Ezra</t>
  </si>
  <si>
    <t>NY1614</t>
  </si>
  <si>
    <t>Lander</t>
  </si>
  <si>
    <t>NY1517</t>
  </si>
  <si>
    <t>Pluss III</t>
  </si>
  <si>
    <t>NY0465</t>
  </si>
  <si>
    <t>AlfaBar</t>
  </si>
  <si>
    <t>NY1615</t>
  </si>
  <si>
    <t>Population</t>
  </si>
  <si>
    <t>Seeds in 0.2g</t>
  </si>
  <si>
    <t>NA</t>
  </si>
  <si>
    <t>to be sowing (g)</t>
  </si>
  <si>
    <t>ok</t>
  </si>
  <si>
    <t>Cornell</t>
  </si>
  <si>
    <t>N-R-Gee</t>
  </si>
  <si>
    <t>SW4602Z</t>
  </si>
  <si>
    <t>Seedway 9558</t>
  </si>
  <si>
    <t>ID</t>
  </si>
  <si>
    <t>Orig</t>
  </si>
  <si>
    <t>ALF01</t>
  </si>
  <si>
    <t>ALF02</t>
  </si>
  <si>
    <t>ALF03</t>
  </si>
  <si>
    <t>ALF04</t>
  </si>
  <si>
    <t>ALF05</t>
  </si>
  <si>
    <t>ALF06</t>
  </si>
  <si>
    <t>ALF07</t>
  </si>
  <si>
    <t>ALF08</t>
  </si>
  <si>
    <t>ALF09</t>
  </si>
  <si>
    <t>ALF10</t>
  </si>
  <si>
    <t>ALF11</t>
  </si>
  <si>
    <t>ALF12</t>
  </si>
  <si>
    <t>ALF13</t>
  </si>
  <si>
    <t>ALF14</t>
  </si>
  <si>
    <t>ALF15</t>
  </si>
  <si>
    <t>ALF16</t>
  </si>
  <si>
    <t>ALF17</t>
  </si>
  <si>
    <t>ALF18</t>
  </si>
  <si>
    <t>ALF19</t>
  </si>
  <si>
    <t>ALF20</t>
  </si>
  <si>
    <t>ALF21</t>
  </si>
  <si>
    <t>ALF22</t>
  </si>
  <si>
    <t>ALF23</t>
  </si>
  <si>
    <t>ALF24</t>
  </si>
  <si>
    <t>ALF25</t>
  </si>
  <si>
    <t>ALF26</t>
  </si>
  <si>
    <t>ALF27</t>
  </si>
  <si>
    <t>ALF28</t>
  </si>
  <si>
    <t>ALF29</t>
  </si>
  <si>
    <t>ALF30</t>
  </si>
  <si>
    <t>ALF31</t>
  </si>
  <si>
    <t>ALF32</t>
  </si>
  <si>
    <t>ALF33</t>
  </si>
  <si>
    <t>ALF34</t>
  </si>
  <si>
    <t>ALF35</t>
  </si>
  <si>
    <t>ALF36</t>
  </si>
  <si>
    <t>ALF37</t>
  </si>
  <si>
    <t>ALF38</t>
  </si>
  <si>
    <t>ALF39</t>
  </si>
  <si>
    <t>ALF40</t>
  </si>
  <si>
    <t>ALF41</t>
  </si>
  <si>
    <t>ALF42</t>
  </si>
  <si>
    <t>ALF43</t>
  </si>
  <si>
    <t>ALF44</t>
  </si>
  <si>
    <t>ALF45</t>
  </si>
  <si>
    <t>ALF46</t>
  </si>
  <si>
    <t>ALF47</t>
  </si>
  <si>
    <t>A</t>
  </si>
  <si>
    <t>B</t>
  </si>
  <si>
    <t>C</t>
  </si>
  <si>
    <t>D</t>
  </si>
  <si>
    <t>F</t>
  </si>
  <si>
    <t>E</t>
  </si>
  <si>
    <t>G</t>
  </si>
  <si>
    <t>H</t>
  </si>
  <si>
    <t>both NMSU and NY were genotyped together</t>
  </si>
  <si>
    <t>yellow are present in 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</si>
</sst>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"/>
  </numFmts>
  <fonts count="10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-0.249977111117893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center"/>
    </xf>
    <xf numFmtId="0" fontId="3" fillId="0" borderId="2" xfId="0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 wrapText="1"/>
    </xf>
    <xf numFmtId="1" fontId="0" fillId="0" borderId="0" xfId="0" applyNumberFormat="1"/>
    <xf numFmtId="0" fontId="0" fillId="2" borderId="0" xfId="0" applyFill="1" applyAlignment="1">
      <alignment horizontal="center"/>
    </xf>
    <xf numFmtId="0" fontId="0" fillId="2" borderId="0" xfId="0" applyFill="1"/>
    <xf numFmtId="1" fontId="0" fillId="2" borderId="0" xfId="0" applyNumberFormat="1" applyFill="1"/>
    <xf numFmtId="0" fontId="7" fillId="0" borderId="0" xfId="0" applyFont="1" applyAlignment="1">
      <alignment horizontal="center" wrapText="1"/>
    </xf>
    <xf numFmtId="0" fontId="8" fillId="0" borderId="0" xfId="0" applyFont="1" applyAlignment="1">
      <alignment horizontal="center"/>
    </xf>
    <xf numFmtId="1" fontId="8" fillId="0" borderId="0" xfId="0" applyNumberFormat="1" applyFont="1" applyAlignment="1">
      <alignment horizontal="center"/>
    </xf>
    <xf numFmtId="1" fontId="8" fillId="2" borderId="0" xfId="0" applyNumberFormat="1" applyFont="1" applyFill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/>
    <xf numFmtId="2" fontId="4" fillId="0" borderId="0" xfId="0" applyNumberFormat="1" applyFont="1"/>
    <xf numFmtId="0" fontId="4" fillId="0" borderId="0" xfId="0" applyFont="1"/>
    <xf numFmtId="0" fontId="2" fillId="0" borderId="0" xfId="0" applyFont="1" applyAlignment="1">
      <alignment horizontal="center" wrapText="1"/>
    </xf>
    <xf numFmtId="0" fontId="3" fillId="0" borderId="0" xfId="0" applyFont="1" applyAlignment="1">
      <alignment horizontal="center" wrapText="1"/>
    </xf>
    <xf numFmtId="0" fontId="9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0" fontId="0" fillId="3" borderId="3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51"/>
  <sheetViews>
    <sheetView workbookViewId="0">
      <selection activeCell="A49" sqref="A49:XFD49"/>
    </sheetView>
  </sheetViews>
  <sheetFormatPr baseColWidth="10" defaultColWidth="8.83203125" defaultRowHeight="15" x14ac:dyDescent="0.2"/>
  <cols>
    <col min="1" max="1" width="8.83203125" style="1"/>
    <col min="2" max="2" width="29.1640625" customWidth="1"/>
    <col min="3" max="3" width="20.33203125" customWidth="1"/>
    <col min="4" max="4" width="17.83203125" customWidth="1"/>
    <col min="5" max="5" width="13" customWidth="1"/>
    <col min="6" max="6" width="13.33203125" customWidth="1"/>
    <col min="7" max="8" width="13.33203125" style="12" customWidth="1"/>
    <col min="9" max="9" width="46.5" bestFit="1" customWidth="1"/>
  </cols>
  <sheetData>
    <row r="1" spans="1:10" ht="16" thickBot="1" x14ac:dyDescent="0.25">
      <c r="A1" t="s">
        <v>28</v>
      </c>
      <c r="G1" s="12" t="s">
        <v>37</v>
      </c>
    </row>
    <row r="2" spans="1:10" ht="36" thickTop="1" thickBot="1" x14ac:dyDescent="0.25">
      <c r="A2" s="2" t="s">
        <v>0</v>
      </c>
      <c r="B2" s="2" t="s">
        <v>1</v>
      </c>
      <c r="C2" s="2" t="s">
        <v>20</v>
      </c>
      <c r="D2" s="2" t="s">
        <v>29</v>
      </c>
      <c r="E2" s="2" t="s">
        <v>31</v>
      </c>
      <c r="F2" s="2" t="s">
        <v>30</v>
      </c>
      <c r="G2" s="11"/>
      <c r="H2" s="11"/>
    </row>
    <row r="3" spans="1:10" ht="17" thickTop="1" x14ac:dyDescent="0.2">
      <c r="A3" s="3">
        <v>3</v>
      </c>
      <c r="B3" s="5" t="s">
        <v>2</v>
      </c>
      <c r="C3" s="4" t="s">
        <v>21</v>
      </c>
      <c r="D3" s="1">
        <v>89</v>
      </c>
      <c r="E3">
        <f>D3*0.9</f>
        <v>80.100000000000009</v>
      </c>
      <c r="F3" s="7">
        <f>80/(E3*0.01)</f>
        <v>99.87515605493131</v>
      </c>
      <c r="G3" s="13">
        <f>120/E3*100</f>
        <v>149.81273408239699</v>
      </c>
      <c r="H3" s="13" t="s">
        <v>38</v>
      </c>
      <c r="J3" t="s">
        <v>68</v>
      </c>
    </row>
    <row r="4" spans="1:10" ht="16" x14ac:dyDescent="0.2">
      <c r="A4" s="3">
        <v>4</v>
      </c>
      <c r="B4" s="5" t="s">
        <v>3</v>
      </c>
      <c r="C4" s="4" t="s">
        <v>22</v>
      </c>
      <c r="D4" s="1">
        <v>96</v>
      </c>
      <c r="E4">
        <f t="shared" ref="E4:E21" si="0">D4*0.9</f>
        <v>86.4</v>
      </c>
      <c r="F4" s="7">
        <f t="shared" ref="F4:F21" si="1">80/(E4*0.01)</f>
        <v>92.592592592592581</v>
      </c>
      <c r="G4" s="13">
        <f t="shared" ref="G4:G21" si="2">120/E4*100</f>
        <v>138.88888888888889</v>
      </c>
      <c r="H4" s="13" t="s">
        <v>38</v>
      </c>
      <c r="J4" t="s">
        <v>68</v>
      </c>
    </row>
    <row r="5" spans="1:10" ht="16" x14ac:dyDescent="0.2">
      <c r="A5" s="3">
        <v>5</v>
      </c>
      <c r="B5" s="5" t="s">
        <v>4</v>
      </c>
      <c r="C5" s="4" t="s">
        <v>23</v>
      </c>
      <c r="D5" s="1">
        <v>97.5</v>
      </c>
      <c r="E5">
        <f t="shared" si="0"/>
        <v>87.75</v>
      </c>
      <c r="F5" s="7">
        <f t="shared" si="1"/>
        <v>91.168091168091166</v>
      </c>
      <c r="G5" s="13">
        <f t="shared" si="2"/>
        <v>136.75213675213675</v>
      </c>
      <c r="H5" s="13" t="s">
        <v>38</v>
      </c>
      <c r="J5" t="s">
        <v>68</v>
      </c>
    </row>
    <row r="6" spans="1:10" ht="16" x14ac:dyDescent="0.2">
      <c r="A6" s="3">
        <v>6</v>
      </c>
      <c r="B6" s="5" t="s">
        <v>5</v>
      </c>
      <c r="C6" s="4" t="s">
        <v>23</v>
      </c>
      <c r="D6" s="1">
        <v>94.5</v>
      </c>
      <c r="E6">
        <f t="shared" si="0"/>
        <v>85.05</v>
      </c>
      <c r="F6" s="7">
        <f t="shared" si="1"/>
        <v>94.062316284538497</v>
      </c>
      <c r="G6" s="13">
        <f t="shared" si="2"/>
        <v>141.09347442680777</v>
      </c>
      <c r="H6" s="13" t="s">
        <v>38</v>
      </c>
      <c r="J6" t="s">
        <v>68</v>
      </c>
    </row>
    <row r="7" spans="1:10" ht="16" x14ac:dyDescent="0.2">
      <c r="A7" s="3">
        <v>7</v>
      </c>
      <c r="B7" s="5" t="s">
        <v>6</v>
      </c>
      <c r="C7" s="4" t="s">
        <v>23</v>
      </c>
      <c r="D7" s="1">
        <v>97.5</v>
      </c>
      <c r="E7">
        <f t="shared" si="0"/>
        <v>87.75</v>
      </c>
      <c r="F7" s="7">
        <f t="shared" si="1"/>
        <v>91.168091168091166</v>
      </c>
      <c r="G7" s="13">
        <f t="shared" si="2"/>
        <v>136.75213675213675</v>
      </c>
      <c r="H7" s="13" t="s">
        <v>38</v>
      </c>
      <c r="J7" t="s">
        <v>68</v>
      </c>
    </row>
    <row r="8" spans="1:10" ht="16" x14ac:dyDescent="0.2">
      <c r="A8" s="3">
        <v>8</v>
      </c>
      <c r="B8" s="5" t="s">
        <v>7</v>
      </c>
      <c r="C8" s="4" t="s">
        <v>23</v>
      </c>
      <c r="D8" s="1">
        <v>98.5</v>
      </c>
      <c r="E8">
        <f t="shared" si="0"/>
        <v>88.65</v>
      </c>
      <c r="F8" s="7">
        <f t="shared" si="1"/>
        <v>90.242526790750134</v>
      </c>
      <c r="G8" s="13">
        <f t="shared" si="2"/>
        <v>135.36379018612521</v>
      </c>
      <c r="H8" s="13" t="s">
        <v>38</v>
      </c>
      <c r="J8" t="s">
        <v>68</v>
      </c>
    </row>
    <row r="9" spans="1:10" ht="16" x14ac:dyDescent="0.2">
      <c r="A9" s="3">
        <v>9</v>
      </c>
      <c r="B9" s="5" t="s">
        <v>8</v>
      </c>
      <c r="C9" s="4" t="s">
        <v>23</v>
      </c>
      <c r="D9" s="1">
        <v>97.5</v>
      </c>
      <c r="E9">
        <f t="shared" si="0"/>
        <v>87.75</v>
      </c>
      <c r="F9" s="7">
        <f t="shared" si="1"/>
        <v>91.168091168091166</v>
      </c>
      <c r="G9" s="13">
        <f t="shared" si="2"/>
        <v>136.75213675213675</v>
      </c>
      <c r="H9" s="13" t="s">
        <v>38</v>
      </c>
      <c r="J9" t="s">
        <v>68</v>
      </c>
    </row>
    <row r="10" spans="1:10" ht="16" x14ac:dyDescent="0.2">
      <c r="A10" s="3">
        <v>10</v>
      </c>
      <c r="B10" s="5" t="s">
        <v>9</v>
      </c>
      <c r="C10" s="4" t="s">
        <v>23</v>
      </c>
      <c r="D10" s="1">
        <v>96</v>
      </c>
      <c r="E10">
        <f t="shared" si="0"/>
        <v>86.4</v>
      </c>
      <c r="F10" s="7">
        <f t="shared" si="1"/>
        <v>92.592592592592581</v>
      </c>
      <c r="G10" s="13">
        <f t="shared" si="2"/>
        <v>138.88888888888889</v>
      </c>
      <c r="H10" s="13" t="s">
        <v>38</v>
      </c>
      <c r="J10" t="s">
        <v>68</v>
      </c>
    </row>
    <row r="11" spans="1:10" ht="16" x14ac:dyDescent="0.2">
      <c r="A11" s="3">
        <v>11</v>
      </c>
      <c r="B11" s="5" t="s">
        <v>10</v>
      </c>
      <c r="C11" s="4" t="s">
        <v>23</v>
      </c>
      <c r="D11" s="1">
        <v>98.5</v>
      </c>
      <c r="E11">
        <f t="shared" si="0"/>
        <v>88.65</v>
      </c>
      <c r="F11" s="7">
        <f t="shared" si="1"/>
        <v>90.242526790750134</v>
      </c>
      <c r="G11" s="13">
        <f t="shared" si="2"/>
        <v>135.36379018612521</v>
      </c>
      <c r="H11" s="13" t="s">
        <v>38</v>
      </c>
      <c r="J11" t="s">
        <v>68</v>
      </c>
    </row>
    <row r="12" spans="1:10" ht="16" x14ac:dyDescent="0.2">
      <c r="A12" s="3">
        <v>12</v>
      </c>
      <c r="B12" s="5" t="s">
        <v>11</v>
      </c>
      <c r="C12" s="4" t="s">
        <v>23</v>
      </c>
      <c r="D12" s="1">
        <v>99.5</v>
      </c>
      <c r="E12">
        <f t="shared" si="0"/>
        <v>89.55</v>
      </c>
      <c r="F12" s="7">
        <f t="shared" si="1"/>
        <v>89.335566722501397</v>
      </c>
      <c r="G12" s="13">
        <f t="shared" si="2"/>
        <v>134.00335008375211</v>
      </c>
      <c r="H12" s="13" t="s">
        <v>38</v>
      </c>
      <c r="J12" t="s">
        <v>68</v>
      </c>
    </row>
    <row r="13" spans="1:10" ht="16" x14ac:dyDescent="0.2">
      <c r="A13" s="3">
        <v>13</v>
      </c>
      <c r="B13" s="5" t="s">
        <v>12</v>
      </c>
      <c r="C13" s="4" t="s">
        <v>23</v>
      </c>
      <c r="D13" s="1">
        <v>99</v>
      </c>
      <c r="E13">
        <f t="shared" si="0"/>
        <v>89.100000000000009</v>
      </c>
      <c r="F13" s="7">
        <f t="shared" si="1"/>
        <v>89.786756453423109</v>
      </c>
      <c r="G13" s="13">
        <f t="shared" si="2"/>
        <v>134.68013468013467</v>
      </c>
      <c r="H13" s="13" t="s">
        <v>38</v>
      </c>
      <c r="J13" t="s">
        <v>68</v>
      </c>
    </row>
    <row r="14" spans="1:10" ht="17" x14ac:dyDescent="0.2">
      <c r="A14" s="3">
        <v>14</v>
      </c>
      <c r="B14" s="6" t="s">
        <v>13</v>
      </c>
      <c r="C14" s="4" t="s">
        <v>24</v>
      </c>
      <c r="D14" s="1">
        <v>90.25</v>
      </c>
      <c r="E14">
        <f t="shared" si="0"/>
        <v>81.225000000000009</v>
      </c>
      <c r="F14" s="7">
        <f t="shared" si="1"/>
        <v>98.491843644198198</v>
      </c>
      <c r="G14" s="13">
        <f t="shared" si="2"/>
        <v>147.7377654662973</v>
      </c>
      <c r="H14" s="13" t="s">
        <v>38</v>
      </c>
      <c r="J14" t="s">
        <v>68</v>
      </c>
    </row>
    <row r="15" spans="1:10" ht="16" x14ac:dyDescent="0.2">
      <c r="A15" s="3">
        <v>17</v>
      </c>
      <c r="B15" s="5" t="s">
        <v>14</v>
      </c>
      <c r="C15" s="4" t="s">
        <v>25</v>
      </c>
      <c r="D15" s="8">
        <v>100</v>
      </c>
      <c r="E15" s="9">
        <f t="shared" si="0"/>
        <v>90</v>
      </c>
      <c r="F15" s="10">
        <f t="shared" si="1"/>
        <v>88.888888888888886</v>
      </c>
      <c r="G15" s="14">
        <f t="shared" si="2"/>
        <v>133.33333333333331</v>
      </c>
      <c r="H15" s="14" t="s">
        <v>38</v>
      </c>
      <c r="J15" t="s">
        <v>68</v>
      </c>
    </row>
    <row r="16" spans="1:10" ht="16" x14ac:dyDescent="0.2">
      <c r="A16" s="3">
        <v>18</v>
      </c>
      <c r="B16" s="5" t="s">
        <v>15</v>
      </c>
      <c r="C16" s="4" t="s">
        <v>25</v>
      </c>
      <c r="D16" s="8">
        <v>100</v>
      </c>
      <c r="E16" s="9">
        <f t="shared" si="0"/>
        <v>90</v>
      </c>
      <c r="F16" s="10">
        <f t="shared" si="1"/>
        <v>88.888888888888886</v>
      </c>
      <c r="G16" s="14">
        <f t="shared" si="2"/>
        <v>133.33333333333331</v>
      </c>
      <c r="H16" s="14" t="s">
        <v>38</v>
      </c>
      <c r="I16" t="s">
        <v>32</v>
      </c>
      <c r="J16" t="s">
        <v>68</v>
      </c>
    </row>
    <row r="17" spans="1:10" ht="16" x14ac:dyDescent="0.2">
      <c r="A17" s="3">
        <v>19</v>
      </c>
      <c r="B17" s="5" t="s">
        <v>16</v>
      </c>
      <c r="C17" s="4" t="s">
        <v>25</v>
      </c>
      <c r="D17" s="8">
        <v>100</v>
      </c>
      <c r="E17" s="9">
        <f t="shared" si="0"/>
        <v>90</v>
      </c>
      <c r="F17" s="10">
        <f t="shared" si="1"/>
        <v>88.888888888888886</v>
      </c>
      <c r="G17" s="14">
        <f t="shared" si="2"/>
        <v>133.33333333333331</v>
      </c>
      <c r="H17" s="14" t="s">
        <v>38</v>
      </c>
      <c r="I17" t="s">
        <v>33</v>
      </c>
      <c r="J17" t="s">
        <v>68</v>
      </c>
    </row>
    <row r="18" spans="1:10" ht="16" x14ac:dyDescent="0.2">
      <c r="A18" s="3">
        <v>20</v>
      </c>
      <c r="B18" s="5" t="s">
        <v>17</v>
      </c>
      <c r="C18" s="4" t="s">
        <v>25</v>
      </c>
      <c r="D18" s="8">
        <v>100</v>
      </c>
      <c r="E18" s="9">
        <f t="shared" si="0"/>
        <v>90</v>
      </c>
      <c r="F18" s="10">
        <f t="shared" si="1"/>
        <v>88.888888888888886</v>
      </c>
      <c r="G18" s="14">
        <f t="shared" si="2"/>
        <v>133.33333333333331</v>
      </c>
      <c r="H18" s="14" t="s">
        <v>38</v>
      </c>
      <c r="I18" t="s">
        <v>34</v>
      </c>
      <c r="J18" t="s">
        <v>68</v>
      </c>
    </row>
    <row r="19" spans="1:10" ht="16" x14ac:dyDescent="0.2">
      <c r="A19" s="3">
        <v>21</v>
      </c>
      <c r="B19" s="5" t="s">
        <v>18</v>
      </c>
      <c r="C19" s="4" t="s">
        <v>25</v>
      </c>
      <c r="D19" s="8">
        <v>100</v>
      </c>
      <c r="E19" s="9">
        <f t="shared" si="0"/>
        <v>90</v>
      </c>
      <c r="F19" s="10">
        <f t="shared" si="1"/>
        <v>88.888888888888886</v>
      </c>
      <c r="G19" s="14">
        <f t="shared" si="2"/>
        <v>133.33333333333331</v>
      </c>
      <c r="H19" s="14" t="s">
        <v>38</v>
      </c>
      <c r="I19" t="s">
        <v>35</v>
      </c>
      <c r="J19" t="s">
        <v>68</v>
      </c>
    </row>
    <row r="20" spans="1:10" ht="16" x14ac:dyDescent="0.2">
      <c r="A20" s="3">
        <v>22</v>
      </c>
      <c r="B20" s="5" t="s">
        <v>19</v>
      </c>
      <c r="C20" s="4" t="s">
        <v>25</v>
      </c>
      <c r="D20" s="8">
        <v>100</v>
      </c>
      <c r="E20" s="9">
        <f t="shared" si="0"/>
        <v>90</v>
      </c>
      <c r="F20" s="10">
        <f t="shared" si="1"/>
        <v>88.888888888888886</v>
      </c>
      <c r="G20" s="14">
        <f t="shared" si="2"/>
        <v>133.33333333333331</v>
      </c>
      <c r="H20" s="14" t="s">
        <v>38</v>
      </c>
      <c r="I20" t="s">
        <v>36</v>
      </c>
      <c r="J20" t="s">
        <v>68</v>
      </c>
    </row>
    <row r="21" spans="1:10" ht="16" x14ac:dyDescent="0.2">
      <c r="A21" s="3">
        <v>24</v>
      </c>
      <c r="B21" s="5" t="s">
        <v>26</v>
      </c>
      <c r="C21" s="4" t="s">
        <v>27</v>
      </c>
      <c r="D21" s="1">
        <v>75.5</v>
      </c>
      <c r="E21">
        <f t="shared" si="0"/>
        <v>67.95</v>
      </c>
      <c r="F21" s="7">
        <f t="shared" si="1"/>
        <v>117.7336276674025</v>
      </c>
      <c r="G21" s="13">
        <f t="shared" si="2"/>
        <v>176.60044150110375</v>
      </c>
      <c r="H21" s="13" t="s">
        <v>38</v>
      </c>
      <c r="J21" t="s">
        <v>68</v>
      </c>
    </row>
    <row r="22" spans="1:10" x14ac:dyDescent="0.2">
      <c r="B22" s="1"/>
    </row>
    <row r="23" spans="1:10" ht="34" x14ac:dyDescent="0.2">
      <c r="B23" s="1" t="s">
        <v>64</v>
      </c>
      <c r="C23" s="16" t="s">
        <v>20</v>
      </c>
      <c r="D23" t="s">
        <v>65</v>
      </c>
      <c r="E23" s="11" t="s">
        <v>67</v>
      </c>
    </row>
    <row r="24" spans="1:10" ht="16" x14ac:dyDescent="0.2">
      <c r="B24" s="15" t="s">
        <v>70</v>
      </c>
      <c r="D24">
        <v>70</v>
      </c>
      <c r="E24" s="17">
        <f>(120/D24)*0.2</f>
        <v>0.34285714285714286</v>
      </c>
      <c r="F24" s="18" t="s">
        <v>69</v>
      </c>
      <c r="G24" s="12" t="s">
        <v>68</v>
      </c>
    </row>
    <row r="25" spans="1:10" ht="16" x14ac:dyDescent="0.2">
      <c r="B25" s="15" t="s">
        <v>39</v>
      </c>
      <c r="D25">
        <v>74</v>
      </c>
      <c r="E25" s="17">
        <f t="shared" ref="E25:E51" si="3">(120/D25)*0.2</f>
        <v>0.32432432432432434</v>
      </c>
      <c r="F25" s="18" t="s">
        <v>69</v>
      </c>
      <c r="G25" s="12" t="s">
        <v>68</v>
      </c>
    </row>
    <row r="26" spans="1:10" ht="16" x14ac:dyDescent="0.2">
      <c r="B26" s="15" t="s">
        <v>40</v>
      </c>
      <c r="D26" t="s">
        <v>66</v>
      </c>
      <c r="E26" s="17" t="s">
        <v>66</v>
      </c>
      <c r="F26" s="18" t="s">
        <v>69</v>
      </c>
      <c r="G26" s="12" t="s">
        <v>68</v>
      </c>
    </row>
    <row r="27" spans="1:10" ht="16" x14ac:dyDescent="0.2">
      <c r="B27" s="15" t="s">
        <v>41</v>
      </c>
      <c r="D27">
        <v>69</v>
      </c>
      <c r="E27" s="17">
        <f t="shared" si="3"/>
        <v>0.34782608695652173</v>
      </c>
      <c r="F27" s="18" t="s">
        <v>69</v>
      </c>
      <c r="G27" s="12" t="s">
        <v>68</v>
      </c>
    </row>
    <row r="28" spans="1:10" ht="16" x14ac:dyDescent="0.2">
      <c r="B28" s="15" t="s">
        <v>42</v>
      </c>
      <c r="D28">
        <v>75</v>
      </c>
      <c r="E28" s="17">
        <f t="shared" si="3"/>
        <v>0.32000000000000006</v>
      </c>
      <c r="F28" s="18" t="s">
        <v>69</v>
      </c>
      <c r="G28" s="12" t="s">
        <v>68</v>
      </c>
    </row>
    <row r="29" spans="1:10" ht="16" x14ac:dyDescent="0.2">
      <c r="B29" s="15" t="s">
        <v>43</v>
      </c>
      <c r="D29">
        <v>64</v>
      </c>
      <c r="E29" s="17">
        <f t="shared" si="3"/>
        <v>0.375</v>
      </c>
      <c r="F29" s="18" t="s">
        <v>69</v>
      </c>
      <c r="G29" s="12" t="s">
        <v>68</v>
      </c>
    </row>
    <row r="30" spans="1:10" ht="16" x14ac:dyDescent="0.2">
      <c r="B30" s="15" t="s">
        <v>44</v>
      </c>
      <c r="D30">
        <v>46</v>
      </c>
      <c r="E30" s="17">
        <f t="shared" si="3"/>
        <v>0.52173913043478259</v>
      </c>
      <c r="F30" s="18" t="s">
        <v>69</v>
      </c>
      <c r="G30" s="12" t="s">
        <v>68</v>
      </c>
    </row>
    <row r="31" spans="1:10" ht="16" x14ac:dyDescent="0.2">
      <c r="B31" s="15" t="s">
        <v>45</v>
      </c>
      <c r="D31">
        <v>64</v>
      </c>
      <c r="E31" s="17">
        <f t="shared" si="3"/>
        <v>0.375</v>
      </c>
      <c r="F31" s="18" t="s">
        <v>69</v>
      </c>
      <c r="G31" s="12" t="s">
        <v>68</v>
      </c>
    </row>
    <row r="32" spans="1:10" ht="16" x14ac:dyDescent="0.2">
      <c r="B32" s="15" t="s">
        <v>46</v>
      </c>
      <c r="D32">
        <v>48</v>
      </c>
      <c r="E32" s="17">
        <f t="shared" si="3"/>
        <v>0.5</v>
      </c>
      <c r="F32" s="18" t="s">
        <v>69</v>
      </c>
      <c r="G32" s="12" t="s">
        <v>68</v>
      </c>
    </row>
    <row r="33" spans="2:7" ht="16" x14ac:dyDescent="0.2">
      <c r="B33" s="15" t="s">
        <v>47</v>
      </c>
      <c r="D33">
        <v>83</v>
      </c>
      <c r="E33" s="17">
        <f t="shared" si="3"/>
        <v>0.28915662650602408</v>
      </c>
      <c r="F33" s="18" t="s">
        <v>69</v>
      </c>
      <c r="G33" s="12" t="s">
        <v>68</v>
      </c>
    </row>
    <row r="34" spans="2:7" ht="16" x14ac:dyDescent="0.2">
      <c r="B34" s="15" t="s">
        <v>48</v>
      </c>
      <c r="D34">
        <v>44</v>
      </c>
      <c r="E34" s="17">
        <f t="shared" si="3"/>
        <v>0.54545454545454541</v>
      </c>
      <c r="F34" s="18" t="s">
        <v>69</v>
      </c>
      <c r="G34" s="12" t="s">
        <v>68</v>
      </c>
    </row>
    <row r="35" spans="2:7" ht="16" x14ac:dyDescent="0.2">
      <c r="B35" s="15" t="s">
        <v>49</v>
      </c>
      <c r="D35">
        <v>73</v>
      </c>
      <c r="E35" s="17">
        <f t="shared" si="3"/>
        <v>0.32876712328767121</v>
      </c>
      <c r="F35" s="18" t="s">
        <v>69</v>
      </c>
      <c r="G35" s="12" t="s">
        <v>68</v>
      </c>
    </row>
    <row r="36" spans="2:7" ht="16" x14ac:dyDescent="0.2">
      <c r="B36" s="15" t="s">
        <v>50</v>
      </c>
      <c r="D36">
        <v>59</v>
      </c>
      <c r="E36" s="17">
        <f t="shared" si="3"/>
        <v>0.40677966101694918</v>
      </c>
      <c r="F36" s="18" t="s">
        <v>69</v>
      </c>
      <c r="G36" s="12" t="s">
        <v>68</v>
      </c>
    </row>
    <row r="37" spans="2:7" ht="16" x14ac:dyDescent="0.2">
      <c r="B37" s="15" t="s">
        <v>51</v>
      </c>
      <c r="D37">
        <v>67</v>
      </c>
      <c r="E37" s="17">
        <f t="shared" si="3"/>
        <v>0.35820895522388063</v>
      </c>
      <c r="F37" s="18" t="s">
        <v>69</v>
      </c>
      <c r="G37" s="12" t="s">
        <v>68</v>
      </c>
    </row>
    <row r="38" spans="2:7" ht="16" x14ac:dyDescent="0.2">
      <c r="B38" s="15" t="s">
        <v>52</v>
      </c>
      <c r="D38">
        <v>75</v>
      </c>
      <c r="E38" s="17">
        <f t="shared" si="3"/>
        <v>0.32000000000000006</v>
      </c>
      <c r="F38" s="18" t="s">
        <v>69</v>
      </c>
      <c r="G38" s="12" t="s">
        <v>68</v>
      </c>
    </row>
    <row r="39" spans="2:7" ht="16" x14ac:dyDescent="0.2">
      <c r="B39" s="15" t="s">
        <v>71</v>
      </c>
      <c r="D39">
        <v>69</v>
      </c>
      <c r="E39" s="17">
        <f t="shared" si="3"/>
        <v>0.34782608695652173</v>
      </c>
      <c r="F39" s="18" t="s">
        <v>69</v>
      </c>
      <c r="G39" s="12" t="s">
        <v>68</v>
      </c>
    </row>
    <row r="40" spans="2:7" ht="16" x14ac:dyDescent="0.2">
      <c r="B40" s="15" t="s">
        <v>53</v>
      </c>
      <c r="D40">
        <v>98</v>
      </c>
      <c r="E40" s="17">
        <f t="shared" si="3"/>
        <v>0.24489795918367349</v>
      </c>
      <c r="F40" s="18" t="s">
        <v>69</v>
      </c>
      <c r="G40" s="12" t="s">
        <v>68</v>
      </c>
    </row>
    <row r="41" spans="2:7" ht="16" x14ac:dyDescent="0.2">
      <c r="B41" s="15" t="s">
        <v>72</v>
      </c>
      <c r="D41">
        <v>53</v>
      </c>
      <c r="E41" s="17">
        <f t="shared" si="3"/>
        <v>0.45283018867924529</v>
      </c>
      <c r="F41" s="18" t="s">
        <v>69</v>
      </c>
      <c r="G41" s="12" t="s">
        <v>68</v>
      </c>
    </row>
    <row r="42" spans="2:7" ht="16" x14ac:dyDescent="0.2">
      <c r="B42" s="15" t="s">
        <v>54</v>
      </c>
      <c r="D42">
        <v>73</v>
      </c>
      <c r="E42" s="17">
        <f t="shared" si="3"/>
        <v>0.32876712328767121</v>
      </c>
      <c r="F42" s="18" t="s">
        <v>69</v>
      </c>
      <c r="G42" t="s">
        <v>68</v>
      </c>
    </row>
    <row r="43" spans="2:7" ht="16" x14ac:dyDescent="0.2">
      <c r="B43" s="15" t="s">
        <v>55</v>
      </c>
      <c r="D43">
        <v>91</v>
      </c>
      <c r="E43" s="17">
        <f t="shared" si="3"/>
        <v>0.26373626373626374</v>
      </c>
      <c r="F43" s="18" t="s">
        <v>69</v>
      </c>
      <c r="G43" t="s">
        <v>68</v>
      </c>
    </row>
    <row r="44" spans="2:7" ht="16" x14ac:dyDescent="0.2">
      <c r="B44" s="15" t="s">
        <v>56</v>
      </c>
      <c r="D44">
        <v>61</v>
      </c>
      <c r="E44" s="17">
        <f t="shared" si="3"/>
        <v>0.39344262295081966</v>
      </c>
      <c r="F44" s="18" t="s">
        <v>69</v>
      </c>
      <c r="G44" t="s">
        <v>68</v>
      </c>
    </row>
    <row r="45" spans="2:7" ht="16" x14ac:dyDescent="0.2">
      <c r="B45" s="15" t="s">
        <v>59</v>
      </c>
      <c r="D45">
        <v>79</v>
      </c>
      <c r="E45" s="17">
        <f t="shared" si="3"/>
        <v>0.30379746835443044</v>
      </c>
      <c r="F45" s="18" t="s">
        <v>69</v>
      </c>
      <c r="G45" t="s">
        <v>68</v>
      </c>
    </row>
    <row r="46" spans="2:7" ht="16" x14ac:dyDescent="0.2">
      <c r="B46" s="15" t="s">
        <v>58</v>
      </c>
      <c r="D46">
        <v>81</v>
      </c>
      <c r="E46" s="17">
        <f t="shared" si="3"/>
        <v>0.29629629629629628</v>
      </c>
      <c r="F46" s="18" t="s">
        <v>69</v>
      </c>
      <c r="G46" t="s">
        <v>68</v>
      </c>
    </row>
    <row r="47" spans="2:7" ht="16" x14ac:dyDescent="0.2">
      <c r="B47" s="15" t="s">
        <v>57</v>
      </c>
      <c r="D47">
        <v>116</v>
      </c>
      <c r="E47" s="17">
        <f t="shared" si="3"/>
        <v>0.20689655172413796</v>
      </c>
      <c r="F47" s="18" t="s">
        <v>69</v>
      </c>
      <c r="G47" s="12" t="s">
        <v>68</v>
      </c>
    </row>
    <row r="48" spans="2:7" ht="16" x14ac:dyDescent="0.2">
      <c r="B48" s="15" t="s">
        <v>60</v>
      </c>
      <c r="D48">
        <v>69</v>
      </c>
      <c r="E48" s="17">
        <f t="shared" si="3"/>
        <v>0.34782608695652173</v>
      </c>
      <c r="F48" s="18" t="s">
        <v>69</v>
      </c>
      <c r="G48" s="12" t="s">
        <v>68</v>
      </c>
    </row>
    <row r="49" spans="2:7" ht="16" x14ac:dyDescent="0.2">
      <c r="B49" s="15" t="s">
        <v>61</v>
      </c>
      <c r="D49">
        <v>55</v>
      </c>
      <c r="E49" s="17">
        <f t="shared" si="3"/>
        <v>0.43636363636363634</v>
      </c>
      <c r="F49" s="18" t="s">
        <v>69</v>
      </c>
      <c r="G49" s="12" t="s">
        <v>68</v>
      </c>
    </row>
    <row r="50" spans="2:7" ht="16" x14ac:dyDescent="0.2">
      <c r="B50" s="15" t="s">
        <v>62</v>
      </c>
      <c r="D50">
        <v>55</v>
      </c>
      <c r="E50" s="17">
        <f t="shared" si="3"/>
        <v>0.43636363636363634</v>
      </c>
      <c r="F50" s="18" t="s">
        <v>69</v>
      </c>
      <c r="G50" s="12" t="s">
        <v>68</v>
      </c>
    </row>
    <row r="51" spans="2:7" ht="16" x14ac:dyDescent="0.2">
      <c r="B51" s="15" t="s">
        <v>63</v>
      </c>
      <c r="D51">
        <v>96</v>
      </c>
      <c r="E51" s="17">
        <f t="shared" si="3"/>
        <v>0.25</v>
      </c>
      <c r="F51" s="18" t="s">
        <v>69</v>
      </c>
      <c r="G51" s="12" t="s">
        <v>68</v>
      </c>
    </row>
  </sheetData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53966-E017-401E-8CA8-5F276EFEAC34}">
  <dimension ref="A1:C48"/>
  <sheetViews>
    <sheetView zoomScale="142" workbookViewId="0">
      <selection activeCell="E54" sqref="E54"/>
    </sheetView>
  </sheetViews>
  <sheetFormatPr baseColWidth="10" defaultColWidth="8.6640625" defaultRowHeight="15" x14ac:dyDescent="0.2"/>
  <cols>
    <col min="1" max="1" width="8.6640625" style="1"/>
    <col min="2" max="2" width="28.6640625" style="1" customWidth="1"/>
    <col min="3" max="3" width="8.6640625" style="1" customWidth="1"/>
    <col min="7" max="7" width="14.83203125" customWidth="1"/>
    <col min="8" max="8" width="30.1640625" customWidth="1"/>
  </cols>
  <sheetData>
    <row r="1" spans="1:3" ht="17" x14ac:dyDescent="0.2">
      <c r="A1" s="21" t="s">
        <v>73</v>
      </c>
      <c r="B1" s="20" t="s">
        <v>1</v>
      </c>
      <c r="C1" s="21" t="s">
        <v>74</v>
      </c>
    </row>
    <row r="2" spans="1:3" ht="16" x14ac:dyDescent="0.2">
      <c r="A2" s="22" t="s">
        <v>75</v>
      </c>
      <c r="B2" s="23" t="s">
        <v>2</v>
      </c>
      <c r="C2" s="1" t="s">
        <v>38</v>
      </c>
    </row>
    <row r="3" spans="1:3" ht="16" x14ac:dyDescent="0.2">
      <c r="A3" s="22" t="s">
        <v>76</v>
      </c>
      <c r="B3" s="23" t="s">
        <v>3</v>
      </c>
      <c r="C3" s="1" t="s">
        <v>38</v>
      </c>
    </row>
    <row r="4" spans="1:3" ht="16" x14ac:dyDescent="0.2">
      <c r="A4" s="22" t="s">
        <v>77</v>
      </c>
      <c r="B4" s="23" t="s">
        <v>4</v>
      </c>
      <c r="C4" s="1" t="s">
        <v>38</v>
      </c>
    </row>
    <row r="5" spans="1:3" ht="16" x14ac:dyDescent="0.2">
      <c r="A5" s="22" t="s">
        <v>78</v>
      </c>
      <c r="B5" s="23" t="s">
        <v>5</v>
      </c>
      <c r="C5" s="1" t="s">
        <v>38</v>
      </c>
    </row>
    <row r="6" spans="1:3" ht="16" x14ac:dyDescent="0.2">
      <c r="A6" s="22" t="s">
        <v>79</v>
      </c>
      <c r="B6" s="23" t="s">
        <v>6</v>
      </c>
      <c r="C6" s="1" t="s">
        <v>38</v>
      </c>
    </row>
    <row r="7" spans="1:3" ht="16" x14ac:dyDescent="0.2">
      <c r="A7" s="22" t="s">
        <v>80</v>
      </c>
      <c r="B7" s="23" t="s">
        <v>7</v>
      </c>
      <c r="C7" s="1" t="s">
        <v>38</v>
      </c>
    </row>
    <row r="8" spans="1:3" ht="16" x14ac:dyDescent="0.2">
      <c r="A8" s="22" t="s">
        <v>81</v>
      </c>
      <c r="B8" s="23" t="s">
        <v>8</v>
      </c>
      <c r="C8" s="1" t="s">
        <v>38</v>
      </c>
    </row>
    <row r="9" spans="1:3" ht="16" x14ac:dyDescent="0.2">
      <c r="A9" s="22" t="s">
        <v>82</v>
      </c>
      <c r="B9" s="23" t="s">
        <v>9</v>
      </c>
      <c r="C9" s="1" t="s">
        <v>38</v>
      </c>
    </row>
    <row r="10" spans="1:3" ht="16" x14ac:dyDescent="0.2">
      <c r="A10" s="22" t="s">
        <v>83</v>
      </c>
      <c r="B10" s="23" t="s">
        <v>10</v>
      </c>
      <c r="C10" s="1" t="s">
        <v>38</v>
      </c>
    </row>
    <row r="11" spans="1:3" ht="16" x14ac:dyDescent="0.2">
      <c r="A11" s="22" t="s">
        <v>84</v>
      </c>
      <c r="B11" s="23" t="s">
        <v>11</v>
      </c>
      <c r="C11" s="1" t="s">
        <v>38</v>
      </c>
    </row>
    <row r="12" spans="1:3" ht="16" x14ac:dyDescent="0.2">
      <c r="A12" s="22" t="s">
        <v>85</v>
      </c>
      <c r="B12" s="23" t="s">
        <v>12</v>
      </c>
      <c r="C12" s="1" t="s">
        <v>38</v>
      </c>
    </row>
    <row r="13" spans="1:3" ht="19" customHeight="1" x14ac:dyDescent="0.2">
      <c r="A13" s="22" t="s">
        <v>86</v>
      </c>
      <c r="B13" s="19" t="s">
        <v>13</v>
      </c>
      <c r="C13" s="1" t="s">
        <v>38</v>
      </c>
    </row>
    <row r="14" spans="1:3" ht="16" x14ac:dyDescent="0.2">
      <c r="A14" s="22" t="s">
        <v>87</v>
      </c>
      <c r="B14" s="23" t="s">
        <v>14</v>
      </c>
      <c r="C14" s="1" t="s">
        <v>38</v>
      </c>
    </row>
    <row r="15" spans="1:3" ht="16" x14ac:dyDescent="0.2">
      <c r="A15" s="22" t="s">
        <v>88</v>
      </c>
      <c r="B15" s="23" t="s">
        <v>15</v>
      </c>
      <c r="C15" s="1" t="s">
        <v>38</v>
      </c>
    </row>
    <row r="16" spans="1:3" ht="16" x14ac:dyDescent="0.2">
      <c r="A16" s="22" t="s">
        <v>89</v>
      </c>
      <c r="B16" s="23" t="s">
        <v>16</v>
      </c>
      <c r="C16" s="1" t="s">
        <v>38</v>
      </c>
    </row>
    <row r="17" spans="1:3" ht="16" x14ac:dyDescent="0.2">
      <c r="A17" s="22" t="s">
        <v>90</v>
      </c>
      <c r="B17" s="23" t="s">
        <v>17</v>
      </c>
      <c r="C17" s="1" t="s">
        <v>38</v>
      </c>
    </row>
    <row r="18" spans="1:3" ht="16" x14ac:dyDescent="0.2">
      <c r="A18" s="22" t="s">
        <v>91</v>
      </c>
      <c r="B18" s="23" t="s">
        <v>18</v>
      </c>
      <c r="C18" s="1" t="s">
        <v>38</v>
      </c>
    </row>
    <row r="19" spans="1:3" ht="16" x14ac:dyDescent="0.2">
      <c r="A19" s="22" t="s">
        <v>92</v>
      </c>
      <c r="B19" s="23" t="s">
        <v>19</v>
      </c>
      <c r="C19" s="1" t="s">
        <v>38</v>
      </c>
    </row>
    <row r="20" spans="1:3" ht="16" x14ac:dyDescent="0.2">
      <c r="A20" s="22" t="s">
        <v>93</v>
      </c>
      <c r="B20" s="23" t="s">
        <v>26</v>
      </c>
      <c r="C20" s="1" t="s">
        <v>38</v>
      </c>
    </row>
    <row r="21" spans="1:3" ht="16" x14ac:dyDescent="0.2">
      <c r="A21" s="22" t="s">
        <v>94</v>
      </c>
      <c r="B21" s="23" t="s">
        <v>70</v>
      </c>
      <c r="C21" s="1" t="s">
        <v>69</v>
      </c>
    </row>
    <row r="22" spans="1:3" ht="16" x14ac:dyDescent="0.2">
      <c r="A22" s="22" t="s">
        <v>95</v>
      </c>
      <c r="B22" s="23" t="s">
        <v>39</v>
      </c>
      <c r="C22" s="1" t="s">
        <v>69</v>
      </c>
    </row>
    <row r="23" spans="1:3" ht="16" x14ac:dyDescent="0.2">
      <c r="A23" s="22" t="s">
        <v>96</v>
      </c>
      <c r="B23" s="23" t="s">
        <v>40</v>
      </c>
      <c r="C23" s="1" t="s">
        <v>69</v>
      </c>
    </row>
    <row r="24" spans="1:3" ht="16" x14ac:dyDescent="0.2">
      <c r="A24" s="22" t="s">
        <v>97</v>
      </c>
      <c r="B24" s="23" t="s">
        <v>41</v>
      </c>
      <c r="C24" s="1" t="s">
        <v>69</v>
      </c>
    </row>
    <row r="25" spans="1:3" ht="16" x14ac:dyDescent="0.2">
      <c r="A25" s="22" t="s">
        <v>98</v>
      </c>
      <c r="B25" s="23" t="s">
        <v>42</v>
      </c>
      <c r="C25" s="1" t="s">
        <v>69</v>
      </c>
    </row>
    <row r="26" spans="1:3" ht="16" x14ac:dyDescent="0.2">
      <c r="A26" s="22" t="s">
        <v>99</v>
      </c>
      <c r="B26" s="23" t="s">
        <v>43</v>
      </c>
      <c r="C26" s="1" t="s">
        <v>69</v>
      </c>
    </row>
    <row r="27" spans="1:3" ht="16" x14ac:dyDescent="0.2">
      <c r="A27" s="22" t="s">
        <v>100</v>
      </c>
      <c r="B27" s="23" t="s">
        <v>44</v>
      </c>
      <c r="C27" s="1" t="s">
        <v>69</v>
      </c>
    </row>
    <row r="28" spans="1:3" ht="16" x14ac:dyDescent="0.2">
      <c r="A28" s="22" t="s">
        <v>101</v>
      </c>
      <c r="B28" s="23" t="s">
        <v>45</v>
      </c>
      <c r="C28" s="1" t="s">
        <v>69</v>
      </c>
    </row>
    <row r="29" spans="1:3" ht="16" x14ac:dyDescent="0.2">
      <c r="A29" s="22" t="s">
        <v>102</v>
      </c>
      <c r="B29" s="23" t="s">
        <v>46</v>
      </c>
      <c r="C29" s="1" t="s">
        <v>69</v>
      </c>
    </row>
    <row r="30" spans="1:3" ht="16" x14ac:dyDescent="0.2">
      <c r="A30" s="22" t="s">
        <v>103</v>
      </c>
      <c r="B30" s="23" t="s">
        <v>47</v>
      </c>
      <c r="C30" s="1" t="s">
        <v>69</v>
      </c>
    </row>
    <row r="31" spans="1:3" ht="16" x14ac:dyDescent="0.2">
      <c r="A31" s="22" t="s">
        <v>104</v>
      </c>
      <c r="B31" s="23" t="s">
        <v>48</v>
      </c>
      <c r="C31" s="1" t="s">
        <v>69</v>
      </c>
    </row>
    <row r="32" spans="1:3" ht="16" x14ac:dyDescent="0.2">
      <c r="A32" s="22" t="s">
        <v>105</v>
      </c>
      <c r="B32" s="23" t="s">
        <v>49</v>
      </c>
      <c r="C32" s="1" t="s">
        <v>69</v>
      </c>
    </row>
    <row r="33" spans="1:3" ht="16" x14ac:dyDescent="0.2">
      <c r="A33" s="22" t="s">
        <v>106</v>
      </c>
      <c r="B33" s="23" t="s">
        <v>50</v>
      </c>
      <c r="C33" s="1" t="s">
        <v>69</v>
      </c>
    </row>
    <row r="34" spans="1:3" ht="16" x14ac:dyDescent="0.2">
      <c r="A34" s="22" t="s">
        <v>107</v>
      </c>
      <c r="B34" s="23" t="s">
        <v>51</v>
      </c>
      <c r="C34" s="1" t="s">
        <v>69</v>
      </c>
    </row>
    <row r="35" spans="1:3" ht="16" x14ac:dyDescent="0.2">
      <c r="A35" s="22" t="s">
        <v>108</v>
      </c>
      <c r="B35" s="23" t="s">
        <v>52</v>
      </c>
      <c r="C35" s="1" t="s">
        <v>69</v>
      </c>
    </row>
    <row r="36" spans="1:3" ht="16" x14ac:dyDescent="0.2">
      <c r="A36" s="22" t="s">
        <v>109</v>
      </c>
      <c r="B36" s="23" t="s">
        <v>71</v>
      </c>
      <c r="C36" s="1" t="s">
        <v>69</v>
      </c>
    </row>
    <row r="37" spans="1:3" ht="16" x14ac:dyDescent="0.2">
      <c r="A37" s="22" t="s">
        <v>110</v>
      </c>
      <c r="B37" s="23" t="s">
        <v>53</v>
      </c>
      <c r="C37" s="1" t="s">
        <v>69</v>
      </c>
    </row>
    <row r="38" spans="1:3" ht="16" x14ac:dyDescent="0.2">
      <c r="A38" s="22" t="s">
        <v>111</v>
      </c>
      <c r="B38" s="23" t="s">
        <v>72</v>
      </c>
      <c r="C38" s="1" t="s">
        <v>69</v>
      </c>
    </row>
    <row r="39" spans="1:3" ht="16" x14ac:dyDescent="0.2">
      <c r="A39" s="22" t="s">
        <v>112</v>
      </c>
      <c r="B39" s="23" t="s">
        <v>54</v>
      </c>
      <c r="C39" s="1" t="s">
        <v>69</v>
      </c>
    </row>
    <row r="40" spans="1:3" ht="16" x14ac:dyDescent="0.2">
      <c r="A40" s="22" t="s">
        <v>113</v>
      </c>
      <c r="B40" s="23" t="s">
        <v>55</v>
      </c>
      <c r="C40" s="1" t="s">
        <v>69</v>
      </c>
    </row>
    <row r="41" spans="1:3" ht="16" x14ac:dyDescent="0.2">
      <c r="A41" s="22" t="s">
        <v>114</v>
      </c>
      <c r="B41" s="23" t="s">
        <v>56</v>
      </c>
      <c r="C41" s="1" t="s">
        <v>69</v>
      </c>
    </row>
    <row r="42" spans="1:3" ht="16" x14ac:dyDescent="0.2">
      <c r="A42" s="22" t="s">
        <v>115</v>
      </c>
      <c r="B42" s="23" t="s">
        <v>59</v>
      </c>
      <c r="C42" s="1" t="s">
        <v>69</v>
      </c>
    </row>
    <row r="43" spans="1:3" ht="16" x14ac:dyDescent="0.2">
      <c r="A43" s="22" t="s">
        <v>116</v>
      </c>
      <c r="B43" s="23" t="s">
        <v>58</v>
      </c>
      <c r="C43" s="1" t="s">
        <v>69</v>
      </c>
    </row>
    <row r="44" spans="1:3" ht="16" x14ac:dyDescent="0.2">
      <c r="A44" s="22" t="s">
        <v>117</v>
      </c>
      <c r="B44" s="23" t="s">
        <v>57</v>
      </c>
      <c r="C44" s="1" t="s">
        <v>69</v>
      </c>
    </row>
    <row r="45" spans="1:3" ht="16" x14ac:dyDescent="0.2">
      <c r="A45" s="22" t="s">
        <v>118</v>
      </c>
      <c r="B45" s="23" t="s">
        <v>60</v>
      </c>
      <c r="C45" s="1" t="s">
        <v>69</v>
      </c>
    </row>
    <row r="46" spans="1:3" ht="16" x14ac:dyDescent="0.2">
      <c r="A46" s="22" t="s">
        <v>119</v>
      </c>
      <c r="B46" s="23" t="s">
        <v>61</v>
      </c>
      <c r="C46" s="1" t="s">
        <v>69</v>
      </c>
    </row>
    <row r="47" spans="1:3" ht="16" x14ac:dyDescent="0.2">
      <c r="A47" s="22" t="s">
        <v>120</v>
      </c>
      <c r="B47" s="23" t="s">
        <v>62</v>
      </c>
      <c r="C47" s="1" t="s">
        <v>69</v>
      </c>
    </row>
    <row r="48" spans="1:3" ht="16" x14ac:dyDescent="0.2">
      <c r="A48" s="22" t="s">
        <v>121</v>
      </c>
      <c r="B48" s="23" t="s">
        <v>63</v>
      </c>
      <c r="C48" s="1" t="s">
        <v>69</v>
      </c>
    </row>
  </sheetData>
  <sortState xmlns:xlrd2="http://schemas.microsoft.com/office/spreadsheetml/2017/richdata2" ref="H2:H48">
    <sortCondition ref="H10:H48"/>
  </sortState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9150B-6A30-4724-ADCC-37DD74E242B7}">
  <dimension ref="C1:O19"/>
  <sheetViews>
    <sheetView workbookViewId="0">
      <selection activeCell="R6" sqref="R6"/>
    </sheetView>
  </sheetViews>
  <sheetFormatPr baseColWidth="10" defaultColWidth="8.83203125" defaultRowHeight="15" x14ac:dyDescent="0.2"/>
  <cols>
    <col min="3" max="3" width="2.83203125" customWidth="1"/>
    <col min="4" max="15" width="3.6640625" customWidth="1"/>
    <col min="16" max="16" width="4.6640625" customWidth="1"/>
  </cols>
  <sheetData>
    <row r="1" spans="3:15" x14ac:dyDescent="0.2">
      <c r="C1" s="1"/>
      <c r="D1" s="1">
        <v>1</v>
      </c>
      <c r="E1" s="1">
        <v>2</v>
      </c>
      <c r="F1" s="1">
        <v>3</v>
      </c>
      <c r="G1" s="1">
        <v>4</v>
      </c>
      <c r="H1" s="1">
        <v>5</v>
      </c>
      <c r="I1" s="1">
        <v>6</v>
      </c>
      <c r="J1" s="1">
        <v>7</v>
      </c>
      <c r="K1" s="1">
        <v>8</v>
      </c>
      <c r="L1" s="1">
        <v>9</v>
      </c>
      <c r="M1" s="1">
        <v>10</v>
      </c>
      <c r="N1" s="1">
        <v>11</v>
      </c>
      <c r="O1" s="1">
        <v>12</v>
      </c>
    </row>
    <row r="2" spans="3:15" x14ac:dyDescent="0.2">
      <c r="C2" s="1" t="s">
        <v>122</v>
      </c>
      <c r="D2" s="26"/>
      <c r="E2" s="26"/>
      <c r="F2" s="26"/>
      <c r="G2" s="26"/>
      <c r="H2" s="26"/>
      <c r="I2" s="26"/>
      <c r="J2" s="24"/>
      <c r="K2" s="24"/>
      <c r="L2" s="24"/>
      <c r="M2" s="24"/>
      <c r="N2" s="24"/>
      <c r="O2" s="24"/>
    </row>
    <row r="3" spans="3:15" x14ac:dyDescent="0.2">
      <c r="C3" s="1" t="s">
        <v>123</v>
      </c>
      <c r="D3" s="26"/>
      <c r="E3" s="26"/>
      <c r="F3" s="26"/>
      <c r="G3" s="26"/>
      <c r="H3" s="26"/>
      <c r="I3" s="26"/>
      <c r="J3" s="24"/>
      <c r="K3" s="24"/>
      <c r="L3" s="24"/>
      <c r="M3" s="24"/>
      <c r="N3" s="24"/>
      <c r="O3" s="24"/>
    </row>
    <row r="4" spans="3:15" x14ac:dyDescent="0.2">
      <c r="C4" s="1" t="s">
        <v>124</v>
      </c>
      <c r="D4" s="26"/>
      <c r="E4" s="26"/>
      <c r="F4" s="26"/>
      <c r="G4" s="26"/>
      <c r="H4" s="26"/>
      <c r="I4" s="26"/>
      <c r="J4" s="24"/>
      <c r="K4" s="24"/>
      <c r="L4" s="24"/>
      <c r="M4" s="24"/>
      <c r="N4" s="24"/>
      <c r="O4" s="24"/>
    </row>
    <row r="5" spans="3:15" x14ac:dyDescent="0.2">
      <c r="C5" s="1" t="s">
        <v>125</v>
      </c>
      <c r="D5" s="26"/>
      <c r="E5" s="26"/>
      <c r="F5" s="26"/>
      <c r="G5" s="26"/>
      <c r="H5" s="26"/>
      <c r="I5" s="26"/>
      <c r="J5" s="24"/>
      <c r="K5" s="24"/>
      <c r="L5" s="24"/>
      <c r="M5" s="24"/>
      <c r="N5" s="24"/>
      <c r="O5" s="24"/>
    </row>
    <row r="6" spans="3:15" x14ac:dyDescent="0.2">
      <c r="C6" s="1" t="s">
        <v>127</v>
      </c>
      <c r="D6" s="26"/>
      <c r="E6" s="26"/>
      <c r="F6" s="26"/>
      <c r="G6" s="26"/>
      <c r="H6" s="26"/>
      <c r="I6" s="26"/>
      <c r="J6" s="24"/>
      <c r="K6" s="24"/>
      <c r="L6" s="24"/>
      <c r="M6" s="24"/>
      <c r="N6" s="24"/>
      <c r="O6" s="24"/>
    </row>
    <row r="7" spans="3:15" x14ac:dyDescent="0.2">
      <c r="C7" s="1" t="s">
        <v>126</v>
      </c>
      <c r="D7" s="26"/>
      <c r="E7" s="26"/>
      <c r="F7" s="26"/>
      <c r="G7" s="26"/>
      <c r="H7" s="26"/>
      <c r="I7" s="26"/>
      <c r="J7" s="24"/>
      <c r="K7" s="24"/>
      <c r="L7" s="24"/>
      <c r="M7" s="24"/>
      <c r="N7" s="24"/>
      <c r="O7" s="24"/>
    </row>
    <row r="8" spans="3:15" x14ac:dyDescent="0.2">
      <c r="C8" s="1" t="s">
        <v>128</v>
      </c>
      <c r="D8" s="26"/>
      <c r="E8" s="26"/>
      <c r="F8" s="26"/>
      <c r="G8" s="26"/>
      <c r="H8" s="26"/>
      <c r="I8" s="26"/>
      <c r="J8" s="24"/>
      <c r="K8" s="24"/>
      <c r="L8" s="24"/>
      <c r="M8" s="24"/>
      <c r="N8" s="24"/>
      <c r="O8" s="24"/>
    </row>
    <row r="9" spans="3:15" x14ac:dyDescent="0.2">
      <c r="C9" s="1" t="s">
        <v>129</v>
      </c>
      <c r="D9" s="26"/>
      <c r="E9" s="26"/>
      <c r="F9" s="26"/>
      <c r="G9" s="26"/>
      <c r="H9" s="26"/>
      <c r="I9" s="25"/>
      <c r="J9" s="24"/>
      <c r="K9" s="24"/>
      <c r="L9" s="24"/>
      <c r="M9" s="24"/>
      <c r="N9" s="24"/>
      <c r="O9" s="25"/>
    </row>
    <row r="11" spans="3:15" x14ac:dyDescent="0.2">
      <c r="C11" s="1"/>
      <c r="D11" s="1">
        <v>1</v>
      </c>
      <c r="E11" s="1">
        <v>2</v>
      </c>
      <c r="F11" s="1">
        <v>3</v>
      </c>
      <c r="G11" s="1">
        <v>4</v>
      </c>
      <c r="H11" s="1">
        <v>5</v>
      </c>
      <c r="I11" s="1">
        <v>6</v>
      </c>
      <c r="J11" s="1">
        <v>7</v>
      </c>
      <c r="K11" s="1">
        <v>8</v>
      </c>
      <c r="L11" s="1">
        <v>9</v>
      </c>
      <c r="M11" s="1">
        <v>10</v>
      </c>
      <c r="N11" s="1">
        <v>11</v>
      </c>
      <c r="O11" s="1">
        <v>12</v>
      </c>
    </row>
    <row r="12" spans="3:15" x14ac:dyDescent="0.2">
      <c r="C12" s="1" t="s">
        <v>122</v>
      </c>
      <c r="D12" s="25"/>
      <c r="E12" s="26"/>
      <c r="F12" s="26"/>
      <c r="G12" s="26"/>
      <c r="H12" s="26"/>
      <c r="I12" s="26"/>
      <c r="J12" s="27"/>
      <c r="K12" s="24"/>
      <c r="L12" s="24"/>
      <c r="M12" s="24"/>
      <c r="N12" s="24"/>
      <c r="O12" s="24"/>
    </row>
    <row r="13" spans="3:15" x14ac:dyDescent="0.2">
      <c r="C13" s="1" t="s">
        <v>123</v>
      </c>
      <c r="D13" s="25"/>
      <c r="E13" s="26"/>
      <c r="F13" s="26"/>
      <c r="G13" s="26"/>
      <c r="H13" s="26"/>
      <c r="I13" s="26"/>
      <c r="J13" s="24"/>
      <c r="K13" s="24"/>
      <c r="L13" s="24"/>
      <c r="M13" s="24"/>
      <c r="N13" s="24"/>
      <c r="O13" s="24"/>
    </row>
    <row r="14" spans="3:15" x14ac:dyDescent="0.2">
      <c r="C14" s="1" t="s">
        <v>124</v>
      </c>
      <c r="D14" s="26"/>
      <c r="E14" s="26"/>
      <c r="F14" s="26"/>
      <c r="G14" s="26"/>
      <c r="H14" s="26"/>
      <c r="I14" s="26"/>
      <c r="J14" s="24"/>
      <c r="K14" s="24"/>
      <c r="L14" s="24"/>
      <c r="M14" s="24"/>
      <c r="N14" s="24"/>
      <c r="O14" s="24"/>
    </row>
    <row r="15" spans="3:15" x14ac:dyDescent="0.2">
      <c r="C15" s="1" t="s">
        <v>125</v>
      </c>
      <c r="D15" s="26"/>
      <c r="E15" s="26"/>
      <c r="F15" s="26"/>
      <c r="G15" s="26"/>
      <c r="H15" s="26"/>
      <c r="I15" s="26"/>
      <c r="J15" s="24"/>
      <c r="K15" s="24"/>
      <c r="L15" s="24"/>
      <c r="M15" s="24"/>
      <c r="N15" s="24"/>
      <c r="O15" s="24"/>
    </row>
    <row r="16" spans="3:15" x14ac:dyDescent="0.2">
      <c r="C16" s="1" t="s">
        <v>127</v>
      </c>
      <c r="D16" s="26"/>
      <c r="E16" s="26"/>
      <c r="F16" s="26"/>
      <c r="G16" s="26"/>
      <c r="H16" s="26"/>
      <c r="I16" s="26"/>
      <c r="J16" s="24"/>
      <c r="K16" s="24"/>
      <c r="L16" s="24"/>
      <c r="M16" s="24"/>
      <c r="N16" s="24"/>
      <c r="O16" s="24"/>
    </row>
    <row r="17" spans="3:15" x14ac:dyDescent="0.2">
      <c r="C17" s="1" t="s">
        <v>126</v>
      </c>
      <c r="D17" s="26"/>
      <c r="E17" s="26"/>
      <c r="F17" s="26"/>
      <c r="G17" s="26"/>
      <c r="H17" s="26"/>
      <c r="I17" s="26"/>
      <c r="J17" s="24"/>
      <c r="K17" s="24"/>
      <c r="L17" s="24"/>
      <c r="M17" s="24"/>
      <c r="N17" s="24"/>
      <c r="O17" s="24"/>
    </row>
    <row r="18" spans="3:15" x14ac:dyDescent="0.2">
      <c r="C18" s="1" t="s">
        <v>128</v>
      </c>
      <c r="D18" s="26"/>
      <c r="E18" s="26"/>
      <c r="F18" s="26"/>
      <c r="G18" s="26"/>
      <c r="H18" s="26"/>
      <c r="I18" s="26"/>
      <c r="J18" s="24"/>
      <c r="K18" s="24"/>
      <c r="L18" s="24"/>
      <c r="M18" s="24"/>
      <c r="N18" s="24"/>
      <c r="O18" s="24"/>
    </row>
    <row r="19" spans="3:15" x14ac:dyDescent="0.2">
      <c r="C19" s="1" t="s">
        <v>129</v>
      </c>
      <c r="D19" s="26"/>
      <c r="E19" s="26"/>
      <c r="F19" s="26"/>
      <c r="G19" s="26"/>
      <c r="H19" s="26"/>
      <c r="I19" s="26"/>
      <c r="J19" s="24"/>
      <c r="K19" s="24"/>
      <c r="L19" s="24"/>
      <c r="M19" s="24"/>
      <c r="N19" s="24"/>
      <c r="O19" s="24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80B4E-FA13-5E46-A101-34F9B3EEB480}">
  <dimension ref="A1:G48"/>
  <sheetViews>
    <sheetView tabSelected="1" zoomScale="125" workbookViewId="0">
      <selection activeCell="G4" sqref="G4"/>
    </sheetView>
  </sheetViews>
  <sheetFormatPr baseColWidth="10" defaultRowHeight="15" x14ac:dyDescent="0.2"/>
  <cols>
    <col min="1" max="1" width="14.1640625" customWidth="1"/>
    <col min="2" max="2" width="26.6640625" customWidth="1"/>
    <col min="3" max="3" width="20.1640625" customWidth="1"/>
  </cols>
  <sheetData>
    <row r="1" spans="1:7" ht="17" x14ac:dyDescent="0.2">
      <c r="A1" s="21" t="s">
        <v>73</v>
      </c>
      <c r="B1" s="20" t="s">
        <v>1</v>
      </c>
      <c r="C1" s="21" t="s">
        <v>74</v>
      </c>
    </row>
    <row r="2" spans="1:7" ht="16" x14ac:dyDescent="0.2">
      <c r="A2" s="22" t="s">
        <v>75</v>
      </c>
      <c r="B2" s="28" t="s">
        <v>62</v>
      </c>
      <c r="C2" s="1" t="s">
        <v>38</v>
      </c>
      <c r="G2" t="s">
        <v>130</v>
      </c>
    </row>
    <row r="3" spans="1:7" ht="16" x14ac:dyDescent="0.2">
      <c r="A3" s="22" t="s">
        <v>76</v>
      </c>
      <c r="B3" s="28" t="s">
        <v>41</v>
      </c>
      <c r="C3" s="1" t="s">
        <v>38</v>
      </c>
      <c r="G3" t="s">
        <v>131</v>
      </c>
    </row>
    <row r="4" spans="1:7" ht="16" x14ac:dyDescent="0.2">
      <c r="A4" s="22" t="s">
        <v>77</v>
      </c>
      <c r="B4" s="23" t="s">
        <v>2</v>
      </c>
      <c r="C4" s="1" t="s">
        <v>38</v>
      </c>
    </row>
    <row r="5" spans="1:7" ht="16" x14ac:dyDescent="0.2">
      <c r="A5" s="22" t="s">
        <v>78</v>
      </c>
      <c r="B5" s="23" t="s">
        <v>26</v>
      </c>
      <c r="C5" s="1" t="s">
        <v>38</v>
      </c>
    </row>
    <row r="6" spans="1:7" ht="16" x14ac:dyDescent="0.2">
      <c r="A6" s="22" t="s">
        <v>79</v>
      </c>
      <c r="B6" s="28" t="s">
        <v>56</v>
      </c>
      <c r="C6" s="1" t="s">
        <v>38</v>
      </c>
    </row>
    <row r="7" spans="1:7" ht="16" x14ac:dyDescent="0.2">
      <c r="A7" s="22" t="s">
        <v>80</v>
      </c>
      <c r="B7" s="28" t="s">
        <v>44</v>
      </c>
      <c r="C7" s="1" t="s">
        <v>38</v>
      </c>
    </row>
    <row r="8" spans="1:7" ht="16" x14ac:dyDescent="0.2">
      <c r="A8" s="22" t="s">
        <v>81</v>
      </c>
      <c r="B8" s="28" t="s">
        <v>58</v>
      </c>
      <c r="C8" s="1" t="s">
        <v>38</v>
      </c>
    </row>
    <row r="9" spans="1:7" ht="16" x14ac:dyDescent="0.2">
      <c r="A9" s="22" t="s">
        <v>82</v>
      </c>
      <c r="B9" s="28" t="s">
        <v>42</v>
      </c>
      <c r="C9" s="1" t="s">
        <v>38</v>
      </c>
    </row>
    <row r="10" spans="1:7" ht="16" x14ac:dyDescent="0.2">
      <c r="A10" s="22" t="s">
        <v>83</v>
      </c>
      <c r="B10" s="23" t="s">
        <v>3</v>
      </c>
      <c r="C10" s="1" t="s">
        <v>38</v>
      </c>
    </row>
    <row r="11" spans="1:7" ht="16" x14ac:dyDescent="0.2">
      <c r="A11" s="22" t="s">
        <v>84</v>
      </c>
      <c r="B11" s="29" t="s">
        <v>70</v>
      </c>
      <c r="C11" s="1" t="s">
        <v>38</v>
      </c>
    </row>
    <row r="12" spans="1:7" ht="16" x14ac:dyDescent="0.2">
      <c r="A12" s="22" t="s">
        <v>85</v>
      </c>
      <c r="B12" s="23" t="s">
        <v>4</v>
      </c>
      <c r="C12" s="1" t="s">
        <v>38</v>
      </c>
    </row>
    <row r="13" spans="1:7" ht="16" x14ac:dyDescent="0.2">
      <c r="A13" s="22" t="s">
        <v>86</v>
      </c>
      <c r="B13" s="23" t="s">
        <v>5</v>
      </c>
      <c r="C13" s="1" t="s">
        <v>38</v>
      </c>
    </row>
    <row r="14" spans="1:7" ht="16" x14ac:dyDescent="0.2">
      <c r="A14" s="22" t="s">
        <v>87</v>
      </c>
      <c r="B14" s="23" t="s">
        <v>6</v>
      </c>
      <c r="C14" s="1" t="s">
        <v>38</v>
      </c>
    </row>
    <row r="15" spans="1:7" ht="16" x14ac:dyDescent="0.2">
      <c r="A15" s="22" t="s">
        <v>88</v>
      </c>
      <c r="B15" s="23" t="s">
        <v>7</v>
      </c>
      <c r="C15" s="1" t="s">
        <v>38</v>
      </c>
    </row>
    <row r="16" spans="1:7" ht="16" x14ac:dyDescent="0.2">
      <c r="A16" s="22" t="s">
        <v>89</v>
      </c>
      <c r="B16" s="23" t="s">
        <v>9</v>
      </c>
      <c r="C16" s="1" t="s">
        <v>38</v>
      </c>
    </row>
    <row r="17" spans="1:3" ht="16" x14ac:dyDescent="0.2">
      <c r="A17" s="22" t="s">
        <v>90</v>
      </c>
      <c r="B17" s="23" t="s">
        <v>8</v>
      </c>
      <c r="C17" s="1" t="s">
        <v>38</v>
      </c>
    </row>
    <row r="18" spans="1:3" ht="16" x14ac:dyDescent="0.2">
      <c r="A18" s="22" t="s">
        <v>91</v>
      </c>
      <c r="B18" s="23" t="s">
        <v>10</v>
      </c>
      <c r="C18" s="1" t="s">
        <v>38</v>
      </c>
    </row>
    <row r="19" spans="1:3" ht="16" x14ac:dyDescent="0.2">
      <c r="A19" s="22" t="s">
        <v>92</v>
      </c>
      <c r="B19" s="23" t="s">
        <v>11</v>
      </c>
      <c r="C19" s="1" t="s">
        <v>38</v>
      </c>
    </row>
    <row r="20" spans="1:3" ht="16" x14ac:dyDescent="0.2">
      <c r="A20" s="22" t="s">
        <v>93</v>
      </c>
      <c r="B20" s="23" t="s">
        <v>12</v>
      </c>
      <c r="C20" s="1" t="s">
        <v>38</v>
      </c>
    </row>
    <row r="21" spans="1:3" ht="25" customHeight="1" x14ac:dyDescent="0.2">
      <c r="A21" s="22" t="s">
        <v>94</v>
      </c>
      <c r="B21" s="19" t="s">
        <v>13</v>
      </c>
      <c r="C21" s="1" t="s">
        <v>69</v>
      </c>
    </row>
    <row r="22" spans="1:3" ht="16" x14ac:dyDescent="0.2">
      <c r="A22" s="22" t="s">
        <v>95</v>
      </c>
      <c r="B22" s="28" t="s">
        <v>61</v>
      </c>
      <c r="C22" s="1" t="s">
        <v>69</v>
      </c>
    </row>
    <row r="23" spans="1:3" ht="16" x14ac:dyDescent="0.2">
      <c r="A23" s="22" t="s">
        <v>96</v>
      </c>
      <c r="B23" s="28" t="s">
        <v>52</v>
      </c>
      <c r="C23" s="1" t="s">
        <v>69</v>
      </c>
    </row>
    <row r="24" spans="1:3" ht="16" x14ac:dyDescent="0.2">
      <c r="A24" s="22" t="s">
        <v>97</v>
      </c>
      <c r="B24" s="28" t="s">
        <v>59</v>
      </c>
      <c r="C24" s="1" t="s">
        <v>69</v>
      </c>
    </row>
    <row r="25" spans="1:3" ht="16" x14ac:dyDescent="0.2">
      <c r="A25" s="22" t="s">
        <v>98</v>
      </c>
      <c r="B25" s="28" t="s">
        <v>57</v>
      </c>
      <c r="C25" s="1" t="s">
        <v>69</v>
      </c>
    </row>
    <row r="26" spans="1:3" ht="16" x14ac:dyDescent="0.2">
      <c r="A26" s="22" t="s">
        <v>99</v>
      </c>
      <c r="B26" s="29" t="s">
        <v>63</v>
      </c>
      <c r="C26" s="1" t="s">
        <v>69</v>
      </c>
    </row>
    <row r="27" spans="1:3" ht="16" x14ac:dyDescent="0.2">
      <c r="A27" s="22" t="s">
        <v>100</v>
      </c>
      <c r="B27" s="28" t="s">
        <v>40</v>
      </c>
      <c r="C27" s="1" t="s">
        <v>69</v>
      </c>
    </row>
    <row r="28" spans="1:3" ht="16" x14ac:dyDescent="0.2">
      <c r="A28" s="22" t="s">
        <v>101</v>
      </c>
      <c r="B28" s="28" t="s">
        <v>55</v>
      </c>
      <c r="C28" s="1" t="s">
        <v>69</v>
      </c>
    </row>
    <row r="29" spans="1:3" ht="16" x14ac:dyDescent="0.2">
      <c r="A29" s="22" t="s">
        <v>102</v>
      </c>
      <c r="B29" s="28" t="s">
        <v>53</v>
      </c>
      <c r="C29" s="1" t="s">
        <v>69</v>
      </c>
    </row>
    <row r="30" spans="1:3" ht="16" x14ac:dyDescent="0.2">
      <c r="A30" s="22" t="s">
        <v>103</v>
      </c>
      <c r="B30" s="28" t="s">
        <v>60</v>
      </c>
      <c r="C30" s="1" t="s">
        <v>69</v>
      </c>
    </row>
    <row r="31" spans="1:3" ht="16" x14ac:dyDescent="0.2">
      <c r="A31" s="22" t="s">
        <v>104</v>
      </c>
      <c r="B31" s="28" t="s">
        <v>45</v>
      </c>
      <c r="C31" s="1" t="s">
        <v>69</v>
      </c>
    </row>
    <row r="32" spans="1:3" ht="16" x14ac:dyDescent="0.2">
      <c r="A32" s="22" t="s">
        <v>105</v>
      </c>
      <c r="B32" s="28" t="s">
        <v>72</v>
      </c>
      <c r="C32" s="1" t="s">
        <v>69</v>
      </c>
    </row>
    <row r="33" spans="1:3" ht="16" x14ac:dyDescent="0.2">
      <c r="A33" s="22" t="s">
        <v>106</v>
      </c>
      <c r="B33" s="28" t="s">
        <v>46</v>
      </c>
      <c r="C33" s="1" t="s">
        <v>69</v>
      </c>
    </row>
    <row r="34" spans="1:3" ht="16" x14ac:dyDescent="0.2">
      <c r="A34" s="22" t="s">
        <v>107</v>
      </c>
      <c r="B34" s="23" t="s">
        <v>14</v>
      </c>
      <c r="C34" s="1" t="s">
        <v>69</v>
      </c>
    </row>
    <row r="35" spans="1:3" ht="16" x14ac:dyDescent="0.2">
      <c r="A35" s="22" t="s">
        <v>108</v>
      </c>
      <c r="B35" s="23" t="s">
        <v>15</v>
      </c>
      <c r="C35" s="1" t="s">
        <v>69</v>
      </c>
    </row>
    <row r="36" spans="1:3" ht="16" x14ac:dyDescent="0.2">
      <c r="A36" s="22" t="s">
        <v>109</v>
      </c>
      <c r="B36" s="23" t="s">
        <v>16</v>
      </c>
      <c r="C36" s="1" t="s">
        <v>69</v>
      </c>
    </row>
    <row r="37" spans="1:3" ht="16" x14ac:dyDescent="0.2">
      <c r="A37" s="22" t="s">
        <v>110</v>
      </c>
      <c r="B37" s="23" t="s">
        <v>17</v>
      </c>
      <c r="C37" s="1" t="s">
        <v>69</v>
      </c>
    </row>
    <row r="38" spans="1:3" ht="16" x14ac:dyDescent="0.2">
      <c r="A38" s="22" t="s">
        <v>111</v>
      </c>
      <c r="B38" s="23" t="s">
        <v>18</v>
      </c>
      <c r="C38" s="1" t="s">
        <v>69</v>
      </c>
    </row>
    <row r="39" spans="1:3" ht="16" x14ac:dyDescent="0.2">
      <c r="A39" s="22" t="s">
        <v>112</v>
      </c>
      <c r="B39" s="23" t="s">
        <v>19</v>
      </c>
      <c r="C39" s="1" t="s">
        <v>69</v>
      </c>
    </row>
    <row r="40" spans="1:3" ht="16" x14ac:dyDescent="0.2">
      <c r="A40" s="22" t="s">
        <v>113</v>
      </c>
      <c r="B40" s="23" t="s">
        <v>51</v>
      </c>
      <c r="C40" s="1" t="s">
        <v>69</v>
      </c>
    </row>
    <row r="41" spans="1:3" ht="16" x14ac:dyDescent="0.2">
      <c r="A41" s="22" t="s">
        <v>114</v>
      </c>
      <c r="B41" s="28" t="s">
        <v>39</v>
      </c>
      <c r="C41" s="1" t="s">
        <v>69</v>
      </c>
    </row>
    <row r="42" spans="1:3" ht="16" x14ac:dyDescent="0.2">
      <c r="A42" s="22" t="s">
        <v>115</v>
      </c>
      <c r="B42" s="28" t="s">
        <v>50</v>
      </c>
      <c r="C42" s="1" t="s">
        <v>69</v>
      </c>
    </row>
    <row r="43" spans="1:3" ht="16" x14ac:dyDescent="0.2">
      <c r="A43" s="22" t="s">
        <v>116</v>
      </c>
      <c r="B43" s="28" t="s">
        <v>54</v>
      </c>
      <c r="C43" s="1" t="s">
        <v>69</v>
      </c>
    </row>
    <row r="44" spans="1:3" ht="16" x14ac:dyDescent="0.2">
      <c r="A44" s="22" t="s">
        <v>117</v>
      </c>
      <c r="B44" s="28" t="s">
        <v>71</v>
      </c>
      <c r="C44" s="1" t="s">
        <v>69</v>
      </c>
    </row>
    <row r="45" spans="1:3" ht="16" x14ac:dyDescent="0.2">
      <c r="A45" s="22" t="s">
        <v>118</v>
      </c>
      <c r="B45" s="28" t="s">
        <v>43</v>
      </c>
      <c r="C45" s="1" t="s">
        <v>69</v>
      </c>
    </row>
    <row r="46" spans="1:3" ht="16" x14ac:dyDescent="0.2">
      <c r="A46" s="22" t="s">
        <v>119</v>
      </c>
      <c r="B46" s="28" t="s">
        <v>49</v>
      </c>
      <c r="C46" s="1" t="s">
        <v>69</v>
      </c>
    </row>
    <row r="47" spans="1:3" ht="16" x14ac:dyDescent="0.2">
      <c r="A47" s="22" t="s">
        <v>120</v>
      </c>
      <c r="B47" s="28" t="s">
        <v>47</v>
      </c>
      <c r="C47" s="1" t="s">
        <v>69</v>
      </c>
    </row>
    <row r="48" spans="1:3" ht="16" x14ac:dyDescent="0.2">
      <c r="A48" s="22" t="s">
        <v>121</v>
      </c>
      <c r="B48" s="28" t="s">
        <v>48</v>
      </c>
      <c r="C48" s="1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2019 AVT Entry list</vt:lpstr>
      <vt:lpstr>Genotyping</vt:lpstr>
      <vt:lpstr>plates</vt:lpstr>
      <vt:lpstr>Genotyping_DG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cpierce</dc:creator>
  <cp:lastModifiedBy>Dinesh</cp:lastModifiedBy>
  <cp:lastPrinted>2020-03-23T21:45:26Z</cp:lastPrinted>
  <dcterms:created xsi:type="dcterms:W3CDTF">2014-09-15T17:53:39Z</dcterms:created>
  <dcterms:modified xsi:type="dcterms:W3CDTF">2025-12-09T20:48:13Z</dcterms:modified>
</cp:coreProperties>
</file>