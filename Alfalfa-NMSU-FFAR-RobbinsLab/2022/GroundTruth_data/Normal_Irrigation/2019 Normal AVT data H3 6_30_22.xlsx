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g663/FFAR-Alfalfa-NMSU/2022/GroundTruth_data/Normal_Irrigation/"/>
    </mc:Choice>
  </mc:AlternateContent>
  <xr:revisionPtr revIDLastSave="0" documentId="13_ncr:1_{2AB679E9-48C7-9D44-BA93-BE7D0CBD877A}" xr6:coauthVersionLast="47" xr6:coauthVersionMax="47" xr10:uidLastSave="{00000000-0000-0000-0000-000000000000}"/>
  <bookViews>
    <workbookView xWindow="0" yWindow="500" windowWidth="24980" windowHeight="14520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3" i="2" s="1"/>
  <c r="D11" i="2"/>
  <c r="D7" i="2"/>
</calcChain>
</file>

<file path=xl/sharedStrings.xml><?xml version="1.0" encoding="utf-8"?>
<sst xmlns="http://schemas.openxmlformats.org/spreadsheetml/2006/main" count="314" uniqueCount="29">
  <si>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</si>
  <si>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</si>
  <si>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</si>
  <si>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</si>
  <si>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</si>
  <si>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</si>
  <si>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</si>
  <si>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</si>
  <si>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</si>
  <si>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</si>
  <si>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</si>
  <si>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</si>
  <si>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</si>
  <si>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</si>
  <si>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</si>
  <si>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</si>
  <si>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</si>
  <si>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</si>
  <si>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</si>
  <si>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</si>
  <si>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</si>
  <si>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</si>
  <si>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Jun 30</t>
  </si>
  <si>
    <t>6_30_22</t>
  </si>
  <si>
    <t>Note: Use DM from fQ sample sheet</t>
  </si>
  <si>
    <t>Fresh wt. FQ</t>
  </si>
  <si>
    <t>Yield (fw FQ)</t>
  </si>
  <si>
    <t>Note: Forage Quality fw added back into total plot yield.  Use "Yield (fw FQ) data column.</t>
  </si>
  <si>
    <t>AVG.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</si>
</sst>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zoomScale="120" zoomScaleNormal="120" workbookViewId="0">
      <selection activeCell="L7" sqref="L7"/>
    </sheetView>
  </sheetViews>
  <sheetFormatPr baseColWidth="10" defaultColWidth="8.83203125" defaultRowHeight="15" x14ac:dyDescent="0.2"/>
  <cols>
    <col min="6" max="6" width="10.1640625" customWidth="1"/>
    <col min="9" max="9" width="11.6640625" style="1" customWidth="1"/>
  </cols>
  <sheetData>
    <row r="1" spans="1:12" x14ac:dyDescent="0.2">
      <c r="A1" t="s">
        <v>15</v>
      </c>
      <c r="C1" t="s">
        <v>5</v>
      </c>
    </row>
    <row r="2" spans="1:12" ht="33" thickBot="1" x14ac:dyDescent="0.25">
      <c r="A2" s="5" t="s">
        <v>0</v>
      </c>
      <c r="B2" s="5" t="s">
        <v>3</v>
      </c>
      <c r="C2" s="5" t="s">
        <v>2</v>
      </c>
      <c r="D2" s="5" t="s">
        <v>17</v>
      </c>
      <c r="E2" s="5" t="s">
        <v>18</v>
      </c>
      <c r="F2" s="5" t="s">
        <v>19</v>
      </c>
      <c r="G2" s="5" t="s">
        <v>4</v>
      </c>
      <c r="H2" s="5" t="s">
        <v>1</v>
      </c>
      <c r="I2" s="9" t="s">
        <v>6</v>
      </c>
      <c r="J2" s="10" t="s">
        <v>25</v>
      </c>
      <c r="K2" s="10" t="s">
        <v>26</v>
      </c>
      <c r="L2" s="12" t="s">
        <v>27</v>
      </c>
    </row>
    <row r="3" spans="1:12" ht="16" thickBot="1" x14ac:dyDescent="0.25">
      <c r="A3" s="6">
        <v>2022</v>
      </c>
      <c r="B3" s="7" t="s">
        <v>22</v>
      </c>
      <c r="C3" s="6">
        <v>1</v>
      </c>
      <c r="D3" s="6">
        <v>1</v>
      </c>
      <c r="E3" s="6">
        <v>1</v>
      </c>
      <c r="F3" s="6" t="s">
        <v>20</v>
      </c>
      <c r="G3" s="6">
        <v>18</v>
      </c>
      <c r="H3" s="6">
        <v>100</v>
      </c>
      <c r="I3" s="8">
        <v>5.3</v>
      </c>
      <c r="J3" s="11">
        <v>0.3282017794</v>
      </c>
      <c r="K3" s="1">
        <v>5.6282017793999994</v>
      </c>
    </row>
    <row r="4" spans="1:12" ht="16" thickBot="1" x14ac:dyDescent="0.25">
      <c r="A4" s="6">
        <v>2022</v>
      </c>
      <c r="B4" s="7" t="s">
        <v>22</v>
      </c>
      <c r="C4" s="4">
        <v>1</v>
      </c>
      <c r="D4" s="4">
        <v>1</v>
      </c>
      <c r="E4" s="4">
        <v>2</v>
      </c>
      <c r="F4" s="4" t="s">
        <v>20</v>
      </c>
      <c r="G4" s="4">
        <v>17</v>
      </c>
      <c r="H4" s="4">
        <v>101</v>
      </c>
      <c r="I4" s="3">
        <v>4.95</v>
      </c>
      <c r="J4" s="11">
        <v>0.32202884339999999</v>
      </c>
      <c r="K4" s="1">
        <v>5.2720288434000002</v>
      </c>
    </row>
    <row r="5" spans="1:12" ht="16" thickBot="1" x14ac:dyDescent="0.25">
      <c r="A5" s="6">
        <v>2022</v>
      </c>
      <c r="B5" s="7" t="s">
        <v>22</v>
      </c>
      <c r="C5" s="4">
        <v>2</v>
      </c>
      <c r="D5" s="4">
        <v>1</v>
      </c>
      <c r="E5" s="4">
        <v>3</v>
      </c>
      <c r="F5" s="4" t="s">
        <v>20</v>
      </c>
      <c r="G5" s="4">
        <v>22</v>
      </c>
      <c r="H5" s="4">
        <v>102</v>
      </c>
      <c r="I5" s="3">
        <v>4.6500000000000004</v>
      </c>
      <c r="J5" s="11">
        <v>0.3611388022</v>
      </c>
      <c r="K5" s="1">
        <v>5.0111388022000005</v>
      </c>
    </row>
    <row r="6" spans="1:12" ht="16" thickBot="1" x14ac:dyDescent="0.25">
      <c r="A6" s="6">
        <v>2022</v>
      </c>
      <c r="B6" s="7" t="s">
        <v>22</v>
      </c>
      <c r="C6" s="4">
        <v>2</v>
      </c>
      <c r="D6" s="4">
        <v>1</v>
      </c>
      <c r="E6" s="4">
        <v>4</v>
      </c>
      <c r="F6" s="4" t="s">
        <v>20</v>
      </c>
      <c r="G6" s="4">
        <v>24</v>
      </c>
      <c r="H6" s="4">
        <v>103</v>
      </c>
      <c r="I6" s="3">
        <v>4.75</v>
      </c>
      <c r="J6" s="11">
        <v>0.38935793819999998</v>
      </c>
      <c r="K6" s="1">
        <v>5.1393579381999999</v>
      </c>
    </row>
    <row r="7" spans="1:12" ht="16" thickBot="1" x14ac:dyDescent="0.25">
      <c r="A7" s="6">
        <v>2022</v>
      </c>
      <c r="B7" s="7" t="s">
        <v>22</v>
      </c>
      <c r="C7" s="4">
        <v>3</v>
      </c>
      <c r="D7" s="4">
        <v>1</v>
      </c>
      <c r="E7" s="4">
        <v>5</v>
      </c>
      <c r="F7" s="4" t="s">
        <v>20</v>
      </c>
      <c r="G7" s="4">
        <v>13</v>
      </c>
      <c r="H7" s="4">
        <v>104</v>
      </c>
      <c r="I7" s="3">
        <v>2.7</v>
      </c>
      <c r="J7" s="11">
        <v>0.42419093420000004</v>
      </c>
      <c r="K7" s="1">
        <v>3.1241909342</v>
      </c>
    </row>
    <row r="8" spans="1:12" ht="16" thickBot="1" x14ac:dyDescent="0.25">
      <c r="A8" s="6">
        <v>2022</v>
      </c>
      <c r="B8" s="7" t="s">
        <v>22</v>
      </c>
      <c r="C8" s="4">
        <v>3</v>
      </c>
      <c r="D8" s="4">
        <v>1</v>
      </c>
      <c r="E8" s="4">
        <v>6</v>
      </c>
      <c r="F8" s="4" t="s">
        <v>20</v>
      </c>
      <c r="G8" s="4">
        <v>10</v>
      </c>
      <c r="H8" s="4">
        <v>105</v>
      </c>
      <c r="I8" s="3">
        <v>4.45</v>
      </c>
      <c r="J8" s="11">
        <v>0.32828996420000006</v>
      </c>
      <c r="K8" s="1">
        <v>4.7782899641999999</v>
      </c>
    </row>
    <row r="9" spans="1:12" ht="16" thickBot="1" x14ac:dyDescent="0.25">
      <c r="A9" s="6">
        <v>2022</v>
      </c>
      <c r="B9" s="7" t="s">
        <v>22</v>
      </c>
      <c r="C9" s="4">
        <v>4</v>
      </c>
      <c r="D9" s="4">
        <v>1</v>
      </c>
      <c r="E9" s="4">
        <v>7</v>
      </c>
      <c r="F9" s="4" t="s">
        <v>20</v>
      </c>
      <c r="G9" s="4">
        <v>8</v>
      </c>
      <c r="H9" s="4">
        <v>106</v>
      </c>
      <c r="I9" s="3">
        <v>4.2</v>
      </c>
      <c r="J9" s="11">
        <v>0.3367336588</v>
      </c>
      <c r="K9" s="1">
        <v>4.5367336588000002</v>
      </c>
    </row>
    <row r="10" spans="1:12" ht="16" thickBot="1" x14ac:dyDescent="0.25">
      <c r="A10" s="6">
        <v>2022</v>
      </c>
      <c r="B10" s="7" t="s">
        <v>22</v>
      </c>
      <c r="C10" s="4">
        <v>4</v>
      </c>
      <c r="D10" s="4">
        <v>1</v>
      </c>
      <c r="E10" s="4">
        <v>8</v>
      </c>
      <c r="F10" s="4" t="s">
        <v>20</v>
      </c>
      <c r="G10" s="4">
        <v>11</v>
      </c>
      <c r="H10" s="4">
        <v>107</v>
      </c>
      <c r="I10" s="3">
        <v>2.95</v>
      </c>
      <c r="J10" s="11">
        <v>0.2849250888</v>
      </c>
      <c r="K10" s="1">
        <v>3.2349250888000003</v>
      </c>
    </row>
    <row r="11" spans="1:12" ht="16" thickBot="1" x14ac:dyDescent="0.25">
      <c r="A11" s="6">
        <v>2022</v>
      </c>
      <c r="B11" s="7" t="s">
        <v>22</v>
      </c>
      <c r="C11" s="4">
        <v>4</v>
      </c>
      <c r="D11" s="4">
        <v>2</v>
      </c>
      <c r="E11" s="4">
        <v>8</v>
      </c>
      <c r="F11" s="4" t="s">
        <v>21</v>
      </c>
      <c r="G11" s="4">
        <v>50</v>
      </c>
      <c r="H11" s="4">
        <v>108</v>
      </c>
      <c r="I11" s="3">
        <v>4.0999999999999996</v>
      </c>
      <c r="J11" s="11">
        <v>0.37707820480000004</v>
      </c>
      <c r="K11" s="1">
        <v>4.4770782047999997</v>
      </c>
    </row>
    <row r="12" spans="1:12" ht="16" thickBot="1" x14ac:dyDescent="0.25">
      <c r="A12" s="6">
        <v>2022</v>
      </c>
      <c r="B12" s="7" t="s">
        <v>22</v>
      </c>
      <c r="C12" s="4">
        <v>4</v>
      </c>
      <c r="D12" s="4">
        <v>2</v>
      </c>
      <c r="E12" s="4">
        <v>7</v>
      </c>
      <c r="F12" s="4" t="s">
        <v>21</v>
      </c>
      <c r="G12" s="4">
        <v>50</v>
      </c>
      <c r="H12" s="4">
        <v>109</v>
      </c>
      <c r="I12" s="3">
        <v>3.65</v>
      </c>
      <c r="J12" s="11">
        <v>0.33651319679999997</v>
      </c>
      <c r="K12" s="1">
        <v>3.9865131967999998</v>
      </c>
    </row>
    <row r="13" spans="1:12" ht="16" thickBot="1" x14ac:dyDescent="0.25">
      <c r="A13" s="6">
        <v>2022</v>
      </c>
      <c r="B13" s="7" t="s">
        <v>22</v>
      </c>
      <c r="C13" s="4">
        <v>3</v>
      </c>
      <c r="D13" s="4">
        <v>2</v>
      </c>
      <c r="E13" s="4">
        <v>6</v>
      </c>
      <c r="F13" s="4" t="s">
        <v>21</v>
      </c>
      <c r="G13" s="4">
        <v>50</v>
      </c>
      <c r="H13" s="4">
        <v>110</v>
      </c>
      <c r="I13" s="3">
        <v>4.1500000000000004</v>
      </c>
      <c r="J13" s="11">
        <v>0.34372230420000005</v>
      </c>
      <c r="K13" s="1">
        <v>4.4937223042000003</v>
      </c>
    </row>
    <row r="14" spans="1:12" ht="16" thickBot="1" x14ac:dyDescent="0.25">
      <c r="A14" s="6">
        <v>2022</v>
      </c>
      <c r="B14" s="7" t="s">
        <v>22</v>
      </c>
      <c r="C14" s="4">
        <v>3</v>
      </c>
      <c r="D14" s="4">
        <v>2</v>
      </c>
      <c r="E14" s="4">
        <v>5</v>
      </c>
      <c r="F14" s="4" t="s">
        <v>21</v>
      </c>
      <c r="G14" s="4">
        <v>50</v>
      </c>
      <c r="H14" s="4">
        <v>111</v>
      </c>
      <c r="I14" s="3">
        <v>4.3</v>
      </c>
      <c r="J14" s="11">
        <v>0.48812491420000004</v>
      </c>
      <c r="K14" s="1">
        <v>4.7881249142</v>
      </c>
    </row>
    <row r="15" spans="1:12" ht="16" thickBot="1" x14ac:dyDescent="0.25">
      <c r="A15" s="6">
        <v>2022</v>
      </c>
      <c r="B15" s="7" t="s">
        <v>22</v>
      </c>
      <c r="C15" s="4">
        <v>2</v>
      </c>
      <c r="D15" s="4">
        <v>2</v>
      </c>
      <c r="E15" s="4">
        <v>4</v>
      </c>
      <c r="F15" s="4" t="s">
        <v>21</v>
      </c>
      <c r="G15" s="4">
        <v>50</v>
      </c>
      <c r="H15" s="4">
        <v>112</v>
      </c>
      <c r="I15" s="3">
        <v>3.85</v>
      </c>
      <c r="J15" s="11">
        <v>0.3051414542</v>
      </c>
      <c r="K15" s="1">
        <v>4.1551414541999998</v>
      </c>
    </row>
    <row r="16" spans="1:12" ht="16" thickBot="1" x14ac:dyDescent="0.25">
      <c r="A16" s="6">
        <v>2022</v>
      </c>
      <c r="B16" s="7" t="s">
        <v>22</v>
      </c>
      <c r="C16" s="4">
        <v>2</v>
      </c>
      <c r="D16" s="4">
        <v>2</v>
      </c>
      <c r="E16" s="4">
        <v>3</v>
      </c>
      <c r="F16" s="4" t="s">
        <v>21</v>
      </c>
      <c r="G16" s="4">
        <v>50</v>
      </c>
      <c r="H16" s="4">
        <v>113</v>
      </c>
      <c r="I16" s="3">
        <v>3.9</v>
      </c>
      <c r="J16" s="11">
        <v>0.33710844419999997</v>
      </c>
      <c r="K16" s="1">
        <v>4.2371084441999995</v>
      </c>
    </row>
    <row r="17" spans="1:11" ht="16" thickBot="1" x14ac:dyDescent="0.25">
      <c r="A17" s="6">
        <v>2022</v>
      </c>
      <c r="B17" s="7" t="s">
        <v>22</v>
      </c>
      <c r="C17" s="4">
        <v>1</v>
      </c>
      <c r="D17" s="4">
        <v>2</v>
      </c>
      <c r="E17" s="4">
        <v>2</v>
      </c>
      <c r="F17" s="4" t="s">
        <v>21</v>
      </c>
      <c r="G17" s="4">
        <v>50</v>
      </c>
      <c r="H17" s="4">
        <v>114</v>
      </c>
      <c r="I17" s="3">
        <v>4.4000000000000004</v>
      </c>
      <c r="J17" s="11">
        <v>0.31695821740000002</v>
      </c>
      <c r="K17" s="1">
        <v>4.7169582174000002</v>
      </c>
    </row>
    <row r="18" spans="1:11" ht="16" thickBot="1" x14ac:dyDescent="0.25">
      <c r="A18" s="6">
        <v>2022</v>
      </c>
      <c r="B18" s="7" t="s">
        <v>22</v>
      </c>
      <c r="C18" s="4">
        <v>1</v>
      </c>
      <c r="D18" s="4">
        <v>2</v>
      </c>
      <c r="E18" s="4">
        <v>1</v>
      </c>
      <c r="F18" s="4" t="s">
        <v>21</v>
      </c>
      <c r="G18" s="4">
        <v>50</v>
      </c>
      <c r="H18" s="4">
        <v>115</v>
      </c>
      <c r="I18" s="3">
        <v>4.9000000000000004</v>
      </c>
      <c r="J18" s="11">
        <v>0.30527373140000003</v>
      </c>
      <c r="K18" s="1">
        <v>5.2052737314000002</v>
      </c>
    </row>
    <row r="19" spans="1:11" ht="16" thickBot="1" x14ac:dyDescent="0.25">
      <c r="A19" s="6">
        <v>2022</v>
      </c>
      <c r="B19" s="7" t="s">
        <v>22</v>
      </c>
      <c r="C19" s="4">
        <v>1</v>
      </c>
      <c r="D19" s="4">
        <v>3</v>
      </c>
      <c r="E19" s="4">
        <v>1</v>
      </c>
      <c r="F19" s="4" t="s">
        <v>20</v>
      </c>
      <c r="G19" s="4">
        <v>2</v>
      </c>
      <c r="H19" s="4">
        <v>116</v>
      </c>
      <c r="I19" s="3">
        <v>6</v>
      </c>
      <c r="J19" s="11">
        <v>0.39257668340000001</v>
      </c>
      <c r="K19" s="1">
        <v>6.3925766833999997</v>
      </c>
    </row>
    <row r="20" spans="1:11" ht="16" thickBot="1" x14ac:dyDescent="0.25">
      <c r="A20" s="6">
        <v>2022</v>
      </c>
      <c r="B20" s="7" t="s">
        <v>22</v>
      </c>
      <c r="C20" s="4">
        <v>1</v>
      </c>
      <c r="D20" s="4">
        <v>3</v>
      </c>
      <c r="E20" s="4">
        <v>2</v>
      </c>
      <c r="F20" s="4" t="s">
        <v>20</v>
      </c>
      <c r="G20" s="4">
        <v>7</v>
      </c>
      <c r="H20" s="4">
        <v>117</v>
      </c>
      <c r="I20" s="3">
        <v>4.5999999999999996</v>
      </c>
      <c r="J20" s="11">
        <v>0.3663417054</v>
      </c>
      <c r="K20" s="1">
        <v>4.9663417053999996</v>
      </c>
    </row>
    <row r="21" spans="1:11" ht="16" thickBot="1" x14ac:dyDescent="0.25">
      <c r="A21" s="6">
        <v>2022</v>
      </c>
      <c r="B21" s="7" t="s">
        <v>22</v>
      </c>
      <c r="C21" s="4">
        <v>2</v>
      </c>
      <c r="D21" s="4">
        <v>3</v>
      </c>
      <c r="E21" s="4">
        <v>3</v>
      </c>
      <c r="F21" s="4" t="s">
        <v>20</v>
      </c>
      <c r="G21" s="4">
        <v>17</v>
      </c>
      <c r="H21" s="4">
        <v>118</v>
      </c>
      <c r="I21" s="3">
        <v>4.6500000000000004</v>
      </c>
      <c r="J21" s="11">
        <v>0.34548600019999998</v>
      </c>
      <c r="K21" s="1">
        <v>4.9954860002000006</v>
      </c>
    </row>
    <row r="22" spans="1:11" ht="16" thickBot="1" x14ac:dyDescent="0.25">
      <c r="A22" s="6">
        <v>2022</v>
      </c>
      <c r="B22" s="7" t="s">
        <v>22</v>
      </c>
      <c r="C22" s="4">
        <v>2</v>
      </c>
      <c r="D22" s="4">
        <v>3</v>
      </c>
      <c r="E22" s="4">
        <v>4</v>
      </c>
      <c r="F22" s="4" t="s">
        <v>20</v>
      </c>
      <c r="G22" s="4">
        <v>13</v>
      </c>
      <c r="H22" s="4">
        <v>119</v>
      </c>
      <c r="I22" s="3">
        <v>2.9</v>
      </c>
      <c r="J22" s="11">
        <v>0.28000878620000003</v>
      </c>
      <c r="K22" s="1">
        <v>3.1800087862000002</v>
      </c>
    </row>
    <row r="23" spans="1:11" ht="16" thickBot="1" x14ac:dyDescent="0.25">
      <c r="A23" s="6">
        <v>2022</v>
      </c>
      <c r="B23" s="7" t="s">
        <v>22</v>
      </c>
      <c r="C23" s="4">
        <v>3</v>
      </c>
      <c r="D23" s="4">
        <v>3</v>
      </c>
      <c r="E23" s="4">
        <v>5</v>
      </c>
      <c r="F23" s="4" t="s">
        <v>20</v>
      </c>
      <c r="G23" s="4">
        <v>7</v>
      </c>
      <c r="H23" s="4">
        <v>120</v>
      </c>
      <c r="I23" s="3">
        <v>5</v>
      </c>
      <c r="J23" s="11">
        <v>0.50289586819999998</v>
      </c>
      <c r="K23" s="1">
        <v>5.5028958681999995</v>
      </c>
    </row>
    <row r="24" spans="1:11" ht="16" thickBot="1" x14ac:dyDescent="0.25">
      <c r="A24" s="6">
        <v>2022</v>
      </c>
      <c r="B24" s="7" t="s">
        <v>22</v>
      </c>
      <c r="C24" s="4">
        <v>3</v>
      </c>
      <c r="D24" s="4">
        <v>3</v>
      </c>
      <c r="E24" s="4">
        <v>6</v>
      </c>
      <c r="F24" s="4" t="s">
        <v>20</v>
      </c>
      <c r="G24" s="4">
        <v>20</v>
      </c>
      <c r="H24" s="4">
        <v>121</v>
      </c>
      <c r="I24" s="3">
        <v>4.0999999999999996</v>
      </c>
      <c r="J24" s="11">
        <v>0.36797312420000006</v>
      </c>
      <c r="K24" s="1">
        <v>4.4679731241999994</v>
      </c>
    </row>
    <row r="25" spans="1:11" ht="16" thickBot="1" x14ac:dyDescent="0.25">
      <c r="A25" s="6">
        <v>2022</v>
      </c>
      <c r="B25" s="7" t="s">
        <v>22</v>
      </c>
      <c r="C25" s="4">
        <v>4</v>
      </c>
      <c r="D25" s="4">
        <v>3</v>
      </c>
      <c r="E25" s="4">
        <v>7</v>
      </c>
      <c r="F25" s="4" t="s">
        <v>20</v>
      </c>
      <c r="G25" s="4">
        <v>14</v>
      </c>
      <c r="H25" s="4">
        <v>122</v>
      </c>
      <c r="I25" s="3">
        <v>4.3499999999999996</v>
      </c>
      <c r="J25" s="11">
        <v>0.32835610279999999</v>
      </c>
      <c r="K25" s="1">
        <v>4.6783561027999996</v>
      </c>
    </row>
    <row r="26" spans="1:11" ht="16" thickBot="1" x14ac:dyDescent="0.25">
      <c r="A26" s="6">
        <v>2022</v>
      </c>
      <c r="B26" s="7" t="s">
        <v>22</v>
      </c>
      <c r="C26" s="4">
        <v>4</v>
      </c>
      <c r="D26" s="4">
        <v>3</v>
      </c>
      <c r="E26" s="4">
        <v>8</v>
      </c>
      <c r="F26" s="4" t="s">
        <v>20</v>
      </c>
      <c r="G26" s="4">
        <v>3</v>
      </c>
      <c r="H26" s="4">
        <v>123</v>
      </c>
      <c r="I26" s="3">
        <v>4.8499999999999996</v>
      </c>
      <c r="J26" s="11">
        <v>0.40882473279999998</v>
      </c>
      <c r="K26" s="1">
        <v>5.2588247328</v>
      </c>
    </row>
    <row r="27" spans="1:11" ht="16" thickBot="1" x14ac:dyDescent="0.25">
      <c r="A27" s="6">
        <v>2022</v>
      </c>
      <c r="B27" s="7" t="s">
        <v>22</v>
      </c>
      <c r="C27" s="4">
        <v>4</v>
      </c>
      <c r="D27" s="4">
        <v>4</v>
      </c>
      <c r="E27" s="4">
        <v>8</v>
      </c>
      <c r="F27" s="4" t="s">
        <v>20</v>
      </c>
      <c r="G27" s="4">
        <v>6</v>
      </c>
      <c r="H27" s="4">
        <v>124</v>
      </c>
      <c r="I27" s="3">
        <v>4.0999999999999996</v>
      </c>
      <c r="J27" s="11">
        <v>0.40132902480000004</v>
      </c>
      <c r="K27" s="1">
        <v>4.5013290247999995</v>
      </c>
    </row>
    <row r="28" spans="1:11" ht="16" thickBot="1" x14ac:dyDescent="0.25">
      <c r="A28" s="6">
        <v>2022</v>
      </c>
      <c r="B28" s="7" t="s">
        <v>22</v>
      </c>
      <c r="C28" s="4">
        <v>4</v>
      </c>
      <c r="D28" s="4">
        <v>4</v>
      </c>
      <c r="E28" s="4">
        <v>7</v>
      </c>
      <c r="F28" s="4" t="s">
        <v>20</v>
      </c>
      <c r="G28" s="4">
        <v>2</v>
      </c>
      <c r="H28" s="4">
        <v>125</v>
      </c>
      <c r="I28" s="3">
        <v>4.2</v>
      </c>
      <c r="J28" s="11">
        <v>0.32174224280000002</v>
      </c>
      <c r="K28" s="1">
        <v>4.5217422428000003</v>
      </c>
    </row>
    <row r="29" spans="1:11" ht="16" thickBot="1" x14ac:dyDescent="0.25">
      <c r="A29" s="6">
        <v>2022</v>
      </c>
      <c r="B29" s="7" t="s">
        <v>22</v>
      </c>
      <c r="C29" s="4">
        <v>3</v>
      </c>
      <c r="D29" s="4">
        <v>4</v>
      </c>
      <c r="E29" s="4">
        <v>6</v>
      </c>
      <c r="F29" s="4" t="s">
        <v>20</v>
      </c>
      <c r="G29" s="4">
        <v>1</v>
      </c>
      <c r="H29" s="4">
        <v>126</v>
      </c>
      <c r="I29" s="3">
        <v>5.25</v>
      </c>
      <c r="J29" s="11">
        <v>0.29632297420000003</v>
      </c>
      <c r="K29" s="1">
        <v>5.5463229741999998</v>
      </c>
    </row>
    <row r="30" spans="1:11" ht="16" thickBot="1" x14ac:dyDescent="0.25">
      <c r="A30" s="6">
        <v>2022</v>
      </c>
      <c r="B30" s="7" t="s">
        <v>22</v>
      </c>
      <c r="C30" s="4">
        <v>3</v>
      </c>
      <c r="D30" s="4">
        <v>4</v>
      </c>
      <c r="E30" s="4">
        <v>5</v>
      </c>
      <c r="F30" s="4" t="s">
        <v>20</v>
      </c>
      <c r="G30" s="4">
        <v>15</v>
      </c>
      <c r="H30" s="4">
        <v>127</v>
      </c>
      <c r="I30" s="3">
        <v>3.95</v>
      </c>
      <c r="J30" s="11">
        <v>0.44469390019999994</v>
      </c>
      <c r="K30" s="1">
        <v>4.3946939002000001</v>
      </c>
    </row>
    <row r="31" spans="1:11" ht="16" thickBot="1" x14ac:dyDescent="0.25">
      <c r="A31" s="6">
        <v>2022</v>
      </c>
      <c r="B31" s="7" t="s">
        <v>22</v>
      </c>
      <c r="C31" s="4">
        <v>2</v>
      </c>
      <c r="D31" s="4">
        <v>4</v>
      </c>
      <c r="E31" s="4">
        <v>4</v>
      </c>
      <c r="F31" s="4" t="s">
        <v>20</v>
      </c>
      <c r="G31" s="4">
        <v>14</v>
      </c>
      <c r="H31" s="4">
        <v>128</v>
      </c>
      <c r="I31" s="3">
        <v>4.4000000000000004</v>
      </c>
      <c r="J31" s="11">
        <v>0.32432164819999998</v>
      </c>
      <c r="K31" s="1">
        <v>4.7243216482000001</v>
      </c>
    </row>
    <row r="32" spans="1:11" ht="16" thickBot="1" x14ac:dyDescent="0.25">
      <c r="A32" s="6">
        <v>2022</v>
      </c>
      <c r="B32" s="7" t="s">
        <v>22</v>
      </c>
      <c r="C32" s="4">
        <v>2</v>
      </c>
      <c r="D32" s="4">
        <v>4</v>
      </c>
      <c r="E32" s="4">
        <v>3</v>
      </c>
      <c r="F32" s="4" t="s">
        <v>20</v>
      </c>
      <c r="G32" s="4">
        <v>1</v>
      </c>
      <c r="H32" s="4">
        <v>129</v>
      </c>
      <c r="I32" s="3">
        <v>5.35</v>
      </c>
      <c r="J32" s="11">
        <v>0.36488665619999999</v>
      </c>
      <c r="K32" s="1">
        <v>5.7148866562</v>
      </c>
    </row>
    <row r="33" spans="1:11" ht="16" thickBot="1" x14ac:dyDescent="0.25">
      <c r="A33" s="6">
        <v>2022</v>
      </c>
      <c r="B33" s="7" t="s">
        <v>22</v>
      </c>
      <c r="C33" s="4">
        <v>1</v>
      </c>
      <c r="D33" s="4">
        <v>4</v>
      </c>
      <c r="E33" s="4">
        <v>2</v>
      </c>
      <c r="F33" s="4" t="s">
        <v>20</v>
      </c>
      <c r="G33" s="4">
        <v>23</v>
      </c>
      <c r="H33" s="4">
        <v>130</v>
      </c>
      <c r="I33" s="3">
        <v>5.95</v>
      </c>
      <c r="J33" s="11">
        <v>0.4318189194</v>
      </c>
      <c r="K33" s="1">
        <v>6.3818189194000006</v>
      </c>
    </row>
    <row r="34" spans="1:11" ht="16" thickBot="1" x14ac:dyDescent="0.25">
      <c r="A34" s="6">
        <v>2022</v>
      </c>
      <c r="B34" s="7" t="s">
        <v>22</v>
      </c>
      <c r="C34" s="4">
        <v>1</v>
      </c>
      <c r="D34" s="4">
        <v>4</v>
      </c>
      <c r="E34" s="4">
        <v>1</v>
      </c>
      <c r="F34" s="4" t="s">
        <v>20</v>
      </c>
      <c r="G34" s="4">
        <v>8</v>
      </c>
      <c r="H34" s="4">
        <v>131</v>
      </c>
      <c r="I34" s="3">
        <v>5.65</v>
      </c>
      <c r="J34" s="11">
        <v>0.41815027539999999</v>
      </c>
      <c r="K34" s="1">
        <v>6.0681502754000007</v>
      </c>
    </row>
    <row r="35" spans="1:11" ht="16" thickBot="1" x14ac:dyDescent="0.25">
      <c r="A35" s="6">
        <v>2022</v>
      </c>
      <c r="B35" s="7" t="s">
        <v>22</v>
      </c>
      <c r="C35" s="4">
        <v>1</v>
      </c>
      <c r="D35" s="4">
        <v>5</v>
      </c>
      <c r="E35" s="4">
        <v>1</v>
      </c>
      <c r="F35" s="4" t="s">
        <v>21</v>
      </c>
      <c r="G35" s="4">
        <v>50</v>
      </c>
      <c r="H35" s="4">
        <v>132</v>
      </c>
      <c r="I35" s="3">
        <v>5.75</v>
      </c>
      <c r="J35" s="11">
        <v>0.50898061940000006</v>
      </c>
      <c r="K35" s="1">
        <v>6.2589806193999999</v>
      </c>
    </row>
    <row r="36" spans="1:11" ht="16" thickBot="1" x14ac:dyDescent="0.25">
      <c r="A36" s="6">
        <v>2022</v>
      </c>
      <c r="B36" s="7" t="s">
        <v>22</v>
      </c>
      <c r="C36" s="4">
        <v>1</v>
      </c>
      <c r="D36" s="4">
        <v>5</v>
      </c>
      <c r="E36" s="4">
        <v>2</v>
      </c>
      <c r="F36" s="4" t="s">
        <v>21</v>
      </c>
      <c r="G36" s="4">
        <v>50</v>
      </c>
      <c r="H36" s="4">
        <v>133</v>
      </c>
      <c r="I36" s="3">
        <v>4.8</v>
      </c>
      <c r="J36" s="11">
        <v>0.34164996139999998</v>
      </c>
      <c r="K36" s="1">
        <v>5.1416499613999997</v>
      </c>
    </row>
    <row r="37" spans="1:11" ht="16" thickBot="1" x14ac:dyDescent="0.25">
      <c r="A37" s="6">
        <v>2022</v>
      </c>
      <c r="B37" s="7" t="s">
        <v>22</v>
      </c>
      <c r="C37" s="4">
        <v>2</v>
      </c>
      <c r="D37" s="4">
        <v>5</v>
      </c>
      <c r="E37" s="4">
        <v>3</v>
      </c>
      <c r="F37" s="4" t="s">
        <v>21</v>
      </c>
      <c r="G37" s="4">
        <v>50</v>
      </c>
      <c r="H37" s="4">
        <v>134</v>
      </c>
      <c r="I37" s="3">
        <v>3.9</v>
      </c>
      <c r="J37" s="11">
        <v>0.3172668642</v>
      </c>
      <c r="K37" s="1">
        <v>4.2172668642</v>
      </c>
    </row>
    <row r="38" spans="1:11" ht="16" thickBot="1" x14ac:dyDescent="0.25">
      <c r="A38" s="6">
        <v>2022</v>
      </c>
      <c r="B38" s="7" t="s">
        <v>22</v>
      </c>
      <c r="C38" s="4">
        <v>2</v>
      </c>
      <c r="D38" s="4">
        <v>5</v>
      </c>
      <c r="E38" s="4">
        <v>4</v>
      </c>
      <c r="F38" s="4" t="s">
        <v>21</v>
      </c>
      <c r="G38" s="4">
        <v>50</v>
      </c>
      <c r="H38" s="4">
        <v>135</v>
      </c>
      <c r="I38" s="3">
        <v>4.4000000000000004</v>
      </c>
      <c r="J38" s="11">
        <v>0.36576850420000001</v>
      </c>
      <c r="K38" s="1">
        <v>4.7657685042000004</v>
      </c>
    </row>
    <row r="39" spans="1:11" ht="16" thickBot="1" x14ac:dyDescent="0.25">
      <c r="A39" s="6">
        <v>2022</v>
      </c>
      <c r="B39" s="7" t="s">
        <v>22</v>
      </c>
      <c r="C39" s="4">
        <v>3</v>
      </c>
      <c r="D39" s="4">
        <v>5</v>
      </c>
      <c r="E39" s="4">
        <v>5</v>
      </c>
      <c r="F39" s="4" t="s">
        <v>21</v>
      </c>
      <c r="G39" s="4">
        <v>50</v>
      </c>
      <c r="H39" s="4">
        <v>136</v>
      </c>
      <c r="I39" s="3">
        <v>3.5</v>
      </c>
      <c r="J39" s="11">
        <v>0.40324704420000007</v>
      </c>
      <c r="K39" s="1">
        <v>3.9032470442</v>
      </c>
    </row>
    <row r="40" spans="1:11" ht="16" thickBot="1" x14ac:dyDescent="0.25">
      <c r="A40" s="6">
        <v>2022</v>
      </c>
      <c r="B40" s="7" t="s">
        <v>22</v>
      </c>
      <c r="C40" s="4">
        <v>3</v>
      </c>
      <c r="D40" s="4">
        <v>5</v>
      </c>
      <c r="E40" s="4">
        <v>6</v>
      </c>
      <c r="F40" s="4" t="s">
        <v>21</v>
      </c>
      <c r="G40" s="4">
        <v>50</v>
      </c>
      <c r="H40" s="4">
        <v>137</v>
      </c>
      <c r="I40" s="3">
        <v>3.85</v>
      </c>
      <c r="J40" s="11">
        <v>0.31770778820000001</v>
      </c>
      <c r="K40" s="1">
        <v>4.1677077882000004</v>
      </c>
    </row>
    <row r="41" spans="1:11" ht="16" thickBot="1" x14ac:dyDescent="0.25">
      <c r="A41" s="6">
        <v>2022</v>
      </c>
      <c r="B41" s="7" t="s">
        <v>22</v>
      </c>
      <c r="C41" s="4">
        <v>4</v>
      </c>
      <c r="D41" s="4">
        <v>5</v>
      </c>
      <c r="E41" s="4">
        <v>7</v>
      </c>
      <c r="F41" s="4" t="s">
        <v>21</v>
      </c>
      <c r="G41" s="4">
        <v>50</v>
      </c>
      <c r="H41" s="4">
        <v>138</v>
      </c>
      <c r="I41" s="3">
        <v>3.45</v>
      </c>
      <c r="J41" s="11">
        <v>0.46548346679999997</v>
      </c>
      <c r="K41" s="1">
        <v>3.9154834668</v>
      </c>
    </row>
    <row r="42" spans="1:11" ht="16" thickBot="1" x14ac:dyDescent="0.25">
      <c r="A42" s="6">
        <v>2022</v>
      </c>
      <c r="B42" s="7" t="s">
        <v>22</v>
      </c>
      <c r="C42" s="4">
        <v>4</v>
      </c>
      <c r="D42" s="4">
        <v>5</v>
      </c>
      <c r="E42" s="4">
        <v>8</v>
      </c>
      <c r="F42" s="4" t="s">
        <v>21</v>
      </c>
      <c r="G42" s="4">
        <v>50</v>
      </c>
      <c r="H42" s="4">
        <v>139</v>
      </c>
      <c r="I42" s="3">
        <v>4.7</v>
      </c>
      <c r="J42" s="11">
        <v>0.38766038079999993</v>
      </c>
      <c r="K42" s="1">
        <v>5.0876603808</v>
      </c>
    </row>
    <row r="43" spans="1:11" ht="16" thickBot="1" x14ac:dyDescent="0.25">
      <c r="A43" s="6">
        <v>2022</v>
      </c>
      <c r="B43" s="7" t="s">
        <v>22</v>
      </c>
      <c r="C43" s="4">
        <v>4</v>
      </c>
      <c r="D43" s="4">
        <v>6</v>
      </c>
      <c r="E43" s="4">
        <v>8</v>
      </c>
      <c r="F43" s="4" t="s">
        <v>20</v>
      </c>
      <c r="G43" s="4">
        <v>12</v>
      </c>
      <c r="H43" s="4">
        <v>140</v>
      </c>
      <c r="I43" s="3">
        <v>3.2</v>
      </c>
      <c r="J43" s="11">
        <v>0.31755346480000007</v>
      </c>
      <c r="K43" s="1">
        <v>3.5175534648000002</v>
      </c>
    </row>
    <row r="44" spans="1:11" ht="16" thickBot="1" x14ac:dyDescent="0.25">
      <c r="A44" s="6">
        <v>2022</v>
      </c>
      <c r="B44" s="7" t="s">
        <v>22</v>
      </c>
      <c r="C44" s="4">
        <v>4</v>
      </c>
      <c r="D44" s="4">
        <v>6</v>
      </c>
      <c r="E44" s="4">
        <v>7</v>
      </c>
      <c r="F44" s="4" t="s">
        <v>20</v>
      </c>
      <c r="G44" s="4">
        <v>1</v>
      </c>
      <c r="H44" s="4">
        <v>141</v>
      </c>
      <c r="I44" s="3">
        <v>4.55</v>
      </c>
      <c r="J44" s="11">
        <v>0.38898315280000001</v>
      </c>
      <c r="K44" s="1">
        <v>4.9389831527999997</v>
      </c>
    </row>
    <row r="45" spans="1:11" ht="16" thickBot="1" x14ac:dyDescent="0.25">
      <c r="A45" s="6">
        <v>2022</v>
      </c>
      <c r="B45" s="7" t="s">
        <v>22</v>
      </c>
      <c r="C45" s="4">
        <v>3</v>
      </c>
      <c r="D45" s="4">
        <v>6</v>
      </c>
      <c r="E45" s="4">
        <v>6</v>
      </c>
      <c r="F45" s="4" t="s">
        <v>20</v>
      </c>
      <c r="G45" s="4">
        <v>9</v>
      </c>
      <c r="H45" s="4">
        <v>142</v>
      </c>
      <c r="I45" s="3">
        <v>4.95</v>
      </c>
      <c r="J45" s="11">
        <v>0.44667805820000006</v>
      </c>
      <c r="K45" s="1">
        <v>5.3966780582</v>
      </c>
    </row>
    <row r="46" spans="1:11" ht="16" thickBot="1" x14ac:dyDescent="0.25">
      <c r="A46" s="6">
        <v>2022</v>
      </c>
      <c r="B46" s="7" t="s">
        <v>22</v>
      </c>
      <c r="C46" s="4">
        <v>3</v>
      </c>
      <c r="D46" s="4">
        <v>6</v>
      </c>
      <c r="E46" s="4">
        <v>5</v>
      </c>
      <c r="F46" s="4" t="s">
        <v>20</v>
      </c>
      <c r="G46" s="4">
        <v>24</v>
      </c>
      <c r="H46" s="4">
        <v>143</v>
      </c>
      <c r="I46" s="3">
        <v>4.9000000000000004</v>
      </c>
      <c r="J46" s="11">
        <v>0.45505561420000007</v>
      </c>
      <c r="K46" s="1">
        <v>5.3550556142000003</v>
      </c>
    </row>
    <row r="47" spans="1:11" ht="16" thickBot="1" x14ac:dyDescent="0.25">
      <c r="A47" s="6">
        <v>2022</v>
      </c>
      <c r="B47" s="7" t="s">
        <v>22</v>
      </c>
      <c r="C47" s="4">
        <v>2</v>
      </c>
      <c r="D47" s="4">
        <v>6</v>
      </c>
      <c r="E47" s="4">
        <v>4</v>
      </c>
      <c r="F47" s="4" t="s">
        <v>20</v>
      </c>
      <c r="G47" s="4">
        <v>15</v>
      </c>
      <c r="H47" s="4">
        <v>144</v>
      </c>
      <c r="I47" s="3">
        <v>4.0999999999999996</v>
      </c>
      <c r="J47" s="11">
        <v>0.35165893619999999</v>
      </c>
      <c r="K47" s="1">
        <v>4.4516589361999994</v>
      </c>
    </row>
    <row r="48" spans="1:11" ht="16" thickBot="1" x14ac:dyDescent="0.25">
      <c r="A48" s="6">
        <v>2022</v>
      </c>
      <c r="B48" s="7" t="s">
        <v>22</v>
      </c>
      <c r="C48" s="4">
        <v>2</v>
      </c>
      <c r="D48" s="4">
        <v>6</v>
      </c>
      <c r="E48" s="4">
        <v>3</v>
      </c>
      <c r="F48" s="4" t="s">
        <v>20</v>
      </c>
      <c r="G48" s="4">
        <v>19</v>
      </c>
      <c r="H48" s="4">
        <v>145</v>
      </c>
      <c r="I48" s="3">
        <v>4.8</v>
      </c>
      <c r="J48" s="11">
        <v>0.43852096419999997</v>
      </c>
      <c r="K48" s="1">
        <v>5.2385209642000001</v>
      </c>
    </row>
    <row r="49" spans="1:11" ht="16" thickBot="1" x14ac:dyDescent="0.25">
      <c r="A49" s="6">
        <v>2022</v>
      </c>
      <c r="B49" s="7" t="s">
        <v>22</v>
      </c>
      <c r="C49" s="4">
        <v>1</v>
      </c>
      <c r="D49" s="4">
        <v>6</v>
      </c>
      <c r="E49" s="4">
        <v>2</v>
      </c>
      <c r="F49" s="4" t="s">
        <v>20</v>
      </c>
      <c r="G49" s="4">
        <v>24</v>
      </c>
      <c r="H49" s="4">
        <v>146</v>
      </c>
      <c r="I49" s="3">
        <v>6.25</v>
      </c>
      <c r="J49" s="11">
        <v>0.33812256940000002</v>
      </c>
      <c r="K49" s="1">
        <v>6.5881225694000003</v>
      </c>
    </row>
    <row r="50" spans="1:11" ht="16" thickBot="1" x14ac:dyDescent="0.25">
      <c r="A50" s="6">
        <v>2022</v>
      </c>
      <c r="B50" s="7" t="s">
        <v>22</v>
      </c>
      <c r="C50" s="4">
        <v>1</v>
      </c>
      <c r="D50" s="4">
        <v>6</v>
      </c>
      <c r="E50" s="4">
        <v>1</v>
      </c>
      <c r="F50" s="4" t="s">
        <v>20</v>
      </c>
      <c r="G50" s="4">
        <v>1</v>
      </c>
      <c r="H50" s="4">
        <v>147</v>
      </c>
      <c r="I50" s="3">
        <v>6.45</v>
      </c>
      <c r="J50" s="11">
        <v>0.53874298939999998</v>
      </c>
      <c r="K50" s="1">
        <v>6.9887429894000004</v>
      </c>
    </row>
    <row r="51" spans="1:11" ht="16" thickBot="1" x14ac:dyDescent="0.25">
      <c r="A51" s="6">
        <v>2022</v>
      </c>
      <c r="B51" s="7" t="s">
        <v>22</v>
      </c>
      <c r="C51" s="4">
        <v>1</v>
      </c>
      <c r="D51" s="4">
        <v>7</v>
      </c>
      <c r="E51" s="4">
        <v>1</v>
      </c>
      <c r="F51" s="4" t="s">
        <v>20</v>
      </c>
      <c r="G51" s="4">
        <v>14</v>
      </c>
      <c r="H51" s="4">
        <v>148</v>
      </c>
      <c r="I51" s="3">
        <v>6.35</v>
      </c>
      <c r="J51" s="11">
        <v>0.43336215340000001</v>
      </c>
      <c r="K51" s="1">
        <v>6.7833621533999997</v>
      </c>
    </row>
    <row r="52" spans="1:11" ht="16" thickBot="1" x14ac:dyDescent="0.25">
      <c r="A52" s="6">
        <v>2022</v>
      </c>
      <c r="B52" s="7" t="s">
        <v>22</v>
      </c>
      <c r="C52" s="4">
        <v>1</v>
      </c>
      <c r="D52" s="4">
        <v>7</v>
      </c>
      <c r="E52" s="4">
        <v>2</v>
      </c>
      <c r="F52" s="4" t="s">
        <v>20</v>
      </c>
      <c r="G52" s="4">
        <v>10</v>
      </c>
      <c r="H52" s="4">
        <v>149</v>
      </c>
      <c r="I52" s="3">
        <v>5.85</v>
      </c>
      <c r="J52" s="11">
        <v>0.52838127540000002</v>
      </c>
      <c r="K52" s="1">
        <v>6.3783812753999998</v>
      </c>
    </row>
    <row r="53" spans="1:11" ht="16" thickBot="1" x14ac:dyDescent="0.25">
      <c r="A53" s="6">
        <v>2022</v>
      </c>
      <c r="B53" s="7" t="s">
        <v>22</v>
      </c>
      <c r="C53" s="4">
        <v>2</v>
      </c>
      <c r="D53" s="4">
        <v>7</v>
      </c>
      <c r="E53" s="4">
        <v>3</v>
      </c>
      <c r="F53" s="4" t="s">
        <v>20</v>
      </c>
      <c r="G53" s="4">
        <v>20</v>
      </c>
      <c r="H53" s="4">
        <v>150</v>
      </c>
      <c r="I53" s="3">
        <v>5.6</v>
      </c>
      <c r="J53" s="11">
        <v>0.57586879019999992</v>
      </c>
      <c r="K53" s="1">
        <v>6.1758687901999991</v>
      </c>
    </row>
    <row r="54" spans="1:11" ht="16" thickBot="1" x14ac:dyDescent="0.25">
      <c r="A54" s="6">
        <v>2022</v>
      </c>
      <c r="B54" s="7" t="s">
        <v>22</v>
      </c>
      <c r="C54" s="4">
        <v>2</v>
      </c>
      <c r="D54" s="4">
        <v>7</v>
      </c>
      <c r="E54" s="4">
        <v>4</v>
      </c>
      <c r="F54" s="4" t="s">
        <v>20</v>
      </c>
      <c r="G54" s="4">
        <v>3</v>
      </c>
      <c r="H54" s="4">
        <v>151</v>
      </c>
      <c r="I54" s="3">
        <v>5.8</v>
      </c>
      <c r="J54" s="11">
        <v>0.72093278620000001</v>
      </c>
      <c r="K54" s="1">
        <v>6.5209327861999995</v>
      </c>
    </row>
    <row r="55" spans="1:11" ht="16" thickBot="1" x14ac:dyDescent="0.25">
      <c r="A55" s="6">
        <v>2022</v>
      </c>
      <c r="B55" s="7" t="s">
        <v>22</v>
      </c>
      <c r="C55" s="4">
        <v>3</v>
      </c>
      <c r="D55" s="4">
        <v>7</v>
      </c>
      <c r="E55" s="4">
        <v>5</v>
      </c>
      <c r="F55" s="4" t="s">
        <v>20</v>
      </c>
      <c r="G55" s="4">
        <v>18</v>
      </c>
      <c r="H55" s="4">
        <v>152</v>
      </c>
      <c r="I55" s="3">
        <v>5.25</v>
      </c>
      <c r="J55" s="11">
        <v>0.54478364820000003</v>
      </c>
      <c r="K55" s="1">
        <v>5.7947836482000001</v>
      </c>
    </row>
    <row r="56" spans="1:11" ht="16" thickBot="1" x14ac:dyDescent="0.25">
      <c r="A56" s="6">
        <v>2022</v>
      </c>
      <c r="B56" s="7" t="s">
        <v>22</v>
      </c>
      <c r="C56" s="4">
        <v>3</v>
      </c>
      <c r="D56" s="4">
        <v>7</v>
      </c>
      <c r="E56" s="4">
        <v>6</v>
      </c>
      <c r="F56" s="4" t="s">
        <v>20</v>
      </c>
      <c r="G56" s="4">
        <v>12</v>
      </c>
      <c r="H56" s="4">
        <v>153</v>
      </c>
      <c r="I56" s="3">
        <v>4.3</v>
      </c>
      <c r="J56" s="11">
        <v>0.47710181420000009</v>
      </c>
      <c r="K56" s="1">
        <v>4.7771018141999999</v>
      </c>
    </row>
    <row r="57" spans="1:11" ht="16" thickBot="1" x14ac:dyDescent="0.25">
      <c r="A57" s="6">
        <v>2022</v>
      </c>
      <c r="B57" s="7" t="s">
        <v>22</v>
      </c>
      <c r="C57" s="4">
        <v>4</v>
      </c>
      <c r="D57" s="4">
        <v>7</v>
      </c>
      <c r="E57" s="4">
        <v>7</v>
      </c>
      <c r="F57" s="4" t="s">
        <v>20</v>
      </c>
      <c r="G57" s="4">
        <v>15</v>
      </c>
      <c r="H57" s="4">
        <v>154</v>
      </c>
      <c r="I57" s="3">
        <v>4.0999999999999996</v>
      </c>
      <c r="J57" s="11">
        <v>0.47540425679999998</v>
      </c>
      <c r="K57" s="1">
        <v>4.5754042567999997</v>
      </c>
    </row>
    <row r="58" spans="1:11" ht="16" thickBot="1" x14ac:dyDescent="0.25">
      <c r="A58" s="6">
        <v>2022</v>
      </c>
      <c r="B58" s="7" t="s">
        <v>22</v>
      </c>
      <c r="C58" s="4">
        <v>4</v>
      </c>
      <c r="D58" s="4">
        <v>7</v>
      </c>
      <c r="E58" s="4">
        <v>8</v>
      </c>
      <c r="F58" s="4" t="s">
        <v>20</v>
      </c>
      <c r="G58" s="4">
        <v>23</v>
      </c>
      <c r="H58" s="4">
        <v>155</v>
      </c>
      <c r="I58" s="3">
        <v>5.65</v>
      </c>
      <c r="J58" s="11">
        <v>0.54242470479999993</v>
      </c>
      <c r="K58" s="1">
        <v>6.1924247048000005</v>
      </c>
    </row>
    <row r="59" spans="1:11" ht="16" thickBot="1" x14ac:dyDescent="0.25">
      <c r="A59" s="6">
        <v>2022</v>
      </c>
      <c r="B59" s="7" t="s">
        <v>22</v>
      </c>
      <c r="C59" s="4">
        <v>4</v>
      </c>
      <c r="D59" s="4">
        <v>8</v>
      </c>
      <c r="E59" s="4">
        <v>8</v>
      </c>
      <c r="F59" s="4" t="s">
        <v>21</v>
      </c>
      <c r="G59" s="4">
        <v>50</v>
      </c>
      <c r="H59" s="4">
        <v>156</v>
      </c>
      <c r="I59" s="3">
        <v>5.55</v>
      </c>
      <c r="J59" s="11">
        <v>0.54595209680000001</v>
      </c>
      <c r="K59" s="1">
        <v>6.0959520967999996</v>
      </c>
    </row>
    <row r="60" spans="1:11" ht="16" thickBot="1" x14ac:dyDescent="0.25">
      <c r="A60" s="6">
        <v>2022</v>
      </c>
      <c r="B60" s="7" t="s">
        <v>22</v>
      </c>
      <c r="C60" s="4">
        <v>4</v>
      </c>
      <c r="D60" s="4">
        <v>8</v>
      </c>
      <c r="E60" s="4">
        <v>7</v>
      </c>
      <c r="F60" s="4" t="s">
        <v>21</v>
      </c>
      <c r="G60" s="4">
        <v>50</v>
      </c>
      <c r="H60" s="4">
        <v>157</v>
      </c>
      <c r="I60" s="3">
        <v>5.3</v>
      </c>
      <c r="J60" s="11">
        <v>0.57350984679999994</v>
      </c>
      <c r="K60" s="1">
        <v>5.8735098467999993</v>
      </c>
    </row>
    <row r="61" spans="1:11" ht="16" thickBot="1" x14ac:dyDescent="0.25">
      <c r="A61" s="6">
        <v>2022</v>
      </c>
      <c r="B61" s="7" t="s">
        <v>22</v>
      </c>
      <c r="C61" s="4">
        <v>3</v>
      </c>
      <c r="D61" s="4">
        <v>8</v>
      </c>
      <c r="E61" s="4">
        <v>6</v>
      </c>
      <c r="F61" s="4" t="s">
        <v>21</v>
      </c>
      <c r="G61" s="4">
        <v>50</v>
      </c>
      <c r="H61" s="4">
        <v>158</v>
      </c>
      <c r="I61" s="3">
        <v>5.8</v>
      </c>
      <c r="J61" s="11">
        <v>0.59108066820000005</v>
      </c>
      <c r="K61" s="1">
        <v>6.3910806681999999</v>
      </c>
    </row>
    <row r="62" spans="1:11" ht="16" thickBot="1" x14ac:dyDescent="0.25">
      <c r="A62" s="6">
        <v>2022</v>
      </c>
      <c r="B62" s="7" t="s">
        <v>22</v>
      </c>
      <c r="C62" s="4">
        <v>3</v>
      </c>
      <c r="D62" s="4">
        <v>8</v>
      </c>
      <c r="E62" s="4">
        <v>5</v>
      </c>
      <c r="F62" s="4" t="s">
        <v>21</v>
      </c>
      <c r="G62" s="4">
        <v>50</v>
      </c>
      <c r="H62" s="4">
        <v>159</v>
      </c>
      <c r="I62" s="3">
        <v>5.8</v>
      </c>
      <c r="J62" s="11">
        <v>0.41713615019999994</v>
      </c>
      <c r="K62" s="1">
        <v>6.2171361502</v>
      </c>
    </row>
    <row r="63" spans="1:11" ht="16" thickBot="1" x14ac:dyDescent="0.25">
      <c r="A63" s="6">
        <v>2022</v>
      </c>
      <c r="B63" s="7" t="s">
        <v>22</v>
      </c>
      <c r="C63" s="4">
        <v>2</v>
      </c>
      <c r="D63" s="4">
        <v>8</v>
      </c>
      <c r="E63" s="4">
        <v>4</v>
      </c>
      <c r="F63" s="4" t="s">
        <v>21</v>
      </c>
      <c r="G63" s="4">
        <v>50</v>
      </c>
      <c r="H63" s="4">
        <v>160</v>
      </c>
      <c r="I63" s="3">
        <v>5.0999999999999996</v>
      </c>
      <c r="J63" s="11">
        <v>0.55999552620000004</v>
      </c>
      <c r="K63" s="1">
        <v>5.6599955261999995</v>
      </c>
    </row>
    <row r="64" spans="1:11" ht="16" thickBot="1" x14ac:dyDescent="0.25">
      <c r="A64" s="6">
        <v>2022</v>
      </c>
      <c r="B64" s="7" t="s">
        <v>22</v>
      </c>
      <c r="C64" s="4">
        <v>2</v>
      </c>
      <c r="D64" s="4">
        <v>8</v>
      </c>
      <c r="E64" s="4">
        <v>3</v>
      </c>
      <c r="F64" s="4" t="s">
        <v>21</v>
      </c>
      <c r="G64" s="4">
        <v>50</v>
      </c>
      <c r="H64" s="4">
        <v>161</v>
      </c>
      <c r="I64" s="3">
        <v>6.5</v>
      </c>
      <c r="J64" s="11">
        <v>0.5454450341999999</v>
      </c>
      <c r="K64" s="1">
        <v>7.0454450342000001</v>
      </c>
    </row>
    <row r="65" spans="1:11" ht="16" thickBot="1" x14ac:dyDescent="0.25">
      <c r="A65" s="6">
        <v>2022</v>
      </c>
      <c r="B65" s="7" t="s">
        <v>22</v>
      </c>
      <c r="C65" s="4">
        <v>1</v>
      </c>
      <c r="D65" s="4">
        <v>8</v>
      </c>
      <c r="E65" s="4">
        <v>2</v>
      </c>
      <c r="F65" s="4" t="s">
        <v>21</v>
      </c>
      <c r="G65" s="4">
        <v>50</v>
      </c>
      <c r="H65" s="4">
        <v>162</v>
      </c>
      <c r="I65" s="3">
        <v>4.55</v>
      </c>
      <c r="J65" s="11">
        <v>0.55726179740000004</v>
      </c>
      <c r="K65" s="1">
        <v>5.1072617973999996</v>
      </c>
    </row>
    <row r="66" spans="1:11" ht="16" thickBot="1" x14ac:dyDescent="0.25">
      <c r="A66" s="6">
        <v>2022</v>
      </c>
      <c r="B66" s="7" t="s">
        <v>22</v>
      </c>
      <c r="C66" s="4">
        <v>1</v>
      </c>
      <c r="D66" s="4">
        <v>8</v>
      </c>
      <c r="E66" s="4">
        <v>1</v>
      </c>
      <c r="F66" s="4" t="s">
        <v>21</v>
      </c>
      <c r="G66" s="4">
        <v>50</v>
      </c>
      <c r="H66" s="4">
        <v>163</v>
      </c>
      <c r="I66" s="3">
        <v>5.05</v>
      </c>
      <c r="J66" s="11">
        <v>0.42432321140000001</v>
      </c>
      <c r="K66" s="1">
        <v>5.4743232113999998</v>
      </c>
    </row>
    <row r="67" spans="1:11" ht="16" thickBot="1" x14ac:dyDescent="0.25">
      <c r="A67" s="6">
        <v>2022</v>
      </c>
      <c r="B67" s="7" t="s">
        <v>22</v>
      </c>
      <c r="C67" s="4">
        <v>1</v>
      </c>
      <c r="D67" s="4">
        <v>9</v>
      </c>
      <c r="E67" s="4">
        <v>1</v>
      </c>
      <c r="F67" s="4" t="s">
        <v>20</v>
      </c>
      <c r="G67" s="4">
        <v>15</v>
      </c>
      <c r="H67" s="4">
        <v>164</v>
      </c>
      <c r="I67" s="3">
        <v>4.8499999999999996</v>
      </c>
      <c r="J67" s="11">
        <v>0.39963146740000005</v>
      </c>
      <c r="K67" s="1">
        <v>5.2496314673999995</v>
      </c>
    </row>
    <row r="68" spans="1:11" ht="16" thickBot="1" x14ac:dyDescent="0.25">
      <c r="A68" s="6">
        <v>2022</v>
      </c>
      <c r="B68" s="7" t="s">
        <v>22</v>
      </c>
      <c r="C68" s="4">
        <v>1</v>
      </c>
      <c r="D68" s="4">
        <v>9</v>
      </c>
      <c r="E68" s="4">
        <v>2</v>
      </c>
      <c r="F68" s="4" t="s">
        <v>20</v>
      </c>
      <c r="G68" s="4">
        <v>20</v>
      </c>
      <c r="H68" s="4">
        <v>165</v>
      </c>
      <c r="I68" s="3">
        <v>5.25</v>
      </c>
      <c r="J68" s="11">
        <v>0.56034826539999993</v>
      </c>
      <c r="K68" s="1">
        <v>5.8103482654</v>
      </c>
    </row>
    <row r="69" spans="1:11" ht="16" thickBot="1" x14ac:dyDescent="0.25">
      <c r="A69" s="6">
        <v>2022</v>
      </c>
      <c r="B69" s="7" t="s">
        <v>22</v>
      </c>
      <c r="C69" s="4">
        <v>2</v>
      </c>
      <c r="D69" s="4">
        <v>9</v>
      </c>
      <c r="E69" s="4">
        <v>3</v>
      </c>
      <c r="F69" s="4" t="s">
        <v>20</v>
      </c>
      <c r="G69" s="4">
        <v>11</v>
      </c>
      <c r="H69" s="4">
        <v>166</v>
      </c>
      <c r="I69" s="3">
        <v>4.9000000000000004</v>
      </c>
      <c r="J69" s="11">
        <v>0.55205889419999998</v>
      </c>
      <c r="K69" s="1">
        <v>5.4520588942000003</v>
      </c>
    </row>
    <row r="70" spans="1:11" ht="16" thickBot="1" x14ac:dyDescent="0.25">
      <c r="A70" s="6">
        <v>2022</v>
      </c>
      <c r="B70" s="7" t="s">
        <v>22</v>
      </c>
      <c r="C70" s="4">
        <v>2</v>
      </c>
      <c r="D70" s="4">
        <v>9</v>
      </c>
      <c r="E70" s="4">
        <v>4</v>
      </c>
      <c r="F70" s="4" t="s">
        <v>20</v>
      </c>
      <c r="G70" s="4">
        <v>16</v>
      </c>
      <c r="H70" s="4">
        <v>167</v>
      </c>
      <c r="I70" s="3">
        <v>4.7</v>
      </c>
      <c r="J70" s="11">
        <v>0.45505561420000001</v>
      </c>
      <c r="K70" s="1">
        <v>5.1550556142000001</v>
      </c>
    </row>
    <row r="71" spans="1:11" ht="16" thickBot="1" x14ac:dyDescent="0.25">
      <c r="A71" s="6">
        <v>2022</v>
      </c>
      <c r="B71" s="7" t="s">
        <v>22</v>
      </c>
      <c r="C71" s="4">
        <v>3</v>
      </c>
      <c r="D71" s="4">
        <v>9</v>
      </c>
      <c r="E71" s="4">
        <v>5</v>
      </c>
      <c r="F71" s="4" t="s">
        <v>20</v>
      </c>
      <c r="G71" s="4">
        <v>6</v>
      </c>
      <c r="H71" s="4">
        <v>168</v>
      </c>
      <c r="I71" s="3">
        <v>4.5</v>
      </c>
      <c r="J71" s="11">
        <v>0.43014340820000002</v>
      </c>
      <c r="K71" s="1">
        <v>4.9301434082000002</v>
      </c>
    </row>
    <row r="72" spans="1:11" ht="16" thickBot="1" x14ac:dyDescent="0.25">
      <c r="A72" s="6">
        <v>2022</v>
      </c>
      <c r="B72" s="7" t="s">
        <v>22</v>
      </c>
      <c r="C72" s="4">
        <v>3</v>
      </c>
      <c r="D72" s="4">
        <v>9</v>
      </c>
      <c r="E72" s="4">
        <v>6</v>
      </c>
      <c r="F72" s="4" t="s">
        <v>20</v>
      </c>
      <c r="G72" s="4">
        <v>2</v>
      </c>
      <c r="H72" s="4">
        <v>169</v>
      </c>
      <c r="I72" s="3">
        <v>5.5</v>
      </c>
      <c r="J72" s="11">
        <v>0.5756483282</v>
      </c>
      <c r="K72" s="1">
        <v>6.0756483281999998</v>
      </c>
    </row>
    <row r="73" spans="1:11" ht="16" thickBot="1" x14ac:dyDescent="0.25">
      <c r="A73" s="6">
        <v>2022</v>
      </c>
      <c r="B73" s="7" t="s">
        <v>22</v>
      </c>
      <c r="C73" s="4">
        <v>4</v>
      </c>
      <c r="D73" s="4">
        <v>9</v>
      </c>
      <c r="E73" s="4">
        <v>7</v>
      </c>
      <c r="F73" s="4" t="s">
        <v>20</v>
      </c>
      <c r="G73" s="4">
        <v>18</v>
      </c>
      <c r="H73" s="4">
        <v>170</v>
      </c>
      <c r="I73" s="3">
        <v>6.7</v>
      </c>
      <c r="J73" s="11">
        <v>0.58056463079999998</v>
      </c>
      <c r="K73" s="1">
        <v>7.2805646307999998</v>
      </c>
    </row>
    <row r="74" spans="1:11" ht="16" thickBot="1" x14ac:dyDescent="0.25">
      <c r="A74" s="6">
        <v>2022</v>
      </c>
      <c r="B74" s="7" t="s">
        <v>22</v>
      </c>
      <c r="C74" s="4">
        <v>4</v>
      </c>
      <c r="D74" s="4">
        <v>9</v>
      </c>
      <c r="E74" s="4">
        <v>8</v>
      </c>
      <c r="F74" s="4" t="s">
        <v>20</v>
      </c>
      <c r="G74" s="4">
        <v>19</v>
      </c>
      <c r="H74" s="4">
        <v>171</v>
      </c>
      <c r="I74" s="3">
        <v>6.35</v>
      </c>
      <c r="J74" s="11">
        <v>0.56998245479999987</v>
      </c>
      <c r="K74" s="1">
        <v>6.9199824547999995</v>
      </c>
    </row>
    <row r="75" spans="1:11" ht="16" thickBot="1" x14ac:dyDescent="0.25">
      <c r="A75" s="6">
        <v>2022</v>
      </c>
      <c r="B75" s="7" t="s">
        <v>22</v>
      </c>
      <c r="C75" s="4">
        <v>4</v>
      </c>
      <c r="D75" s="4">
        <v>10</v>
      </c>
      <c r="E75" s="4">
        <v>8</v>
      </c>
      <c r="F75" s="4" t="s">
        <v>20</v>
      </c>
      <c r="G75" s="4">
        <v>7</v>
      </c>
      <c r="H75" s="4">
        <v>172</v>
      </c>
      <c r="I75" s="3">
        <v>7.15</v>
      </c>
      <c r="J75" s="11">
        <v>0.63612105479999992</v>
      </c>
      <c r="K75" s="1">
        <v>7.7861210548000006</v>
      </c>
    </row>
    <row r="76" spans="1:11" ht="16" thickBot="1" x14ac:dyDescent="0.25">
      <c r="A76" s="6">
        <v>2022</v>
      </c>
      <c r="B76" s="7" t="s">
        <v>22</v>
      </c>
      <c r="C76" s="4">
        <v>4</v>
      </c>
      <c r="D76" s="4">
        <v>10</v>
      </c>
      <c r="E76" s="4">
        <v>7</v>
      </c>
      <c r="F76" s="4" t="s">
        <v>20</v>
      </c>
      <c r="G76" s="4">
        <v>22</v>
      </c>
      <c r="H76" s="4">
        <v>173</v>
      </c>
      <c r="I76" s="3">
        <v>7.4</v>
      </c>
      <c r="J76" s="11">
        <v>0.58651710479999997</v>
      </c>
      <c r="K76" s="1">
        <v>7.9865171048000008</v>
      </c>
    </row>
    <row r="77" spans="1:11" ht="16" thickBot="1" x14ac:dyDescent="0.25">
      <c r="A77" s="6">
        <v>2022</v>
      </c>
      <c r="B77" s="7" t="s">
        <v>22</v>
      </c>
      <c r="C77" s="4">
        <v>3</v>
      </c>
      <c r="D77" s="4">
        <v>10</v>
      </c>
      <c r="E77" s="4">
        <v>6</v>
      </c>
      <c r="F77" s="4" t="s">
        <v>20</v>
      </c>
      <c r="G77" s="4">
        <v>23</v>
      </c>
      <c r="H77" s="4">
        <v>174</v>
      </c>
      <c r="I77" s="3">
        <v>6.2</v>
      </c>
      <c r="J77" s="11">
        <v>0.58733281420000005</v>
      </c>
      <c r="K77" s="1">
        <v>6.7873328142</v>
      </c>
    </row>
    <row r="78" spans="1:11" ht="16" thickBot="1" x14ac:dyDescent="0.25">
      <c r="A78" s="6">
        <v>2022</v>
      </c>
      <c r="B78" s="7" t="s">
        <v>22</v>
      </c>
      <c r="C78" s="4">
        <v>3</v>
      </c>
      <c r="D78" s="4">
        <v>10</v>
      </c>
      <c r="E78" s="4">
        <v>5</v>
      </c>
      <c r="F78" s="4" t="s">
        <v>20</v>
      </c>
      <c r="G78" s="4">
        <v>8</v>
      </c>
      <c r="H78" s="4">
        <v>175</v>
      </c>
      <c r="I78" s="3">
        <v>5.15</v>
      </c>
      <c r="J78" s="11">
        <v>0.42176585220000001</v>
      </c>
      <c r="K78" s="1">
        <v>5.5717658522000004</v>
      </c>
    </row>
    <row r="79" spans="1:11" ht="16" thickBot="1" x14ac:dyDescent="0.25">
      <c r="A79" s="6">
        <v>2022</v>
      </c>
      <c r="B79" s="7" t="s">
        <v>22</v>
      </c>
      <c r="C79" s="4">
        <v>2</v>
      </c>
      <c r="D79" s="4">
        <v>10</v>
      </c>
      <c r="E79" s="4">
        <v>4</v>
      </c>
      <c r="F79" s="4" t="s">
        <v>20</v>
      </c>
      <c r="G79" s="4">
        <v>4</v>
      </c>
      <c r="H79" s="4">
        <v>176</v>
      </c>
      <c r="I79" s="3">
        <v>4.95</v>
      </c>
      <c r="J79" s="11">
        <v>0.61621333619999996</v>
      </c>
      <c r="K79" s="1">
        <v>5.5662133362000006</v>
      </c>
    </row>
    <row r="80" spans="1:11" ht="16" thickBot="1" x14ac:dyDescent="0.25">
      <c r="A80" s="6">
        <v>2022</v>
      </c>
      <c r="B80" s="7" t="s">
        <v>22</v>
      </c>
      <c r="C80" s="4">
        <v>2</v>
      </c>
      <c r="D80" s="4">
        <v>10</v>
      </c>
      <c r="E80" s="4">
        <v>3</v>
      </c>
      <c r="F80" s="4" t="s">
        <v>20</v>
      </c>
      <c r="G80" s="4">
        <v>23</v>
      </c>
      <c r="H80" s="4">
        <v>177</v>
      </c>
      <c r="I80" s="3">
        <v>6.4</v>
      </c>
      <c r="J80" s="11">
        <v>0.58909651019999998</v>
      </c>
      <c r="K80" s="1">
        <v>6.9890965102000004</v>
      </c>
    </row>
    <row r="81" spans="1:11" ht="16" thickBot="1" x14ac:dyDescent="0.25">
      <c r="A81" s="6">
        <v>2022</v>
      </c>
      <c r="B81" s="7" t="s">
        <v>22</v>
      </c>
      <c r="C81" s="4">
        <v>1</v>
      </c>
      <c r="D81" s="4">
        <v>10</v>
      </c>
      <c r="E81" s="4">
        <v>2</v>
      </c>
      <c r="F81" s="4" t="s">
        <v>20</v>
      </c>
      <c r="G81" s="4">
        <v>3</v>
      </c>
      <c r="H81" s="4">
        <v>178</v>
      </c>
      <c r="I81" s="3">
        <v>5.0999999999999996</v>
      </c>
      <c r="J81" s="11">
        <v>0.62229808739999992</v>
      </c>
      <c r="K81" s="1">
        <v>5.7222980873999996</v>
      </c>
    </row>
    <row r="82" spans="1:11" ht="16" thickBot="1" x14ac:dyDescent="0.25">
      <c r="A82" s="6">
        <v>2022</v>
      </c>
      <c r="B82" s="7" t="s">
        <v>22</v>
      </c>
      <c r="C82" s="4">
        <v>1</v>
      </c>
      <c r="D82" s="4">
        <v>10</v>
      </c>
      <c r="E82" s="4">
        <v>1</v>
      </c>
      <c r="F82" s="4" t="s">
        <v>20</v>
      </c>
      <c r="G82" s="4">
        <v>16</v>
      </c>
      <c r="H82" s="4">
        <v>179</v>
      </c>
      <c r="I82" s="3">
        <v>4.5</v>
      </c>
      <c r="J82" s="11">
        <v>0.3520116754</v>
      </c>
      <c r="K82" s="1">
        <v>4.8520116754</v>
      </c>
    </row>
    <row r="83" spans="1:11" ht="16" thickBot="1" x14ac:dyDescent="0.25">
      <c r="A83" s="6">
        <v>2022</v>
      </c>
      <c r="B83" s="7" t="s">
        <v>22</v>
      </c>
      <c r="C83" s="4">
        <v>1</v>
      </c>
      <c r="D83" s="4">
        <v>11</v>
      </c>
      <c r="E83" s="4">
        <v>1</v>
      </c>
      <c r="F83" s="4" t="s">
        <v>21</v>
      </c>
      <c r="G83" s="4">
        <v>50</v>
      </c>
      <c r="H83" s="4">
        <v>180</v>
      </c>
      <c r="I83" s="3">
        <v>4.8499999999999996</v>
      </c>
      <c r="J83" s="11">
        <v>0.47635224339999999</v>
      </c>
      <c r="K83" s="1">
        <v>5.3263522433999997</v>
      </c>
    </row>
    <row r="84" spans="1:11" ht="16" thickBot="1" x14ac:dyDescent="0.25">
      <c r="A84" s="6">
        <v>2022</v>
      </c>
      <c r="B84" s="7" t="s">
        <v>22</v>
      </c>
      <c r="C84" s="4">
        <v>1</v>
      </c>
      <c r="D84" s="4">
        <v>11</v>
      </c>
      <c r="E84" s="4">
        <v>2</v>
      </c>
      <c r="F84" s="4" t="s">
        <v>21</v>
      </c>
      <c r="G84" s="4">
        <v>50</v>
      </c>
      <c r="H84" s="4">
        <v>181</v>
      </c>
      <c r="I84" s="3">
        <v>5</v>
      </c>
      <c r="J84" s="11">
        <v>0.68050005539999991</v>
      </c>
      <c r="K84" s="1">
        <v>5.6805000553999996</v>
      </c>
    </row>
    <row r="85" spans="1:11" ht="16" thickBot="1" x14ac:dyDescent="0.25">
      <c r="A85" s="6">
        <v>2022</v>
      </c>
      <c r="B85" s="7" t="s">
        <v>22</v>
      </c>
      <c r="C85" s="4">
        <v>2</v>
      </c>
      <c r="D85" s="4">
        <v>11</v>
      </c>
      <c r="E85" s="4">
        <v>3</v>
      </c>
      <c r="F85" s="4" t="s">
        <v>21</v>
      </c>
      <c r="G85" s="4">
        <v>50</v>
      </c>
      <c r="H85" s="4">
        <v>182</v>
      </c>
      <c r="I85" s="3">
        <v>4.9000000000000004</v>
      </c>
      <c r="J85" s="11">
        <v>0.44755990619999997</v>
      </c>
      <c r="K85" s="1">
        <v>5.3475599062000008</v>
      </c>
    </row>
    <row r="86" spans="1:11" ht="16" thickBot="1" x14ac:dyDescent="0.25">
      <c r="A86" s="6">
        <v>2022</v>
      </c>
      <c r="B86" s="7" t="s">
        <v>22</v>
      </c>
      <c r="C86" s="4">
        <v>2</v>
      </c>
      <c r="D86" s="4">
        <v>11</v>
      </c>
      <c r="E86" s="4">
        <v>4</v>
      </c>
      <c r="F86" s="4" t="s">
        <v>21</v>
      </c>
      <c r="G86" s="4">
        <v>50</v>
      </c>
      <c r="H86" s="4">
        <v>183</v>
      </c>
      <c r="I86" s="3">
        <v>3.75</v>
      </c>
      <c r="J86" s="11">
        <v>0.41206552419999998</v>
      </c>
      <c r="K86" s="1">
        <v>4.1620655242</v>
      </c>
    </row>
    <row r="87" spans="1:11" ht="16" thickBot="1" x14ac:dyDescent="0.25">
      <c r="A87" s="6">
        <v>2022</v>
      </c>
      <c r="B87" s="7" t="s">
        <v>22</v>
      </c>
      <c r="C87" s="4">
        <v>3</v>
      </c>
      <c r="D87" s="4">
        <v>11</v>
      </c>
      <c r="E87" s="4">
        <v>5</v>
      </c>
      <c r="F87" s="4" t="s">
        <v>21</v>
      </c>
      <c r="G87" s="4">
        <v>50</v>
      </c>
      <c r="H87" s="4">
        <v>184</v>
      </c>
      <c r="I87" s="3">
        <v>4.95</v>
      </c>
      <c r="J87" s="11">
        <v>0.33821075420000007</v>
      </c>
      <c r="K87" s="1">
        <v>5.2882107542000005</v>
      </c>
    </row>
    <row r="88" spans="1:11" ht="16" thickBot="1" x14ac:dyDescent="0.25">
      <c r="A88" s="6">
        <v>2022</v>
      </c>
      <c r="B88" s="7" t="s">
        <v>22</v>
      </c>
      <c r="C88" s="4">
        <v>3</v>
      </c>
      <c r="D88" s="4">
        <v>11</v>
      </c>
      <c r="E88" s="4">
        <v>6</v>
      </c>
      <c r="F88" s="4" t="s">
        <v>21</v>
      </c>
      <c r="G88" s="4">
        <v>50</v>
      </c>
      <c r="H88" s="4">
        <v>185</v>
      </c>
      <c r="I88" s="3">
        <v>5.65</v>
      </c>
      <c r="J88" s="11">
        <v>0.52957177020000012</v>
      </c>
      <c r="K88" s="1">
        <v>6.1795717702000008</v>
      </c>
    </row>
    <row r="89" spans="1:11" ht="16" thickBot="1" x14ac:dyDescent="0.25">
      <c r="A89" s="6">
        <v>2022</v>
      </c>
      <c r="B89" s="7" t="s">
        <v>22</v>
      </c>
      <c r="C89" s="4">
        <v>4</v>
      </c>
      <c r="D89" s="4">
        <v>11</v>
      </c>
      <c r="E89" s="4">
        <v>7</v>
      </c>
      <c r="F89" s="4" t="s">
        <v>21</v>
      </c>
      <c r="G89" s="4">
        <v>50</v>
      </c>
      <c r="H89" s="4">
        <v>186</v>
      </c>
      <c r="I89" s="3">
        <v>6.6</v>
      </c>
      <c r="J89" s="11">
        <v>0.48400227480000008</v>
      </c>
      <c r="K89" s="1">
        <v>7.0840022747999996</v>
      </c>
    </row>
    <row r="90" spans="1:11" ht="16" thickBot="1" x14ac:dyDescent="0.25">
      <c r="A90" s="6">
        <v>2022</v>
      </c>
      <c r="B90" s="7" t="s">
        <v>22</v>
      </c>
      <c r="C90" s="4">
        <v>4</v>
      </c>
      <c r="D90" s="4">
        <v>11</v>
      </c>
      <c r="E90" s="4">
        <v>8</v>
      </c>
      <c r="F90" s="4" t="s">
        <v>21</v>
      </c>
      <c r="G90" s="4">
        <v>50</v>
      </c>
      <c r="H90" s="4">
        <v>187</v>
      </c>
      <c r="I90" s="3">
        <v>6</v>
      </c>
      <c r="J90" s="11">
        <v>0.59842205280000005</v>
      </c>
      <c r="K90" s="1">
        <v>6.5984220528000002</v>
      </c>
    </row>
    <row r="91" spans="1:11" ht="16" thickBot="1" x14ac:dyDescent="0.25">
      <c r="A91" s="6">
        <v>2022</v>
      </c>
      <c r="B91" s="7" t="s">
        <v>22</v>
      </c>
      <c r="C91" s="4">
        <v>4</v>
      </c>
      <c r="D91" s="4">
        <v>12</v>
      </c>
      <c r="E91" s="4">
        <v>8</v>
      </c>
      <c r="F91" s="4" t="s">
        <v>20</v>
      </c>
      <c r="G91" s="4">
        <v>10</v>
      </c>
      <c r="H91" s="4">
        <v>188</v>
      </c>
      <c r="I91" s="3">
        <v>6.45</v>
      </c>
      <c r="J91" s="11">
        <v>0.53007883280000001</v>
      </c>
      <c r="K91" s="1">
        <v>6.9800788328000003</v>
      </c>
    </row>
    <row r="92" spans="1:11" ht="16" thickBot="1" x14ac:dyDescent="0.25">
      <c r="A92" s="6">
        <v>2022</v>
      </c>
      <c r="B92" s="7" t="s">
        <v>22</v>
      </c>
      <c r="C92" s="4">
        <v>4</v>
      </c>
      <c r="D92" s="4">
        <v>12</v>
      </c>
      <c r="E92" s="4">
        <v>7</v>
      </c>
      <c r="F92" s="4" t="s">
        <v>20</v>
      </c>
      <c r="G92" s="4">
        <v>16</v>
      </c>
      <c r="H92" s="4">
        <v>189</v>
      </c>
      <c r="I92" s="3">
        <v>6.6</v>
      </c>
      <c r="J92" s="11">
        <v>0.44255541880000004</v>
      </c>
      <c r="K92" s="1">
        <v>7.0425554187999992</v>
      </c>
    </row>
    <row r="93" spans="1:11" ht="16" thickBot="1" x14ac:dyDescent="0.25">
      <c r="A93" s="6">
        <v>2022</v>
      </c>
      <c r="B93" s="7" t="s">
        <v>22</v>
      </c>
      <c r="C93" s="4">
        <v>3</v>
      </c>
      <c r="D93" s="4">
        <v>12</v>
      </c>
      <c r="E93" s="4">
        <v>6</v>
      </c>
      <c r="F93" s="4" t="s">
        <v>20</v>
      </c>
      <c r="G93" s="4">
        <v>3</v>
      </c>
      <c r="H93" s="4">
        <v>190</v>
      </c>
      <c r="I93" s="3">
        <v>6.75</v>
      </c>
      <c r="J93" s="11">
        <v>0.52141467620000004</v>
      </c>
      <c r="K93" s="1">
        <v>7.2714146762</v>
      </c>
    </row>
    <row r="94" spans="1:11" ht="16" thickBot="1" x14ac:dyDescent="0.25">
      <c r="A94" s="6">
        <v>2022</v>
      </c>
      <c r="B94" s="7" t="s">
        <v>22</v>
      </c>
      <c r="C94" s="4">
        <v>3</v>
      </c>
      <c r="D94" s="4">
        <v>12</v>
      </c>
      <c r="E94" s="4">
        <v>5</v>
      </c>
      <c r="F94" s="4" t="s">
        <v>20</v>
      </c>
      <c r="G94" s="4">
        <v>5</v>
      </c>
      <c r="H94" s="4">
        <v>191</v>
      </c>
      <c r="I94" s="3">
        <v>5.2</v>
      </c>
      <c r="J94" s="11">
        <v>0.3600364922</v>
      </c>
      <c r="K94" s="1">
        <v>5.5600364922000001</v>
      </c>
    </row>
    <row r="95" spans="1:11" ht="16" thickBot="1" x14ac:dyDescent="0.25">
      <c r="A95" s="6">
        <v>2022</v>
      </c>
      <c r="B95" s="7" t="s">
        <v>22</v>
      </c>
      <c r="C95" s="4">
        <v>2</v>
      </c>
      <c r="D95" s="4">
        <v>12</v>
      </c>
      <c r="E95" s="4">
        <v>4</v>
      </c>
      <c r="F95" s="4" t="s">
        <v>20</v>
      </c>
      <c r="G95" s="4">
        <v>10</v>
      </c>
      <c r="H95" s="4">
        <v>192</v>
      </c>
      <c r="I95" s="3">
        <v>4.7</v>
      </c>
      <c r="J95" s="11">
        <v>0.47644042819999999</v>
      </c>
      <c r="K95" s="1">
        <v>5.1764404282000003</v>
      </c>
    </row>
    <row r="96" spans="1:11" ht="16" thickBot="1" x14ac:dyDescent="0.25">
      <c r="A96" s="6">
        <v>2022</v>
      </c>
      <c r="B96" s="7" t="s">
        <v>22</v>
      </c>
      <c r="C96" s="4">
        <v>2</v>
      </c>
      <c r="D96" s="4">
        <v>12</v>
      </c>
      <c r="E96" s="4">
        <v>3</v>
      </c>
      <c r="F96" s="4" t="s">
        <v>20</v>
      </c>
      <c r="G96" s="4">
        <v>6</v>
      </c>
      <c r="H96" s="4">
        <v>193</v>
      </c>
      <c r="I96" s="3">
        <v>4.8</v>
      </c>
      <c r="J96" s="11">
        <v>0.45637838619999999</v>
      </c>
      <c r="K96" s="1">
        <v>5.2563783861999998</v>
      </c>
    </row>
    <row r="97" spans="1:11" ht="16" thickBot="1" x14ac:dyDescent="0.25">
      <c r="A97" s="6">
        <v>2022</v>
      </c>
      <c r="B97" s="7" t="s">
        <v>22</v>
      </c>
      <c r="C97" s="4">
        <v>1</v>
      </c>
      <c r="D97" s="4">
        <v>12</v>
      </c>
      <c r="E97" s="4">
        <v>2</v>
      </c>
      <c r="F97" s="4" t="s">
        <v>20</v>
      </c>
      <c r="G97" s="4">
        <v>12</v>
      </c>
      <c r="H97" s="4">
        <v>194</v>
      </c>
      <c r="I97" s="3">
        <v>4.0999999999999996</v>
      </c>
      <c r="J97" s="11">
        <v>0.44989680339999999</v>
      </c>
      <c r="K97" s="1">
        <v>4.5498968033999994</v>
      </c>
    </row>
    <row r="98" spans="1:11" ht="16" thickBot="1" x14ac:dyDescent="0.25">
      <c r="A98" s="6">
        <v>2022</v>
      </c>
      <c r="B98" s="7" t="s">
        <v>22</v>
      </c>
      <c r="C98" s="4">
        <v>1</v>
      </c>
      <c r="D98" s="4">
        <v>12</v>
      </c>
      <c r="E98" s="4">
        <v>1</v>
      </c>
      <c r="F98" s="4" t="s">
        <v>20</v>
      </c>
      <c r="G98" s="4">
        <v>9</v>
      </c>
      <c r="H98" s="4">
        <v>195</v>
      </c>
      <c r="I98" s="3">
        <v>7</v>
      </c>
      <c r="J98" s="11">
        <v>0.52000371940000001</v>
      </c>
      <c r="K98" s="1">
        <v>7.5200037194</v>
      </c>
    </row>
    <row r="99" spans="1:11" ht="16" thickBot="1" x14ac:dyDescent="0.25">
      <c r="A99" s="6">
        <v>2022</v>
      </c>
      <c r="B99" s="7" t="s">
        <v>22</v>
      </c>
      <c r="C99" s="4">
        <v>1</v>
      </c>
      <c r="D99" s="4">
        <v>13</v>
      </c>
      <c r="E99" s="4">
        <v>1</v>
      </c>
      <c r="F99" s="4" t="s">
        <v>20</v>
      </c>
      <c r="G99" s="4">
        <v>21</v>
      </c>
      <c r="H99" s="4">
        <v>196</v>
      </c>
      <c r="I99" s="3">
        <v>4.5999999999999996</v>
      </c>
      <c r="J99" s="11">
        <v>0.34451596740000001</v>
      </c>
      <c r="K99" s="1">
        <v>4.9445159673999992</v>
      </c>
    </row>
    <row r="100" spans="1:11" ht="16" thickBot="1" x14ac:dyDescent="0.25">
      <c r="A100" s="6">
        <v>2022</v>
      </c>
      <c r="B100" s="7" t="s">
        <v>22</v>
      </c>
      <c r="C100" s="4">
        <v>1</v>
      </c>
      <c r="D100" s="4">
        <v>13</v>
      </c>
      <c r="E100" s="4">
        <v>2</v>
      </c>
      <c r="F100" s="4" t="s">
        <v>20</v>
      </c>
      <c r="G100" s="4">
        <v>11</v>
      </c>
      <c r="H100" s="4">
        <v>197</v>
      </c>
      <c r="I100" s="3">
        <v>6.55</v>
      </c>
      <c r="J100" s="11">
        <v>0.60355881739999995</v>
      </c>
      <c r="K100" s="1">
        <v>7.1535588173999995</v>
      </c>
    </row>
    <row r="101" spans="1:11" ht="16" thickBot="1" x14ac:dyDescent="0.25">
      <c r="A101" s="6">
        <v>2022</v>
      </c>
      <c r="B101" s="7" t="s">
        <v>22</v>
      </c>
      <c r="C101" s="4">
        <v>2</v>
      </c>
      <c r="D101" s="4">
        <v>13</v>
      </c>
      <c r="E101" s="4">
        <v>3</v>
      </c>
      <c r="F101" s="4" t="s">
        <v>20</v>
      </c>
      <c r="G101" s="4">
        <v>2</v>
      </c>
      <c r="H101" s="4">
        <v>198</v>
      </c>
      <c r="I101" s="3">
        <v>4.8499999999999996</v>
      </c>
      <c r="J101" s="11">
        <v>0.53001269419999997</v>
      </c>
      <c r="K101" s="1">
        <v>5.3800126941999995</v>
      </c>
    </row>
    <row r="102" spans="1:11" ht="16" thickBot="1" x14ac:dyDescent="0.25">
      <c r="A102" s="6">
        <v>2022</v>
      </c>
      <c r="B102" s="7" t="s">
        <v>22</v>
      </c>
      <c r="C102" s="4">
        <v>2</v>
      </c>
      <c r="D102" s="4">
        <v>13</v>
      </c>
      <c r="E102" s="4">
        <v>4</v>
      </c>
      <c r="F102" s="4" t="s">
        <v>20</v>
      </c>
      <c r="G102" s="4">
        <v>18</v>
      </c>
      <c r="H102" s="4">
        <v>199</v>
      </c>
      <c r="I102" s="3">
        <v>5.5</v>
      </c>
      <c r="J102" s="11">
        <v>0.36025695419999998</v>
      </c>
      <c r="K102" s="1">
        <v>5.8602569541999996</v>
      </c>
    </row>
    <row r="103" spans="1:11" ht="16" thickBot="1" x14ac:dyDescent="0.25">
      <c r="A103" s="6">
        <v>2022</v>
      </c>
      <c r="B103" s="7" t="s">
        <v>22</v>
      </c>
      <c r="C103" s="4">
        <v>3</v>
      </c>
      <c r="D103" s="4">
        <v>13</v>
      </c>
      <c r="E103" s="4">
        <v>5</v>
      </c>
      <c r="F103" s="4" t="s">
        <v>20</v>
      </c>
      <c r="G103" s="4">
        <v>17</v>
      </c>
      <c r="H103" s="4">
        <v>200</v>
      </c>
      <c r="I103" s="3">
        <v>5.85</v>
      </c>
      <c r="J103" s="11">
        <v>0.46343317019999997</v>
      </c>
      <c r="K103" s="1">
        <v>6.3134331701999997</v>
      </c>
    </row>
    <row r="104" spans="1:11" ht="16" thickBot="1" x14ac:dyDescent="0.25">
      <c r="A104" s="6">
        <v>2022</v>
      </c>
      <c r="B104" s="7" t="s">
        <v>22</v>
      </c>
      <c r="C104" s="4">
        <v>3</v>
      </c>
      <c r="D104" s="4">
        <v>13</v>
      </c>
      <c r="E104" s="4">
        <v>6</v>
      </c>
      <c r="F104" s="4" t="s">
        <v>20</v>
      </c>
      <c r="G104" s="4">
        <v>22</v>
      </c>
      <c r="H104" s="4">
        <v>201</v>
      </c>
      <c r="I104" s="3">
        <v>7.75</v>
      </c>
      <c r="J104" s="11">
        <v>0.64818032619999999</v>
      </c>
      <c r="K104" s="1">
        <v>8.3981803262000003</v>
      </c>
    </row>
    <row r="105" spans="1:11" ht="16" thickBot="1" x14ac:dyDescent="0.25">
      <c r="A105" s="6">
        <v>2022</v>
      </c>
      <c r="B105" s="7" t="s">
        <v>22</v>
      </c>
      <c r="C105" s="4">
        <v>4</v>
      </c>
      <c r="D105" s="4">
        <v>13</v>
      </c>
      <c r="E105" s="4">
        <v>7</v>
      </c>
      <c r="F105" s="4" t="s">
        <v>20</v>
      </c>
      <c r="G105" s="4">
        <v>21</v>
      </c>
      <c r="H105" s="4">
        <v>202</v>
      </c>
      <c r="I105" s="3">
        <v>8.1999999999999993</v>
      </c>
      <c r="J105" s="11">
        <v>0.48819105280000002</v>
      </c>
      <c r="K105" s="1">
        <v>8.6881910527999988</v>
      </c>
    </row>
    <row r="106" spans="1:11" ht="16" thickBot="1" x14ac:dyDescent="0.25">
      <c r="A106" s="6">
        <v>2022</v>
      </c>
      <c r="B106" s="7" t="s">
        <v>22</v>
      </c>
      <c r="C106" s="4">
        <v>4</v>
      </c>
      <c r="D106" s="4">
        <v>13</v>
      </c>
      <c r="E106" s="4">
        <v>8</v>
      </c>
      <c r="F106" s="4" t="s">
        <v>20</v>
      </c>
      <c r="G106" s="4">
        <v>24</v>
      </c>
      <c r="H106" s="4">
        <v>203</v>
      </c>
      <c r="I106" s="3">
        <v>8.4499999999999993</v>
      </c>
      <c r="J106" s="11">
        <v>0.67139497479999988</v>
      </c>
      <c r="K106" s="1">
        <v>9.1213949747999994</v>
      </c>
    </row>
    <row r="107" spans="1:11" ht="16" thickBot="1" x14ac:dyDescent="0.25">
      <c r="A107" s="6">
        <v>2022</v>
      </c>
      <c r="B107" s="7" t="s">
        <v>22</v>
      </c>
      <c r="C107" s="4">
        <v>4</v>
      </c>
      <c r="D107" s="4">
        <v>14</v>
      </c>
      <c r="E107" s="4">
        <v>8</v>
      </c>
      <c r="F107" s="4" t="s">
        <v>21</v>
      </c>
      <c r="G107" s="4">
        <v>50</v>
      </c>
      <c r="H107" s="4">
        <v>204</v>
      </c>
      <c r="I107" s="3">
        <v>5.75</v>
      </c>
      <c r="J107" s="11">
        <v>0.44696465880000003</v>
      </c>
      <c r="K107" s="1">
        <v>6.1969646587999998</v>
      </c>
    </row>
    <row r="108" spans="1:11" ht="16" thickBot="1" x14ac:dyDescent="0.25">
      <c r="A108" s="6">
        <v>2022</v>
      </c>
      <c r="B108" s="7" t="s">
        <v>22</v>
      </c>
      <c r="C108" s="4">
        <v>4</v>
      </c>
      <c r="D108" s="4">
        <v>14</v>
      </c>
      <c r="E108" s="4">
        <v>7</v>
      </c>
      <c r="F108" s="4" t="s">
        <v>21</v>
      </c>
      <c r="G108" s="4">
        <v>50</v>
      </c>
      <c r="H108" s="4">
        <v>205</v>
      </c>
      <c r="I108" s="3">
        <v>5.7</v>
      </c>
      <c r="J108" s="11">
        <v>0.42227291480000007</v>
      </c>
      <c r="K108" s="1">
        <v>6.1222729147999999</v>
      </c>
    </row>
    <row r="109" spans="1:11" ht="16" thickBot="1" x14ac:dyDescent="0.25">
      <c r="A109" s="6">
        <v>2022</v>
      </c>
      <c r="B109" s="7" t="s">
        <v>22</v>
      </c>
      <c r="C109" s="4">
        <v>3</v>
      </c>
      <c r="D109" s="4">
        <v>14</v>
      </c>
      <c r="E109" s="4">
        <v>6</v>
      </c>
      <c r="F109" s="4" t="s">
        <v>21</v>
      </c>
      <c r="G109" s="4">
        <v>50</v>
      </c>
      <c r="H109" s="4">
        <v>206</v>
      </c>
      <c r="I109" s="3">
        <v>6.95</v>
      </c>
      <c r="J109" s="11">
        <v>0.41691568820000002</v>
      </c>
      <c r="K109" s="1">
        <v>7.3669156882000006</v>
      </c>
    </row>
    <row r="110" spans="1:11" ht="16" thickBot="1" x14ac:dyDescent="0.25">
      <c r="A110" s="6">
        <v>2022</v>
      </c>
      <c r="B110" s="7" t="s">
        <v>22</v>
      </c>
      <c r="C110" s="4">
        <v>3</v>
      </c>
      <c r="D110" s="4">
        <v>14</v>
      </c>
      <c r="E110" s="4">
        <v>5</v>
      </c>
      <c r="F110" s="4" t="s">
        <v>21</v>
      </c>
      <c r="G110" s="4">
        <v>50</v>
      </c>
      <c r="H110" s="4">
        <v>207</v>
      </c>
      <c r="I110" s="3">
        <v>5.35</v>
      </c>
      <c r="J110" s="11">
        <v>0.3759097562</v>
      </c>
      <c r="K110" s="1">
        <v>5.7259097562000001</v>
      </c>
    </row>
    <row r="111" spans="1:11" ht="16" thickBot="1" x14ac:dyDescent="0.25">
      <c r="A111" s="6">
        <v>2022</v>
      </c>
      <c r="B111" s="7" t="s">
        <v>22</v>
      </c>
      <c r="C111" s="4">
        <v>2</v>
      </c>
      <c r="D111" s="4">
        <v>14</v>
      </c>
      <c r="E111" s="4">
        <v>4</v>
      </c>
      <c r="F111" s="4" t="s">
        <v>21</v>
      </c>
      <c r="G111" s="4">
        <v>50</v>
      </c>
      <c r="H111" s="4">
        <v>208</v>
      </c>
      <c r="I111" s="3">
        <v>3.9</v>
      </c>
      <c r="J111" s="11">
        <v>0.43036387019999994</v>
      </c>
      <c r="K111" s="1">
        <v>4.3303638702000002</v>
      </c>
    </row>
    <row r="112" spans="1:11" ht="16" thickBot="1" x14ac:dyDescent="0.25">
      <c r="A112" s="6">
        <v>2022</v>
      </c>
      <c r="B112" s="7" t="s">
        <v>22</v>
      </c>
      <c r="C112" s="4">
        <v>2</v>
      </c>
      <c r="D112" s="4">
        <v>14</v>
      </c>
      <c r="E112" s="4">
        <v>3</v>
      </c>
      <c r="F112" s="4" t="s">
        <v>21</v>
      </c>
      <c r="G112" s="4">
        <v>50</v>
      </c>
      <c r="H112" s="4">
        <v>209</v>
      </c>
      <c r="I112" s="3">
        <v>5.15</v>
      </c>
      <c r="J112" s="11">
        <v>0.55779090619999994</v>
      </c>
      <c r="K112" s="1">
        <v>5.7077909062000005</v>
      </c>
    </row>
    <row r="113" spans="1:11" ht="16" thickBot="1" x14ac:dyDescent="0.25">
      <c r="A113" s="6">
        <v>2022</v>
      </c>
      <c r="B113" s="7" t="s">
        <v>22</v>
      </c>
      <c r="C113" s="4">
        <v>1</v>
      </c>
      <c r="D113" s="4">
        <v>14</v>
      </c>
      <c r="E113" s="4">
        <v>2</v>
      </c>
      <c r="F113" s="4" t="s">
        <v>21</v>
      </c>
      <c r="G113" s="4">
        <v>50</v>
      </c>
      <c r="H113" s="4">
        <v>210</v>
      </c>
      <c r="I113" s="3">
        <v>5.85</v>
      </c>
      <c r="J113" s="11">
        <v>0.51493309340000004</v>
      </c>
      <c r="K113" s="1">
        <v>6.3649330933999995</v>
      </c>
    </row>
    <row r="114" spans="1:11" ht="16" thickBot="1" x14ac:dyDescent="0.25">
      <c r="A114" s="6">
        <v>2022</v>
      </c>
      <c r="B114" s="7" t="s">
        <v>22</v>
      </c>
      <c r="C114" s="4">
        <v>1</v>
      </c>
      <c r="D114" s="4">
        <v>14</v>
      </c>
      <c r="E114" s="4">
        <v>1</v>
      </c>
      <c r="F114" s="4" t="s">
        <v>21</v>
      </c>
      <c r="G114" s="4">
        <v>50</v>
      </c>
      <c r="H114" s="4">
        <v>211</v>
      </c>
      <c r="I114" s="3">
        <v>5.95</v>
      </c>
      <c r="J114" s="11">
        <v>0.45959713140000003</v>
      </c>
      <c r="K114" s="1">
        <v>6.4095971314</v>
      </c>
    </row>
    <row r="115" spans="1:11" ht="16" thickBot="1" x14ac:dyDescent="0.25">
      <c r="A115" s="6">
        <v>2022</v>
      </c>
      <c r="B115" s="7" t="s">
        <v>22</v>
      </c>
      <c r="C115" s="4">
        <v>1</v>
      </c>
      <c r="D115" s="4">
        <v>15</v>
      </c>
      <c r="E115" s="4">
        <v>1</v>
      </c>
      <c r="F115" s="4" t="s">
        <v>20</v>
      </c>
      <c r="G115" s="4">
        <v>5</v>
      </c>
      <c r="H115" s="4">
        <v>212</v>
      </c>
      <c r="I115" s="3">
        <v>5.85</v>
      </c>
      <c r="J115" s="11">
        <v>0.3573027634</v>
      </c>
      <c r="K115" s="1">
        <v>6.2073027633999995</v>
      </c>
    </row>
    <row r="116" spans="1:11" ht="16" thickBot="1" x14ac:dyDescent="0.25">
      <c r="A116" s="6">
        <v>2022</v>
      </c>
      <c r="B116" s="7" t="s">
        <v>22</v>
      </c>
      <c r="C116" s="4">
        <v>1</v>
      </c>
      <c r="D116" s="4">
        <v>15</v>
      </c>
      <c r="E116" s="4">
        <v>2</v>
      </c>
      <c r="F116" s="4" t="s">
        <v>20</v>
      </c>
      <c r="G116" s="4">
        <v>13</v>
      </c>
      <c r="H116" s="4">
        <v>213</v>
      </c>
      <c r="I116" s="3">
        <v>3.95</v>
      </c>
      <c r="J116" s="11">
        <v>0.5396248374</v>
      </c>
      <c r="K116" s="1">
        <v>4.4896248374000001</v>
      </c>
    </row>
    <row r="117" spans="1:11" ht="16" thickBot="1" x14ac:dyDescent="0.25">
      <c r="A117" s="6">
        <v>2022</v>
      </c>
      <c r="B117" s="7" t="s">
        <v>22</v>
      </c>
      <c r="C117" s="4">
        <v>2</v>
      </c>
      <c r="D117" s="4">
        <v>15</v>
      </c>
      <c r="E117" s="4">
        <v>3</v>
      </c>
      <c r="F117" s="4" t="s">
        <v>20</v>
      </c>
      <c r="G117" s="4">
        <v>7</v>
      </c>
      <c r="H117" s="4">
        <v>214</v>
      </c>
      <c r="I117" s="3">
        <v>5.9</v>
      </c>
      <c r="J117" s="11">
        <v>0.50950972819999996</v>
      </c>
      <c r="K117" s="1">
        <v>6.4095097282000006</v>
      </c>
    </row>
    <row r="118" spans="1:11" ht="16" thickBot="1" x14ac:dyDescent="0.25">
      <c r="A118" s="6">
        <v>2022</v>
      </c>
      <c r="B118" s="7" t="s">
        <v>22</v>
      </c>
      <c r="C118" s="4">
        <v>2</v>
      </c>
      <c r="D118" s="4">
        <v>15</v>
      </c>
      <c r="E118" s="4">
        <v>4</v>
      </c>
      <c r="F118" s="4" t="s">
        <v>20</v>
      </c>
      <c r="G118" s="4">
        <v>21</v>
      </c>
      <c r="H118" s="4">
        <v>215</v>
      </c>
      <c r="I118" s="3">
        <v>6.05</v>
      </c>
      <c r="J118" s="11">
        <v>0.49804570419999999</v>
      </c>
      <c r="K118" s="1">
        <v>6.5480457041999998</v>
      </c>
    </row>
    <row r="119" spans="1:11" ht="16" thickBot="1" x14ac:dyDescent="0.25">
      <c r="A119" s="6">
        <v>2022</v>
      </c>
      <c r="B119" s="7" t="s">
        <v>22</v>
      </c>
      <c r="C119" s="4">
        <v>3</v>
      </c>
      <c r="D119" s="4">
        <v>15</v>
      </c>
      <c r="E119" s="4">
        <v>5</v>
      </c>
      <c r="F119" s="4" t="s">
        <v>20</v>
      </c>
      <c r="G119" s="4">
        <v>4</v>
      </c>
      <c r="H119" s="4">
        <v>216</v>
      </c>
      <c r="I119" s="3">
        <v>5.75</v>
      </c>
      <c r="J119" s="11">
        <v>0.3770120662</v>
      </c>
      <c r="K119" s="1">
        <v>6.1270120661999998</v>
      </c>
    </row>
    <row r="120" spans="1:11" ht="16" thickBot="1" x14ac:dyDescent="0.25">
      <c r="A120" s="6">
        <v>2022</v>
      </c>
      <c r="B120" s="7" t="s">
        <v>22</v>
      </c>
      <c r="C120" s="4">
        <v>3</v>
      </c>
      <c r="D120" s="4">
        <v>15</v>
      </c>
      <c r="E120" s="4">
        <v>6</v>
      </c>
      <c r="F120" s="4" t="s">
        <v>20</v>
      </c>
      <c r="G120" s="4">
        <v>19</v>
      </c>
      <c r="H120" s="4">
        <v>217</v>
      </c>
      <c r="I120" s="3">
        <v>7.4</v>
      </c>
      <c r="J120" s="11">
        <v>0.48217244019999994</v>
      </c>
      <c r="K120" s="1">
        <v>7.8821724402000006</v>
      </c>
    </row>
    <row r="121" spans="1:11" ht="16" thickBot="1" x14ac:dyDescent="0.25">
      <c r="A121" s="6">
        <v>2022</v>
      </c>
      <c r="B121" s="7" t="s">
        <v>22</v>
      </c>
      <c r="C121" s="4">
        <v>4</v>
      </c>
      <c r="D121" s="4">
        <v>15</v>
      </c>
      <c r="E121" s="4">
        <v>7</v>
      </c>
      <c r="F121" s="4" t="s">
        <v>20</v>
      </c>
      <c r="G121" s="4">
        <v>9</v>
      </c>
      <c r="H121" s="4">
        <v>218</v>
      </c>
      <c r="I121" s="3">
        <v>6.75</v>
      </c>
      <c r="J121" s="11">
        <v>0.42205245279999998</v>
      </c>
      <c r="K121" s="1">
        <v>7.1720524528</v>
      </c>
    </row>
    <row r="122" spans="1:11" ht="16" thickBot="1" x14ac:dyDescent="0.25">
      <c r="A122" s="6">
        <v>2022</v>
      </c>
      <c r="B122" s="7" t="s">
        <v>22</v>
      </c>
      <c r="C122" s="4">
        <v>4</v>
      </c>
      <c r="D122" s="4">
        <v>15</v>
      </c>
      <c r="E122" s="4">
        <v>8</v>
      </c>
      <c r="F122" s="4" t="s">
        <v>20</v>
      </c>
      <c r="G122" s="4">
        <v>17</v>
      </c>
      <c r="H122" s="4">
        <v>219</v>
      </c>
      <c r="I122" s="3">
        <v>7.95</v>
      </c>
      <c r="J122" s="11">
        <v>0.5307402188</v>
      </c>
      <c r="K122" s="1">
        <v>8.4807402187999994</v>
      </c>
    </row>
    <row r="123" spans="1:11" ht="16" thickBot="1" x14ac:dyDescent="0.25">
      <c r="A123" s="6">
        <v>2022</v>
      </c>
      <c r="B123" s="7" t="s">
        <v>22</v>
      </c>
      <c r="C123" s="4">
        <v>4</v>
      </c>
      <c r="D123" s="4">
        <v>16</v>
      </c>
      <c r="E123" s="4">
        <v>8</v>
      </c>
      <c r="F123" s="4" t="s">
        <v>20</v>
      </c>
      <c r="G123" s="4">
        <v>13</v>
      </c>
      <c r="H123" s="4">
        <v>220</v>
      </c>
      <c r="I123" s="3">
        <v>4.75</v>
      </c>
      <c r="J123" s="11">
        <v>0.36825972480000002</v>
      </c>
      <c r="K123" s="1">
        <v>5.1182597247999997</v>
      </c>
    </row>
    <row r="124" spans="1:11" ht="16" thickBot="1" x14ac:dyDescent="0.25">
      <c r="A124" s="6">
        <v>2022</v>
      </c>
      <c r="B124" s="7" t="s">
        <v>22</v>
      </c>
      <c r="C124" s="4">
        <v>4</v>
      </c>
      <c r="D124" s="4">
        <v>16</v>
      </c>
      <c r="E124" s="4">
        <v>7</v>
      </c>
      <c r="F124" s="4" t="s">
        <v>20</v>
      </c>
      <c r="G124" s="4">
        <v>4</v>
      </c>
      <c r="H124" s="4">
        <v>221</v>
      </c>
      <c r="I124" s="3">
        <v>6.7</v>
      </c>
      <c r="J124" s="11">
        <v>0.37310988880000001</v>
      </c>
      <c r="K124" s="1">
        <v>7.0731098888000004</v>
      </c>
    </row>
    <row r="125" spans="1:11" ht="16" thickBot="1" x14ac:dyDescent="0.25">
      <c r="A125" s="6">
        <v>2022</v>
      </c>
      <c r="B125" s="7" t="s">
        <v>22</v>
      </c>
      <c r="C125" s="4">
        <v>3</v>
      </c>
      <c r="D125" s="4">
        <v>16</v>
      </c>
      <c r="E125" s="4">
        <v>6</v>
      </c>
      <c r="F125" s="4" t="s">
        <v>20</v>
      </c>
      <c r="G125" s="4">
        <v>11</v>
      </c>
      <c r="H125" s="4">
        <v>222</v>
      </c>
      <c r="I125" s="3">
        <v>5.9</v>
      </c>
      <c r="J125" s="11">
        <v>0.47225165019999998</v>
      </c>
      <c r="K125" s="1">
        <v>6.3722516502</v>
      </c>
    </row>
    <row r="126" spans="1:11" ht="16" thickBot="1" x14ac:dyDescent="0.25">
      <c r="A126" s="6">
        <v>2022</v>
      </c>
      <c r="B126" s="7" t="s">
        <v>22</v>
      </c>
      <c r="C126" s="4">
        <v>3</v>
      </c>
      <c r="D126" s="4">
        <v>16</v>
      </c>
      <c r="E126" s="4">
        <v>5</v>
      </c>
      <c r="F126" s="4" t="s">
        <v>20</v>
      </c>
      <c r="G126" s="4">
        <v>14</v>
      </c>
      <c r="H126" s="4">
        <v>223</v>
      </c>
      <c r="I126" s="3">
        <v>6.45</v>
      </c>
      <c r="J126" s="11">
        <v>0.40302658219999998</v>
      </c>
      <c r="K126" s="1">
        <v>6.8530265822</v>
      </c>
    </row>
    <row r="127" spans="1:11" ht="16" thickBot="1" x14ac:dyDescent="0.25">
      <c r="A127" s="6">
        <v>2022</v>
      </c>
      <c r="B127" s="7" t="s">
        <v>22</v>
      </c>
      <c r="C127" s="4">
        <v>2</v>
      </c>
      <c r="D127" s="4">
        <v>16</v>
      </c>
      <c r="E127" s="4">
        <v>4</v>
      </c>
      <c r="F127" s="4" t="s">
        <v>20</v>
      </c>
      <c r="G127" s="4">
        <v>8</v>
      </c>
      <c r="H127" s="4">
        <v>224</v>
      </c>
      <c r="I127" s="3">
        <v>5.85</v>
      </c>
      <c r="J127" s="11">
        <v>0.59262390220000005</v>
      </c>
      <c r="K127" s="1">
        <v>6.4426239021999994</v>
      </c>
    </row>
    <row r="128" spans="1:11" ht="16" thickBot="1" x14ac:dyDescent="0.25">
      <c r="A128" s="6">
        <v>2022</v>
      </c>
      <c r="B128" s="7" t="s">
        <v>22</v>
      </c>
      <c r="C128" s="4">
        <v>2</v>
      </c>
      <c r="D128" s="4">
        <v>16</v>
      </c>
      <c r="E128" s="4">
        <v>3</v>
      </c>
      <c r="F128" s="4" t="s">
        <v>20</v>
      </c>
      <c r="G128" s="4">
        <v>5</v>
      </c>
      <c r="H128" s="4">
        <v>225</v>
      </c>
      <c r="I128" s="3">
        <v>6</v>
      </c>
      <c r="J128" s="11">
        <v>0.5513975082</v>
      </c>
      <c r="K128" s="1">
        <v>6.5513975082</v>
      </c>
    </row>
    <row r="129" spans="1:11" ht="16" thickBot="1" x14ac:dyDescent="0.25">
      <c r="A129" s="6">
        <v>2022</v>
      </c>
      <c r="B129" s="7" t="s">
        <v>22</v>
      </c>
      <c r="C129" s="4">
        <v>1</v>
      </c>
      <c r="D129" s="4">
        <v>16</v>
      </c>
      <c r="E129" s="4">
        <v>2</v>
      </c>
      <c r="F129" s="4" t="s">
        <v>20</v>
      </c>
      <c r="G129" s="4">
        <v>6</v>
      </c>
      <c r="H129" s="4">
        <v>226</v>
      </c>
      <c r="I129" s="3">
        <v>6</v>
      </c>
      <c r="J129" s="11">
        <v>0.68535021939999996</v>
      </c>
      <c r="K129" s="1">
        <v>6.6853502194000001</v>
      </c>
    </row>
    <row r="130" spans="1:11" ht="16" thickBot="1" x14ac:dyDescent="0.25">
      <c r="A130" s="6">
        <v>2022</v>
      </c>
      <c r="B130" s="7" t="s">
        <v>22</v>
      </c>
      <c r="C130" s="4">
        <v>1</v>
      </c>
      <c r="D130" s="4">
        <v>16</v>
      </c>
      <c r="E130" s="4">
        <v>1</v>
      </c>
      <c r="F130" s="4" t="s">
        <v>20</v>
      </c>
      <c r="G130" s="4">
        <v>22</v>
      </c>
      <c r="H130" s="4">
        <v>227</v>
      </c>
      <c r="I130" s="3">
        <v>7.25</v>
      </c>
      <c r="J130" s="11">
        <v>0.43093707139999998</v>
      </c>
      <c r="K130" s="1">
        <v>7.6809370713999998</v>
      </c>
    </row>
    <row r="131" spans="1:11" ht="16" thickBot="1" x14ac:dyDescent="0.25">
      <c r="A131" s="6">
        <v>2022</v>
      </c>
      <c r="B131" s="7" t="s">
        <v>22</v>
      </c>
      <c r="C131" s="4">
        <v>1</v>
      </c>
      <c r="D131" s="4">
        <v>17</v>
      </c>
      <c r="E131" s="4">
        <v>1</v>
      </c>
      <c r="F131" s="4" t="s">
        <v>21</v>
      </c>
      <c r="G131" s="4">
        <v>50</v>
      </c>
      <c r="H131" s="4">
        <v>228</v>
      </c>
      <c r="I131" s="3">
        <v>6.45</v>
      </c>
      <c r="J131" s="11">
        <v>0.52132649139999998</v>
      </c>
      <c r="K131" s="1">
        <v>6.9713264914000002</v>
      </c>
    </row>
    <row r="132" spans="1:11" ht="16" thickBot="1" x14ac:dyDescent="0.25">
      <c r="A132" s="6">
        <v>2022</v>
      </c>
      <c r="B132" s="7" t="s">
        <v>22</v>
      </c>
      <c r="C132" s="4">
        <v>1</v>
      </c>
      <c r="D132" s="4">
        <v>17</v>
      </c>
      <c r="E132" s="4">
        <v>2</v>
      </c>
      <c r="F132" s="4" t="s">
        <v>21</v>
      </c>
      <c r="G132" s="4">
        <v>50</v>
      </c>
      <c r="H132" s="4">
        <v>229</v>
      </c>
      <c r="I132" s="3">
        <v>7.1</v>
      </c>
      <c r="J132" s="11">
        <v>0.61303868340000012</v>
      </c>
      <c r="K132" s="1">
        <v>7.7130386833999998</v>
      </c>
    </row>
    <row r="133" spans="1:11" ht="16" thickBot="1" x14ac:dyDescent="0.25">
      <c r="A133" s="6">
        <v>2022</v>
      </c>
      <c r="B133" s="7" t="s">
        <v>22</v>
      </c>
      <c r="C133" s="4">
        <v>2</v>
      </c>
      <c r="D133" s="4">
        <v>17</v>
      </c>
      <c r="E133" s="4">
        <v>3</v>
      </c>
      <c r="F133" s="4" t="s">
        <v>21</v>
      </c>
      <c r="G133" s="4">
        <v>50</v>
      </c>
      <c r="H133" s="4">
        <v>230</v>
      </c>
      <c r="I133" s="3">
        <v>6.6</v>
      </c>
      <c r="J133" s="11">
        <v>0.65192818019999998</v>
      </c>
      <c r="K133" s="1">
        <v>7.2519281801999993</v>
      </c>
    </row>
    <row r="134" spans="1:11" ht="16" thickBot="1" x14ac:dyDescent="0.25">
      <c r="A134" s="6">
        <v>2022</v>
      </c>
      <c r="B134" s="7" t="s">
        <v>22</v>
      </c>
      <c r="C134" s="4">
        <v>2</v>
      </c>
      <c r="D134" s="4">
        <v>17</v>
      </c>
      <c r="E134" s="4">
        <v>4</v>
      </c>
      <c r="F134" s="4" t="s">
        <v>21</v>
      </c>
      <c r="G134" s="4">
        <v>50</v>
      </c>
      <c r="H134" s="4">
        <v>231</v>
      </c>
      <c r="I134" s="3">
        <v>6.25</v>
      </c>
      <c r="J134" s="11">
        <v>0.61621333619999996</v>
      </c>
      <c r="K134" s="1">
        <v>6.8662133361999995</v>
      </c>
    </row>
    <row r="135" spans="1:11" ht="16" thickBot="1" x14ac:dyDescent="0.25">
      <c r="A135" s="6">
        <v>2022</v>
      </c>
      <c r="B135" s="7" t="s">
        <v>22</v>
      </c>
      <c r="C135" s="4">
        <v>3</v>
      </c>
      <c r="D135" s="4">
        <v>17</v>
      </c>
      <c r="E135" s="4">
        <v>5</v>
      </c>
      <c r="F135" s="4" t="s">
        <v>21</v>
      </c>
      <c r="G135" s="4">
        <v>50</v>
      </c>
      <c r="H135" s="4">
        <v>232</v>
      </c>
      <c r="I135" s="3">
        <v>7.6</v>
      </c>
      <c r="J135" s="11">
        <v>0.43256849019999993</v>
      </c>
      <c r="K135" s="1">
        <v>8.0325684901999992</v>
      </c>
    </row>
    <row r="136" spans="1:11" ht="16" thickBot="1" x14ac:dyDescent="0.25">
      <c r="A136" s="6">
        <v>2022</v>
      </c>
      <c r="B136" s="7" t="s">
        <v>22</v>
      </c>
      <c r="C136" s="4">
        <v>3</v>
      </c>
      <c r="D136" s="4">
        <v>17</v>
      </c>
      <c r="E136" s="4">
        <v>6</v>
      </c>
      <c r="F136" s="4" t="s">
        <v>21</v>
      </c>
      <c r="G136" s="4">
        <v>50</v>
      </c>
      <c r="H136" s="4">
        <v>233</v>
      </c>
      <c r="I136" s="3">
        <v>8.1</v>
      </c>
      <c r="J136" s="11">
        <v>0.49628200820000001</v>
      </c>
      <c r="K136" s="1">
        <v>8.5962820081999993</v>
      </c>
    </row>
    <row r="137" spans="1:11" ht="16" thickBot="1" x14ac:dyDescent="0.25">
      <c r="A137" s="6">
        <v>2022</v>
      </c>
      <c r="B137" s="7" t="s">
        <v>22</v>
      </c>
      <c r="C137" s="4">
        <v>4</v>
      </c>
      <c r="D137" s="4">
        <v>17</v>
      </c>
      <c r="E137" s="4">
        <v>7</v>
      </c>
      <c r="F137" s="4" t="s">
        <v>21</v>
      </c>
      <c r="G137" s="4">
        <v>50</v>
      </c>
      <c r="H137" s="4">
        <v>234</v>
      </c>
      <c r="I137" s="3">
        <v>6.15</v>
      </c>
      <c r="J137" s="11">
        <v>0.41433628280000001</v>
      </c>
      <c r="K137" s="1">
        <v>6.5643362828000003</v>
      </c>
    </row>
    <row r="138" spans="1:11" ht="16" thickBot="1" x14ac:dyDescent="0.25">
      <c r="A138" s="6">
        <v>2022</v>
      </c>
      <c r="B138" s="7" t="s">
        <v>22</v>
      </c>
      <c r="C138" s="4">
        <v>4</v>
      </c>
      <c r="D138" s="4">
        <v>17</v>
      </c>
      <c r="E138" s="4">
        <v>8</v>
      </c>
      <c r="F138" s="4" t="s">
        <v>21</v>
      </c>
      <c r="G138" s="4">
        <v>50</v>
      </c>
      <c r="H138" s="4">
        <v>235</v>
      </c>
      <c r="I138" s="3">
        <v>5.75</v>
      </c>
      <c r="J138" s="11">
        <v>0.41257258679999997</v>
      </c>
      <c r="K138" s="1">
        <v>6.1625725867999996</v>
      </c>
    </row>
    <row r="139" spans="1:11" ht="16" thickBot="1" x14ac:dyDescent="0.25">
      <c r="A139" s="6">
        <v>2022</v>
      </c>
      <c r="B139" s="7" t="s">
        <v>22</v>
      </c>
      <c r="C139" s="4">
        <v>4</v>
      </c>
      <c r="D139" s="4">
        <v>18</v>
      </c>
      <c r="E139" s="4">
        <v>8</v>
      </c>
      <c r="F139" s="4" t="s">
        <v>20</v>
      </c>
      <c r="G139" s="4">
        <v>20</v>
      </c>
      <c r="H139" s="4">
        <v>236</v>
      </c>
      <c r="I139" s="3">
        <v>7.8</v>
      </c>
      <c r="J139" s="11">
        <v>0.49568676079999996</v>
      </c>
      <c r="K139" s="1">
        <v>8.2956867607999989</v>
      </c>
    </row>
    <row r="140" spans="1:11" ht="16" thickBot="1" x14ac:dyDescent="0.25">
      <c r="A140" s="6">
        <v>2022</v>
      </c>
      <c r="B140" s="7" t="s">
        <v>22</v>
      </c>
      <c r="C140" s="4">
        <v>4</v>
      </c>
      <c r="D140" s="4">
        <v>18</v>
      </c>
      <c r="E140" s="4">
        <v>7</v>
      </c>
      <c r="F140" s="4" t="s">
        <v>20</v>
      </c>
      <c r="G140" s="4">
        <v>5</v>
      </c>
      <c r="H140" s="4">
        <v>237</v>
      </c>
      <c r="I140" s="3">
        <v>7.5</v>
      </c>
      <c r="J140" s="11">
        <v>0.58585571879999998</v>
      </c>
      <c r="K140" s="1">
        <v>8.0858557187999995</v>
      </c>
    </row>
    <row r="141" spans="1:11" ht="16" thickBot="1" x14ac:dyDescent="0.25">
      <c r="A141" s="6">
        <v>2022</v>
      </c>
      <c r="B141" s="7" t="s">
        <v>22</v>
      </c>
      <c r="C141" s="4">
        <v>3</v>
      </c>
      <c r="D141" s="4">
        <v>18</v>
      </c>
      <c r="E141" s="4">
        <v>6</v>
      </c>
      <c r="F141" s="4" t="s">
        <v>20</v>
      </c>
      <c r="G141" s="4">
        <v>16</v>
      </c>
      <c r="H141" s="4">
        <v>238</v>
      </c>
      <c r="I141" s="3">
        <v>8.3000000000000007</v>
      </c>
      <c r="J141" s="11">
        <v>0.48129059220000003</v>
      </c>
      <c r="K141" s="1">
        <v>8.7812905922000013</v>
      </c>
    </row>
    <row r="142" spans="1:11" ht="16" thickBot="1" x14ac:dyDescent="0.25">
      <c r="A142" s="6">
        <v>2022</v>
      </c>
      <c r="B142" s="7" t="s">
        <v>22</v>
      </c>
      <c r="C142" s="4">
        <v>3</v>
      </c>
      <c r="D142" s="4">
        <v>18</v>
      </c>
      <c r="E142" s="4">
        <v>5</v>
      </c>
      <c r="F142" s="4" t="s">
        <v>20</v>
      </c>
      <c r="G142" s="4">
        <v>21</v>
      </c>
      <c r="H142" s="4">
        <v>239</v>
      </c>
      <c r="I142" s="3">
        <v>11.05</v>
      </c>
      <c r="J142" s="11">
        <v>0.5756483282</v>
      </c>
      <c r="K142" s="1">
        <v>11.6256483282</v>
      </c>
    </row>
    <row r="143" spans="1:11" ht="16" thickBot="1" x14ac:dyDescent="0.25">
      <c r="A143" s="6">
        <v>2022</v>
      </c>
      <c r="B143" s="7" t="s">
        <v>22</v>
      </c>
      <c r="C143" s="4">
        <v>2</v>
      </c>
      <c r="D143" s="4">
        <v>18</v>
      </c>
      <c r="E143" s="4">
        <v>4</v>
      </c>
      <c r="F143" s="4" t="s">
        <v>20</v>
      </c>
      <c r="G143" s="4">
        <v>9</v>
      </c>
      <c r="H143" s="4">
        <v>240</v>
      </c>
      <c r="I143" s="3">
        <v>8.1999999999999993</v>
      </c>
      <c r="J143" s="11">
        <v>0.65038494619999998</v>
      </c>
      <c r="K143" s="1">
        <v>8.8503849461999984</v>
      </c>
    </row>
    <row r="144" spans="1:11" ht="16" thickBot="1" x14ac:dyDescent="0.25">
      <c r="A144" s="6">
        <v>2022</v>
      </c>
      <c r="B144" s="7" t="s">
        <v>22</v>
      </c>
      <c r="C144" s="4">
        <v>2</v>
      </c>
      <c r="D144" s="4">
        <v>18</v>
      </c>
      <c r="E144" s="4">
        <v>3</v>
      </c>
      <c r="F144" s="4" t="s">
        <v>20</v>
      </c>
      <c r="G144" s="4">
        <v>12</v>
      </c>
      <c r="H144" s="4">
        <v>241</v>
      </c>
      <c r="I144" s="3">
        <v>5.6</v>
      </c>
      <c r="J144" s="11">
        <v>0.57829387220000006</v>
      </c>
      <c r="K144" s="1">
        <v>6.1782938721999994</v>
      </c>
    </row>
    <row r="145" spans="1:11" ht="16" thickBot="1" x14ac:dyDescent="0.25">
      <c r="A145" s="6">
        <v>2022</v>
      </c>
      <c r="B145" s="7" t="s">
        <v>22</v>
      </c>
      <c r="C145" s="4">
        <v>1</v>
      </c>
      <c r="D145" s="4">
        <v>18</v>
      </c>
      <c r="E145" s="4">
        <v>2</v>
      </c>
      <c r="F145" s="4" t="s">
        <v>20</v>
      </c>
      <c r="G145" s="4">
        <v>19</v>
      </c>
      <c r="H145" s="4">
        <v>242</v>
      </c>
      <c r="I145" s="3">
        <v>8.6</v>
      </c>
      <c r="J145" s="11">
        <v>0.68601160539999995</v>
      </c>
      <c r="K145" s="1">
        <v>9.2860116053999988</v>
      </c>
    </row>
    <row r="146" spans="1:11" x14ac:dyDescent="0.2">
      <c r="A146" s="6">
        <v>2022</v>
      </c>
      <c r="B146" s="7" t="s">
        <v>22</v>
      </c>
      <c r="C146" s="4">
        <v>1</v>
      </c>
      <c r="D146" s="4">
        <v>18</v>
      </c>
      <c r="E146" s="4">
        <v>1</v>
      </c>
      <c r="F146" s="4" t="s">
        <v>20</v>
      </c>
      <c r="G146" s="4">
        <v>4</v>
      </c>
      <c r="H146" s="4">
        <v>243</v>
      </c>
      <c r="I146" s="3">
        <v>7.7</v>
      </c>
      <c r="J146" s="11">
        <v>0.48186379339999996</v>
      </c>
      <c r="K146" s="1">
        <v>8.1818637933999998</v>
      </c>
    </row>
  </sheetData>
  <sortState xmlns:xlrd2="http://schemas.microsoft.com/office/spreadsheetml/2017/richdata2" ref="A3:K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9.5" bestFit="1" customWidth="1"/>
  </cols>
  <sheetData>
    <row r="1" spans="1:7" x14ac:dyDescent="0.2">
      <c r="A1" t="s">
        <v>14</v>
      </c>
      <c r="B1" t="s">
        <v>16</v>
      </c>
    </row>
    <row r="2" spans="1:7" x14ac:dyDescent="0.2">
      <c r="A2" s="2" t="s">
        <v>23</v>
      </c>
      <c r="B2" t="s">
        <v>7</v>
      </c>
      <c r="C2" t="s">
        <v>8</v>
      </c>
      <c r="D2" t="s">
        <v>9</v>
      </c>
    </row>
    <row r="3" spans="1:7" x14ac:dyDescent="0.2">
      <c r="A3">
        <v>1</v>
      </c>
      <c r="B3" s="1"/>
      <c r="C3" s="1"/>
      <c r="D3" t="e">
        <f t="shared" ref="D3:D12" si="0">(C3-$B$21)/(B3-$B$21)</f>
        <v>#DIV/0!</v>
      </c>
      <c r="E3" t="s">
        <v>24</v>
      </c>
    </row>
    <row r="4" spans="1:7" x14ac:dyDescent="0.2">
      <c r="A4">
        <v>2</v>
      </c>
      <c r="B4" s="1"/>
      <c r="C4" s="1"/>
      <c r="D4" t="e">
        <f t="shared" si="0"/>
        <v>#DIV/0!</v>
      </c>
      <c r="F4" s="12" t="s">
        <v>28</v>
      </c>
      <c r="G4" s="12">
        <v>0.248983919</v>
      </c>
    </row>
    <row r="5" spans="1:7" x14ac:dyDescent="0.2">
      <c r="A5">
        <v>3</v>
      </c>
      <c r="B5" s="1"/>
      <c r="C5" s="1"/>
      <c r="D5" t="e">
        <f t="shared" si="0"/>
        <v>#DIV/0!</v>
      </c>
    </row>
    <row r="6" spans="1:7" x14ac:dyDescent="0.2">
      <c r="A6">
        <v>4</v>
      </c>
      <c r="B6" s="1"/>
      <c r="C6" s="1"/>
      <c r="D6" t="e">
        <f t="shared" si="0"/>
        <v>#DIV/0!</v>
      </c>
    </row>
    <row r="7" spans="1:7" x14ac:dyDescent="0.2">
      <c r="A7">
        <v>5</v>
      </c>
      <c r="B7" s="1"/>
      <c r="C7" s="1"/>
      <c r="D7" t="e">
        <f t="shared" si="0"/>
        <v>#DIV/0!</v>
      </c>
    </row>
    <row r="8" spans="1:7" x14ac:dyDescent="0.2">
      <c r="A8">
        <v>6</v>
      </c>
      <c r="B8" s="1"/>
      <c r="C8" s="1"/>
      <c r="D8" t="e">
        <f t="shared" si="0"/>
        <v>#DIV/0!</v>
      </c>
    </row>
    <row r="9" spans="1:7" x14ac:dyDescent="0.2">
      <c r="A9">
        <v>7</v>
      </c>
      <c r="B9" s="1"/>
      <c r="C9" s="1"/>
      <c r="D9" t="e">
        <f t="shared" si="0"/>
        <v>#DIV/0!</v>
      </c>
    </row>
    <row r="10" spans="1:7" x14ac:dyDescent="0.2">
      <c r="A10">
        <v>8</v>
      </c>
      <c r="B10" s="1"/>
      <c r="C10" s="1"/>
      <c r="D10" t="e">
        <f t="shared" si="0"/>
        <v>#DIV/0!</v>
      </c>
    </row>
    <row r="11" spans="1:7" x14ac:dyDescent="0.2">
      <c r="A11">
        <v>9</v>
      </c>
      <c r="B11" s="1"/>
      <c r="C11" s="1"/>
      <c r="D11" t="e">
        <f t="shared" si="0"/>
        <v>#DIV/0!</v>
      </c>
    </row>
    <row r="12" spans="1:7" x14ac:dyDescent="0.2">
      <c r="A12">
        <v>10</v>
      </c>
      <c r="B12" s="1"/>
      <c r="C12" s="1"/>
      <c r="D12" t="e">
        <f t="shared" si="0"/>
        <v>#DIV/0!</v>
      </c>
    </row>
    <row r="13" spans="1:7" x14ac:dyDescent="0.2">
      <c r="D13" t="e">
        <f>AVERAGE(D3:D12)</f>
        <v>#DIV/0!</v>
      </c>
      <c r="E13" t="s">
        <v>10</v>
      </c>
    </row>
    <row r="15" spans="1:7" x14ac:dyDescent="0.2">
      <c r="B15" t="s">
        <v>11</v>
      </c>
    </row>
    <row r="16" spans="1:7" x14ac:dyDescent="0.2">
      <c r="A16">
        <v>1</v>
      </c>
      <c r="B16" s="1"/>
    </row>
    <row r="17" spans="1:3" x14ac:dyDescent="0.2">
      <c r="A17">
        <v>2</v>
      </c>
      <c r="B17" s="1"/>
    </row>
    <row r="18" spans="1:3" x14ac:dyDescent="0.2">
      <c r="A18">
        <v>3</v>
      </c>
      <c r="B18" s="1"/>
    </row>
    <row r="19" spans="1:3" x14ac:dyDescent="0.2">
      <c r="A19">
        <v>4</v>
      </c>
      <c r="B19" s="1"/>
    </row>
    <row r="20" spans="1:3" x14ac:dyDescent="0.2">
      <c r="B20" s="1" t="s">
        <v>12</v>
      </c>
    </row>
    <row r="21" spans="1:3" x14ac:dyDescent="0.2">
      <c r="B21" s="1" t="e">
        <f>AVERAGE(B16:B19)</f>
        <v>#DIV/0!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Commentator</cp:lastModifiedBy>
  <dcterms:created xsi:type="dcterms:W3CDTF">2015-07-16T21:38:33Z</dcterms:created>
  <dcterms:modified xsi:type="dcterms:W3CDTF">2025-06-12T18:38:02Z</dcterms:modified>
</cp:coreProperties>
</file>