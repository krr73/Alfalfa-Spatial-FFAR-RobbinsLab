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h17\Dropbox\2022 Yield Trials\2022 yield data\"/>
    </mc:Choice>
  </mc:AlternateContent>
  <xr:revisionPtr revIDLastSave="0" documentId="13_ncr:1_{FD9721E5-0BFE-4985-997F-BC7F659149AF}" xr6:coauthVersionLast="47" xr6:coauthVersionMax="47" xr10:uidLastSave="{00000000-0000-0000-0000-000000000000}"/>
  <bookViews>
    <workbookView xWindow="3510" yWindow="3510" windowWidth="21600" windowHeight="12735" activeTab="7" xr2:uid="{EAA1EB02-84C4-4227-B8BC-01DC6B2AA7A1}"/>
  </bookViews>
  <sheets>
    <sheet name="start" sheetId="1" r:id="rId1"/>
    <sheet name="calc1" sheetId="3" r:id="rId2"/>
    <sheet name="aurora fix" sheetId="5" r:id="rId3"/>
    <sheet name="ithaca fix" sheetId="6" r:id="rId4"/>
    <sheet name="calc2" sheetId="4" r:id="rId5"/>
    <sheet name="Sheet7" sheetId="7" r:id="rId6"/>
    <sheet name="dm values" sheetId="2" r:id="rId7"/>
    <sheet name="fina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6" i="6" l="1"/>
  <c r="U96" i="6"/>
  <c r="L96" i="6"/>
  <c r="U152" i="6"/>
  <c r="L152" i="6"/>
  <c r="U180" i="6"/>
  <c r="L180" i="6"/>
  <c r="AD60" i="6"/>
  <c r="U60" i="6"/>
  <c r="L60" i="6"/>
  <c r="U176" i="6"/>
  <c r="L176" i="6"/>
  <c r="U188" i="6"/>
  <c r="L188" i="6"/>
  <c r="U144" i="6"/>
  <c r="L144" i="6"/>
  <c r="U126" i="6"/>
  <c r="L126" i="6"/>
  <c r="U26" i="6"/>
  <c r="L26" i="6"/>
  <c r="U132" i="6"/>
  <c r="L132" i="6"/>
  <c r="U122" i="6"/>
  <c r="L122" i="6"/>
  <c r="U148" i="6"/>
  <c r="L148" i="6"/>
  <c r="U136" i="6"/>
  <c r="L136" i="6"/>
  <c r="U4" i="6"/>
  <c r="L4" i="6"/>
  <c r="U140" i="6"/>
  <c r="L140" i="6"/>
  <c r="U172" i="6"/>
  <c r="L172" i="6"/>
  <c r="U164" i="6"/>
  <c r="L164" i="6"/>
  <c r="U192" i="6"/>
  <c r="L192" i="6"/>
  <c r="U160" i="6"/>
  <c r="L160" i="6"/>
  <c r="U106" i="6"/>
  <c r="L106" i="6"/>
  <c r="U156" i="6"/>
  <c r="L156" i="6"/>
  <c r="U184" i="6"/>
  <c r="L184" i="6"/>
  <c r="U12" i="6"/>
  <c r="L12" i="6"/>
  <c r="U118" i="6"/>
  <c r="L118" i="6"/>
  <c r="U114" i="6"/>
  <c r="L114" i="6"/>
  <c r="AD84" i="6"/>
  <c r="U84" i="6"/>
  <c r="L84" i="6"/>
  <c r="U168" i="6"/>
  <c r="L168" i="6"/>
  <c r="U102" i="6"/>
  <c r="L102" i="6"/>
  <c r="U110" i="6"/>
  <c r="L110" i="6"/>
  <c r="AD36" i="6"/>
  <c r="U36" i="6"/>
  <c r="L36" i="6"/>
  <c r="AD48" i="6"/>
  <c r="U48" i="6"/>
  <c r="L48" i="6"/>
  <c r="U21" i="6"/>
  <c r="L21" i="6"/>
  <c r="U20" i="6"/>
  <c r="L20" i="6"/>
  <c r="U8" i="6"/>
  <c r="L8" i="6"/>
  <c r="AD72" i="6"/>
  <c r="U72" i="6"/>
  <c r="L72" i="6"/>
  <c r="U16" i="6"/>
  <c r="L16" i="6"/>
  <c r="L83" i="6"/>
  <c r="L71" i="6"/>
  <c r="L59" i="6"/>
  <c r="L47" i="6"/>
  <c r="L95" i="6"/>
  <c r="L35" i="6"/>
  <c r="L46" i="6"/>
  <c r="L70" i="6"/>
  <c r="L34" i="6"/>
  <c r="L94" i="6"/>
  <c r="L82" i="6"/>
  <c r="L58" i="6"/>
  <c r="U167" i="6"/>
  <c r="L167" i="6"/>
  <c r="U159" i="6"/>
  <c r="L159" i="6"/>
  <c r="U191" i="6"/>
  <c r="L191" i="6"/>
  <c r="U15" i="6"/>
  <c r="L15" i="6"/>
  <c r="U171" i="6"/>
  <c r="L171" i="6"/>
  <c r="U117" i="6"/>
  <c r="L117" i="6"/>
  <c r="U163" i="6"/>
  <c r="L163" i="6"/>
  <c r="AD69" i="6"/>
  <c r="U69" i="6"/>
  <c r="L69" i="6"/>
  <c r="U19" i="6"/>
  <c r="L19" i="6"/>
  <c r="U11" i="6"/>
  <c r="L11" i="6"/>
  <c r="AD93" i="6"/>
  <c r="U93" i="6"/>
  <c r="L93" i="6"/>
  <c r="U179" i="6"/>
  <c r="L179" i="6"/>
  <c r="AD45" i="6"/>
  <c r="U45" i="6"/>
  <c r="L45" i="6"/>
  <c r="U151" i="6"/>
  <c r="L151" i="6"/>
  <c r="U109" i="6"/>
  <c r="L109" i="6"/>
  <c r="AD57" i="6"/>
  <c r="U57" i="6"/>
  <c r="L57" i="6"/>
  <c r="U187" i="6"/>
  <c r="L187" i="6"/>
  <c r="AD33" i="6"/>
  <c r="U33" i="6"/>
  <c r="L33" i="6"/>
  <c r="U139" i="6"/>
  <c r="L139" i="6"/>
  <c r="U125" i="6"/>
  <c r="L125" i="6"/>
  <c r="U175" i="6"/>
  <c r="L175" i="6"/>
  <c r="U101" i="6"/>
  <c r="L101" i="6"/>
  <c r="U129" i="6"/>
  <c r="L129" i="6"/>
  <c r="U7" i="6"/>
  <c r="L7" i="6"/>
  <c r="U147" i="6"/>
  <c r="L147" i="6"/>
  <c r="U143" i="6"/>
  <c r="L143" i="6"/>
  <c r="U183" i="6"/>
  <c r="L183" i="6"/>
  <c r="AD81" i="6"/>
  <c r="U81" i="6"/>
  <c r="L81" i="6"/>
  <c r="U131" i="6"/>
  <c r="L131" i="6"/>
  <c r="U105" i="6"/>
  <c r="L105" i="6"/>
  <c r="U3" i="6"/>
  <c r="L3" i="6"/>
  <c r="U135" i="6"/>
  <c r="L135" i="6"/>
  <c r="U113" i="6"/>
  <c r="L113" i="6"/>
  <c r="U155" i="6"/>
  <c r="L155" i="6"/>
  <c r="U121" i="6"/>
  <c r="L121" i="6"/>
  <c r="U25" i="6"/>
  <c r="L25" i="6"/>
  <c r="L68" i="6"/>
  <c r="L32" i="6"/>
  <c r="L44" i="6"/>
  <c r="L80" i="6"/>
  <c r="L56" i="6"/>
  <c r="L92" i="6"/>
  <c r="L31" i="6"/>
  <c r="L79" i="6"/>
  <c r="L43" i="6"/>
  <c r="L91" i="6"/>
  <c r="L55" i="6"/>
  <c r="L67" i="6"/>
  <c r="AD20" i="5"/>
  <c r="U20" i="5"/>
  <c r="L20" i="5"/>
  <c r="U100" i="5"/>
  <c r="L100" i="5"/>
  <c r="U128" i="5"/>
  <c r="L128" i="5"/>
  <c r="U64" i="5"/>
  <c r="L64" i="5"/>
  <c r="U72" i="5"/>
  <c r="L72" i="5"/>
  <c r="U108" i="5"/>
  <c r="L108" i="5"/>
  <c r="U140" i="5"/>
  <c r="L140" i="5"/>
  <c r="U40" i="5"/>
  <c r="L40" i="5"/>
  <c r="U124" i="5"/>
  <c r="L124" i="5"/>
  <c r="U112" i="5"/>
  <c r="L112" i="5"/>
  <c r="U104" i="5"/>
  <c r="L104" i="5"/>
  <c r="U116" i="5"/>
  <c r="L116" i="5"/>
  <c r="U44" i="5"/>
  <c r="L44" i="5"/>
  <c r="U36" i="5"/>
  <c r="L36" i="5"/>
  <c r="U28" i="5"/>
  <c r="L28" i="5"/>
  <c r="U56" i="5"/>
  <c r="L56" i="5"/>
  <c r="U136" i="5"/>
  <c r="L136" i="5"/>
  <c r="U68" i="5"/>
  <c r="L68" i="5"/>
  <c r="U32" i="5"/>
  <c r="L32" i="5"/>
  <c r="U120" i="5"/>
  <c r="L120" i="5"/>
  <c r="AD8" i="5"/>
  <c r="U8" i="5"/>
  <c r="L8" i="5"/>
  <c r="U84" i="5"/>
  <c r="L84" i="5"/>
  <c r="U96" i="5"/>
  <c r="L96" i="5"/>
  <c r="U48" i="5"/>
  <c r="L48" i="5"/>
  <c r="AD16" i="5"/>
  <c r="U16" i="5"/>
  <c r="L16" i="5"/>
  <c r="U60" i="5"/>
  <c r="L60" i="5"/>
  <c r="AD4" i="5"/>
  <c r="U4" i="5"/>
  <c r="L4" i="5"/>
  <c r="U88" i="5"/>
  <c r="L88" i="5"/>
  <c r="U132" i="5"/>
  <c r="L132" i="5"/>
  <c r="AD12" i="5"/>
  <c r="U12" i="5"/>
  <c r="L12" i="5"/>
  <c r="U144" i="5"/>
  <c r="L144" i="5"/>
  <c r="U80" i="5"/>
  <c r="L80" i="5"/>
  <c r="AD24" i="5"/>
  <c r="U24" i="5"/>
  <c r="L24" i="5"/>
  <c r="U92" i="5"/>
  <c r="L92" i="5"/>
  <c r="U52" i="5"/>
  <c r="L52" i="5"/>
  <c r="U76" i="5"/>
  <c r="L76" i="5"/>
  <c r="U131" i="5"/>
  <c r="L131" i="5"/>
  <c r="U55" i="5"/>
  <c r="L55" i="5"/>
  <c r="U91" i="5"/>
  <c r="L91" i="5"/>
  <c r="U83" i="5"/>
  <c r="L83" i="5"/>
  <c r="U43" i="5"/>
  <c r="L43" i="5"/>
  <c r="U135" i="5"/>
  <c r="L135" i="5"/>
  <c r="U51" i="5"/>
  <c r="L51" i="5"/>
  <c r="AD7" i="5"/>
  <c r="U7" i="5"/>
  <c r="L7" i="5"/>
  <c r="U59" i="5"/>
  <c r="L59" i="5"/>
  <c r="U119" i="5"/>
  <c r="L119" i="5"/>
  <c r="U63" i="5"/>
  <c r="L63" i="5"/>
  <c r="U27" i="5"/>
  <c r="L27" i="5"/>
  <c r="U75" i="5"/>
  <c r="L75" i="5"/>
  <c r="U47" i="5"/>
  <c r="L47" i="5"/>
  <c r="AD15" i="5"/>
  <c r="U15" i="5"/>
  <c r="L15" i="5"/>
  <c r="AD23" i="5"/>
  <c r="U23" i="5"/>
  <c r="L23" i="5"/>
  <c r="U107" i="5"/>
  <c r="L107" i="5"/>
  <c r="U139" i="5"/>
  <c r="L139" i="5"/>
  <c r="U87" i="5"/>
  <c r="L87" i="5"/>
  <c r="AD3" i="5"/>
  <c r="U3" i="5"/>
  <c r="L3" i="5"/>
  <c r="U143" i="5"/>
  <c r="L143" i="5"/>
  <c r="U67" i="5"/>
  <c r="L67" i="5"/>
  <c r="U79" i="5"/>
  <c r="L79" i="5"/>
  <c r="U99" i="5"/>
  <c r="L99" i="5"/>
  <c r="U39" i="5"/>
  <c r="L39" i="5"/>
  <c r="AD11" i="5"/>
  <c r="U11" i="5"/>
  <c r="L11" i="5"/>
  <c r="U127" i="5"/>
  <c r="L127" i="5"/>
  <c r="AD19" i="5"/>
  <c r="U19" i="5"/>
  <c r="L19" i="5"/>
  <c r="U71" i="5"/>
  <c r="L71" i="5"/>
  <c r="U35" i="5"/>
  <c r="L35" i="5"/>
  <c r="U111" i="5"/>
  <c r="L111" i="5"/>
  <c r="U103" i="5"/>
  <c r="L103" i="5"/>
  <c r="U115" i="5"/>
  <c r="L115" i="5"/>
  <c r="U31" i="5"/>
  <c r="L31" i="5"/>
  <c r="U123" i="5"/>
  <c r="L123" i="5"/>
  <c r="U95" i="5"/>
  <c r="L95" i="5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302" i="4"/>
  <c r="AG303" i="4"/>
  <c r="AG304" i="4"/>
  <c r="AG305" i="4"/>
  <c r="AG306" i="4"/>
  <c r="AG307" i="4"/>
  <c r="AG308" i="4"/>
  <c r="AG309" i="4"/>
  <c r="AG310" i="4"/>
  <c r="AG311" i="4"/>
  <c r="AG312" i="4"/>
  <c r="AG313" i="4"/>
  <c r="AG314" i="4"/>
  <c r="AG315" i="4"/>
  <c r="AG316" i="4"/>
  <c r="AG317" i="4"/>
  <c r="AG318" i="4"/>
  <c r="AG319" i="4"/>
  <c r="AG320" i="4"/>
  <c r="AG321" i="4"/>
  <c r="AG322" i="4"/>
  <c r="AG323" i="4"/>
  <c r="AG324" i="4"/>
  <c r="AG325" i="4"/>
  <c r="AG326" i="4"/>
  <c r="AG327" i="4"/>
  <c r="AG328" i="4"/>
  <c r="AG329" i="4"/>
  <c r="AG330" i="4"/>
  <c r="AG331" i="4"/>
  <c r="AG332" i="4"/>
  <c r="AG333" i="4"/>
  <c r="AG334" i="4"/>
  <c r="AG335" i="4"/>
  <c r="AG336" i="4"/>
  <c r="AG337" i="4"/>
  <c r="AG350" i="4"/>
  <c r="AG351" i="4"/>
  <c r="AG352" i="4"/>
  <c r="AG353" i="4"/>
  <c r="AG354" i="4"/>
  <c r="AG355" i="4"/>
  <c r="AG356" i="4"/>
  <c r="AG357" i="4"/>
  <c r="AG358" i="4"/>
  <c r="AG359" i="4"/>
  <c r="AG360" i="4"/>
  <c r="AG361" i="4"/>
  <c r="AG362" i="4"/>
  <c r="AG363" i="4"/>
  <c r="AG364" i="4"/>
  <c r="AG365" i="4"/>
  <c r="AG366" i="4"/>
  <c r="AG367" i="4"/>
  <c r="AG368" i="4"/>
  <c r="AG369" i="4"/>
  <c r="AG370" i="4"/>
  <c r="AG371" i="4"/>
  <c r="AG372" i="4"/>
  <c r="AG373" i="4"/>
  <c r="AG374" i="4"/>
  <c r="AG375" i="4"/>
  <c r="AG376" i="4"/>
  <c r="AG377" i="4"/>
  <c r="AG378" i="4"/>
  <c r="AG379" i="4"/>
  <c r="AG380" i="4"/>
  <c r="AG381" i="4"/>
  <c r="AG382" i="4"/>
  <c r="AG383" i="4"/>
  <c r="AG384" i="4"/>
  <c r="AG385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2" i="4"/>
  <c r="V385" i="4"/>
  <c r="V384" i="4"/>
  <c r="V383" i="4"/>
  <c r="V382" i="4"/>
  <c r="V381" i="4"/>
  <c r="V380" i="4"/>
  <c r="V379" i="4"/>
  <c r="V378" i="4"/>
  <c r="V377" i="4"/>
  <c r="V376" i="4"/>
  <c r="V375" i="4"/>
  <c r="V374" i="4"/>
  <c r="V373" i="4"/>
  <c r="V372" i="4"/>
  <c r="V371" i="4"/>
  <c r="V370" i="4"/>
  <c r="V369" i="4"/>
  <c r="V368" i="4"/>
  <c r="V367" i="4"/>
  <c r="V366" i="4"/>
  <c r="V365" i="4"/>
  <c r="V364" i="4"/>
  <c r="V363" i="4"/>
  <c r="V362" i="4"/>
  <c r="V361" i="4"/>
  <c r="V360" i="4"/>
  <c r="V359" i="4"/>
  <c r="V358" i="4"/>
  <c r="V357" i="4"/>
  <c r="V356" i="4"/>
  <c r="V355" i="4"/>
  <c r="V354" i="4"/>
  <c r="V353" i="4"/>
  <c r="V352" i="4"/>
  <c r="V351" i="4"/>
  <c r="V350" i="4"/>
  <c r="V337" i="4"/>
  <c r="V336" i="4"/>
  <c r="V335" i="4"/>
  <c r="V334" i="4"/>
  <c r="V333" i="4"/>
  <c r="V332" i="4"/>
  <c r="V331" i="4"/>
  <c r="V330" i="4"/>
  <c r="V329" i="4"/>
  <c r="V328" i="4"/>
  <c r="V327" i="4"/>
  <c r="V326" i="4"/>
  <c r="V325" i="4"/>
  <c r="V324" i="4"/>
  <c r="V323" i="4"/>
  <c r="V322" i="4"/>
  <c r="V321" i="4"/>
  <c r="V320" i="4"/>
  <c r="V319" i="4"/>
  <c r="V318" i="4"/>
  <c r="V317" i="4"/>
  <c r="V316" i="4"/>
  <c r="V315" i="4"/>
  <c r="V314" i="4"/>
  <c r="V313" i="4"/>
  <c r="V312" i="4"/>
  <c r="V311" i="4"/>
  <c r="V310" i="4"/>
  <c r="V309" i="4"/>
  <c r="V308" i="4"/>
  <c r="V307" i="4"/>
  <c r="V306" i="4"/>
  <c r="V305" i="4"/>
  <c r="V304" i="4"/>
  <c r="V303" i="4"/>
  <c r="V302" i="4"/>
  <c r="V289" i="4"/>
  <c r="V288" i="4"/>
  <c r="V287" i="4"/>
  <c r="V286" i="4"/>
  <c r="V285" i="4"/>
  <c r="V284" i="4"/>
  <c r="V283" i="4"/>
  <c r="V282" i="4"/>
  <c r="V281" i="4"/>
  <c r="V280" i="4"/>
  <c r="V279" i="4"/>
  <c r="V278" i="4"/>
  <c r="V277" i="4"/>
  <c r="V276" i="4"/>
  <c r="V275" i="4"/>
  <c r="V274" i="4"/>
  <c r="V273" i="4"/>
  <c r="V272" i="4"/>
  <c r="V271" i="4"/>
  <c r="V270" i="4"/>
  <c r="V269" i="4"/>
  <c r="V268" i="4"/>
  <c r="V267" i="4"/>
  <c r="V266" i="4"/>
  <c r="V265" i="4"/>
  <c r="V264" i="4"/>
  <c r="V263" i="4"/>
  <c r="V262" i="4"/>
  <c r="V261" i="4"/>
  <c r="V260" i="4"/>
  <c r="V259" i="4"/>
  <c r="V258" i="4"/>
  <c r="V257" i="4"/>
  <c r="V256" i="4"/>
  <c r="V255" i="4"/>
  <c r="V254" i="4"/>
  <c r="V241" i="4"/>
  <c r="V240" i="4"/>
  <c r="V239" i="4"/>
  <c r="V238" i="4"/>
  <c r="V237" i="4"/>
  <c r="V236" i="4"/>
  <c r="V235" i="4"/>
  <c r="V234" i="4"/>
  <c r="V233" i="4"/>
  <c r="V232" i="4"/>
  <c r="V231" i="4"/>
  <c r="V230" i="4"/>
  <c r="V229" i="4"/>
  <c r="V228" i="4"/>
  <c r="V227" i="4"/>
  <c r="V226" i="4"/>
  <c r="V225" i="4"/>
  <c r="V224" i="4"/>
  <c r="V223" i="4"/>
  <c r="V222" i="4"/>
  <c r="V221" i="4"/>
  <c r="V220" i="4"/>
  <c r="V219" i="4"/>
  <c r="V218" i="4"/>
  <c r="V217" i="4"/>
  <c r="V216" i="4"/>
  <c r="V215" i="4"/>
  <c r="V214" i="4"/>
  <c r="V213" i="4"/>
  <c r="V212" i="4"/>
  <c r="V211" i="4"/>
  <c r="V210" i="4"/>
  <c r="V209" i="4"/>
  <c r="V208" i="4"/>
  <c r="V207" i="4"/>
  <c r="V206" i="4"/>
  <c r="V193" i="4"/>
  <c r="V192" i="4"/>
  <c r="V191" i="4"/>
  <c r="V190" i="4"/>
  <c r="V189" i="4"/>
  <c r="V188" i="4"/>
  <c r="V187" i="4"/>
  <c r="V186" i="4"/>
  <c r="V185" i="4"/>
  <c r="V184" i="4"/>
  <c r="V183" i="4"/>
  <c r="V182" i="4"/>
  <c r="V181" i="4"/>
  <c r="V180" i="4"/>
  <c r="V179" i="4"/>
  <c r="V178" i="4"/>
  <c r="V177" i="4"/>
  <c r="V176" i="4"/>
  <c r="V175" i="4"/>
  <c r="V169" i="4"/>
  <c r="V168" i="4"/>
  <c r="V167" i="4"/>
  <c r="V166" i="4"/>
  <c r="V165" i="4"/>
  <c r="V164" i="4"/>
  <c r="V163" i="4"/>
  <c r="V162" i="4"/>
  <c r="V161" i="4"/>
  <c r="V160" i="4"/>
  <c r="V159" i="4"/>
  <c r="V158" i="4"/>
  <c r="V145" i="4"/>
  <c r="V144" i="4"/>
  <c r="V143" i="4"/>
  <c r="V142" i="4"/>
  <c r="V141" i="4"/>
  <c r="V140" i="4"/>
  <c r="V139" i="4"/>
  <c r="V138" i="4"/>
  <c r="V137" i="4"/>
  <c r="V136" i="4"/>
  <c r="V135" i="4"/>
  <c r="V134" i="4"/>
  <c r="V133" i="4"/>
  <c r="V132" i="4"/>
  <c r="V131" i="4"/>
  <c r="V130" i="4"/>
  <c r="V129" i="4"/>
  <c r="V128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15" i="4"/>
  <c r="V16" i="4"/>
  <c r="V17" i="4"/>
  <c r="V18" i="4"/>
  <c r="V19" i="4"/>
  <c r="V20" i="4"/>
  <c r="V21" i="4"/>
  <c r="V22" i="4"/>
  <c r="V23" i="4"/>
  <c r="V24" i="4"/>
  <c r="V25" i="4"/>
  <c r="V26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14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2" i="4"/>
  <c r="AD337" i="3"/>
  <c r="AD334" i="3"/>
  <c r="AD312" i="3"/>
  <c r="AD308" i="3"/>
  <c r="AD307" i="3"/>
  <c r="AD303" i="3"/>
  <c r="AD282" i="3"/>
  <c r="AD279" i="3"/>
  <c r="AD277" i="3"/>
  <c r="AD274" i="3"/>
  <c r="AD272" i="3"/>
  <c r="AD262" i="3"/>
  <c r="AD145" i="3"/>
  <c r="AD125" i="3"/>
  <c r="AD121" i="3"/>
  <c r="AD119" i="3"/>
  <c r="AD116" i="3"/>
  <c r="AD113" i="3"/>
  <c r="AD90" i="3"/>
  <c r="AD83" i="3"/>
  <c r="AD82" i="3"/>
  <c r="AD78" i="3"/>
  <c r="AD72" i="3"/>
  <c r="AD70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02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54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242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10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62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50" i="3"/>
  <c r="AA294" i="1"/>
  <c r="L50" i="1"/>
  <c r="AA382" i="1"/>
  <c r="AA378" i="1"/>
  <c r="AA374" i="1"/>
  <c r="AA370" i="1"/>
  <c r="AA366" i="1"/>
  <c r="AA362" i="1"/>
  <c r="AA358" i="1"/>
  <c r="AA354" i="1"/>
  <c r="AA350" i="1"/>
  <c r="AA346" i="1"/>
  <c r="AA342" i="1"/>
  <c r="AA338" i="1"/>
  <c r="AA334" i="1"/>
  <c r="AA330" i="1"/>
  <c r="AA326" i="1"/>
  <c r="AA322" i="1"/>
  <c r="AA318" i="1"/>
  <c r="AA314" i="1"/>
  <c r="AA310" i="1"/>
  <c r="AA306" i="1"/>
  <c r="AA302" i="1"/>
  <c r="AA298" i="1"/>
  <c r="AA290" i="1"/>
  <c r="AA286" i="1"/>
  <c r="AA282" i="1"/>
  <c r="AA278" i="1"/>
  <c r="AA274" i="1"/>
  <c r="AA270" i="1"/>
  <c r="AA266" i="1"/>
  <c r="AA262" i="1"/>
  <c r="AA258" i="1"/>
  <c r="AA254" i="1"/>
  <c r="AA250" i="1"/>
  <c r="AA246" i="1"/>
  <c r="AA242" i="1"/>
  <c r="AA238" i="1"/>
  <c r="AA234" i="1"/>
  <c r="AA230" i="1"/>
  <c r="AA226" i="1"/>
  <c r="AA222" i="1"/>
  <c r="AA218" i="1"/>
  <c r="AA214" i="1"/>
  <c r="AA210" i="1"/>
  <c r="AA206" i="1"/>
  <c r="AA202" i="1"/>
  <c r="AA198" i="1"/>
  <c r="AA194" i="1"/>
  <c r="AA190" i="1"/>
  <c r="AA186" i="1"/>
  <c r="AA182" i="1"/>
  <c r="AA178" i="1"/>
  <c r="AA174" i="1"/>
  <c r="AA170" i="1"/>
  <c r="AA166" i="1"/>
  <c r="AA162" i="1"/>
  <c r="AA158" i="1"/>
  <c r="AA154" i="1"/>
  <c r="AA150" i="1"/>
  <c r="AA146" i="1"/>
  <c r="AA142" i="1"/>
  <c r="AA138" i="1"/>
  <c r="AA134" i="1"/>
  <c r="AA130" i="1"/>
  <c r="AA126" i="1"/>
  <c r="AA122" i="1"/>
  <c r="AA118" i="1"/>
  <c r="AA114" i="1"/>
  <c r="AA110" i="1"/>
  <c r="AA106" i="1"/>
  <c r="AA102" i="1"/>
  <c r="AA98" i="1"/>
  <c r="AA94" i="1"/>
  <c r="AA90" i="1"/>
  <c r="AA86" i="1"/>
  <c r="AA82" i="1"/>
  <c r="AA78" i="1"/>
  <c r="AA74" i="1"/>
  <c r="AA70" i="1"/>
  <c r="AA66" i="1"/>
  <c r="AA62" i="1"/>
  <c r="AA58" i="1"/>
  <c r="AA54" i="1"/>
  <c r="AA50" i="1"/>
  <c r="AA46" i="1"/>
  <c r="AA42" i="1"/>
  <c r="AA38" i="1"/>
  <c r="AA34" i="1"/>
  <c r="AA30" i="1"/>
  <c r="AA26" i="1"/>
  <c r="AA22" i="1"/>
  <c r="AA18" i="1"/>
  <c r="AA14" i="1"/>
  <c r="AA10" i="1"/>
  <c r="AA6" i="1"/>
  <c r="AA2" i="1"/>
  <c r="R382" i="1"/>
  <c r="R378" i="1"/>
  <c r="R374" i="1"/>
  <c r="R370" i="1"/>
  <c r="R366" i="1"/>
  <c r="R362" i="1"/>
  <c r="R358" i="1"/>
  <c r="R354" i="1"/>
  <c r="R350" i="1"/>
  <c r="R334" i="1"/>
  <c r="R330" i="1"/>
  <c r="R326" i="1"/>
  <c r="R322" i="1"/>
  <c r="R318" i="1"/>
  <c r="R314" i="1"/>
  <c r="R310" i="1"/>
  <c r="R306" i="1"/>
  <c r="R302" i="1"/>
  <c r="R286" i="1"/>
  <c r="R282" i="1"/>
  <c r="R278" i="1"/>
  <c r="R274" i="1"/>
  <c r="R270" i="1"/>
  <c r="R266" i="1"/>
  <c r="R262" i="1"/>
  <c r="R258" i="1"/>
  <c r="R254" i="1"/>
  <c r="R238" i="1"/>
  <c r="R234" i="1"/>
  <c r="R230" i="1"/>
  <c r="R226" i="1"/>
  <c r="R222" i="1"/>
  <c r="R218" i="1"/>
  <c r="R214" i="1"/>
  <c r="R210" i="1"/>
  <c r="R206" i="1"/>
  <c r="R190" i="1"/>
  <c r="R186" i="1"/>
  <c r="R182" i="1"/>
  <c r="R178" i="1"/>
  <c r="R174" i="1"/>
  <c r="R170" i="1"/>
  <c r="R166" i="1"/>
  <c r="R162" i="1"/>
  <c r="R158" i="1"/>
  <c r="R142" i="1"/>
  <c r="R138" i="1"/>
  <c r="R134" i="1"/>
  <c r="R130" i="1"/>
  <c r="R126" i="1"/>
  <c r="R122" i="1"/>
  <c r="R118" i="1"/>
  <c r="R114" i="1"/>
  <c r="R110" i="1"/>
  <c r="R94" i="1"/>
  <c r="R90" i="1"/>
  <c r="R86" i="1"/>
  <c r="R82" i="1"/>
  <c r="R78" i="1"/>
  <c r="R74" i="1"/>
  <c r="R70" i="1"/>
  <c r="R66" i="1"/>
  <c r="R62" i="1"/>
  <c r="R46" i="1"/>
  <c r="R42" i="1"/>
  <c r="R38" i="1"/>
  <c r="R34" i="1"/>
  <c r="R30" i="1"/>
  <c r="R26" i="1"/>
  <c r="R22" i="1"/>
  <c r="R18" i="1"/>
  <c r="R14" i="1"/>
  <c r="J382" i="1"/>
  <c r="J378" i="1"/>
  <c r="J374" i="1"/>
  <c r="J370" i="1"/>
  <c r="J366" i="1"/>
  <c r="J362" i="1"/>
  <c r="J358" i="1"/>
  <c r="J354" i="1"/>
  <c r="J350" i="1"/>
  <c r="J346" i="1"/>
  <c r="J342" i="1"/>
  <c r="J338" i="1"/>
  <c r="J334" i="1"/>
  <c r="J330" i="1"/>
  <c r="J326" i="1"/>
  <c r="J322" i="1"/>
  <c r="J318" i="1"/>
  <c r="J314" i="1"/>
  <c r="J310" i="1"/>
  <c r="J306" i="1"/>
  <c r="J302" i="1"/>
  <c r="J298" i="1"/>
  <c r="J294" i="1"/>
  <c r="J290" i="1"/>
  <c r="J286" i="1"/>
  <c r="J282" i="1"/>
  <c r="J278" i="1"/>
  <c r="J274" i="1"/>
  <c r="J270" i="1"/>
  <c r="J266" i="1"/>
  <c r="J262" i="1"/>
  <c r="J258" i="1"/>
  <c r="J254" i="1"/>
  <c r="J250" i="1"/>
  <c r="J246" i="1"/>
  <c r="J242" i="1"/>
  <c r="J238" i="1"/>
  <c r="J234" i="1"/>
  <c r="J230" i="1"/>
  <c r="J226" i="1"/>
  <c r="J222" i="1"/>
  <c r="J218" i="1"/>
  <c r="J214" i="1"/>
  <c r="J210" i="1"/>
  <c r="J206" i="1"/>
  <c r="J202" i="1"/>
  <c r="J198" i="1"/>
  <c r="J194" i="1"/>
  <c r="J190" i="1"/>
  <c r="J186" i="1"/>
  <c r="J182" i="1"/>
  <c r="J178" i="1"/>
  <c r="J174" i="1"/>
  <c r="J170" i="1"/>
  <c r="J166" i="1"/>
  <c r="J162" i="1"/>
  <c r="J158" i="1"/>
  <c r="J154" i="1"/>
  <c r="J150" i="1"/>
  <c r="J146" i="1"/>
  <c r="J142" i="1"/>
  <c r="J138" i="1"/>
  <c r="J134" i="1"/>
  <c r="J130" i="1"/>
  <c r="J126" i="1"/>
  <c r="J122" i="1"/>
  <c r="J118" i="1"/>
  <c r="J114" i="1"/>
  <c r="J110" i="1"/>
  <c r="J106" i="1"/>
  <c r="J102" i="1"/>
  <c r="J98" i="1"/>
  <c r="J94" i="1"/>
  <c r="J90" i="1"/>
  <c r="J86" i="1"/>
  <c r="J82" i="1"/>
  <c r="J78" i="1"/>
  <c r="J74" i="1"/>
  <c r="J70" i="1"/>
  <c r="J66" i="1"/>
  <c r="J62" i="1"/>
  <c r="J58" i="1"/>
  <c r="J54" i="1"/>
  <c r="J50" i="1"/>
  <c r="J46" i="1"/>
  <c r="J42" i="1"/>
  <c r="J38" i="1"/>
  <c r="J34" i="1"/>
  <c r="J30" i="1"/>
  <c r="J26" i="1"/>
  <c r="J22" i="1"/>
  <c r="J18" i="1"/>
  <c r="J14" i="1"/>
  <c r="J10" i="1"/>
  <c r="J6" i="1"/>
  <c r="J2" i="1"/>
</calcChain>
</file>

<file path=xl/sharedStrings.xml><?xml version="1.0" encoding="utf-8"?>
<sst xmlns="http://schemas.openxmlformats.org/spreadsheetml/2006/main" count="6401" uniqueCount="61">
  <si>
    <t>22-</t>
  </si>
  <si>
    <t>SW5606</t>
  </si>
  <si>
    <t>Vernal</t>
  </si>
  <si>
    <t>Seedway 9558 SBR</t>
  </si>
  <si>
    <t>Regen</t>
  </si>
  <si>
    <t>WL 349HQ</t>
  </si>
  <si>
    <t>Guardsman II</t>
  </si>
  <si>
    <t>SW4412Y</t>
  </si>
  <si>
    <t>AmeriStand 427 TQ</t>
  </si>
  <si>
    <t>Hi-Gest 360</t>
  </si>
  <si>
    <t>55V50</t>
  </si>
  <si>
    <t>Pluss III</t>
  </si>
  <si>
    <t>WL 358LH</t>
  </si>
  <si>
    <t>NY1614</t>
  </si>
  <si>
    <t>Lander</t>
  </si>
  <si>
    <t>Lightning Bolt</t>
  </si>
  <si>
    <t>N-R-Gee</t>
  </si>
  <si>
    <t>SW4602Z</t>
  </si>
  <si>
    <t>Oneida VR</t>
  </si>
  <si>
    <t>NY2003</t>
  </si>
  <si>
    <t>NY0651</t>
  </si>
  <si>
    <t>NY1517</t>
  </si>
  <si>
    <t>Seedway 9558</t>
  </si>
  <si>
    <t>AlfaBar</t>
  </si>
  <si>
    <t>SW4107</t>
  </si>
  <si>
    <t>SW315 LH</t>
  </si>
  <si>
    <t>FSG 415BR</t>
  </si>
  <si>
    <t>NY1615</t>
  </si>
  <si>
    <t>Rebound 6XT</t>
  </si>
  <si>
    <t>NY0465</t>
  </si>
  <si>
    <t>FSG 421LH</t>
  </si>
  <si>
    <t>SW3407</t>
  </si>
  <si>
    <t>Ezra</t>
  </si>
  <si>
    <t>SW5210</t>
  </si>
  <si>
    <t>Persist III</t>
  </si>
  <si>
    <t>Algonquin</t>
  </si>
  <si>
    <t>Oneida Ultra</t>
  </si>
  <si>
    <t>dry wt2</t>
  </si>
  <si>
    <t>wetwt2</t>
  </si>
  <si>
    <t>pltwt2</t>
  </si>
  <si>
    <t>wetwt1</t>
  </si>
  <si>
    <t>dry wt1</t>
  </si>
  <si>
    <t>pltwt1</t>
  </si>
  <si>
    <t>wetwt3</t>
  </si>
  <si>
    <t>dry wt3</t>
  </si>
  <si>
    <t>pltwt3</t>
  </si>
  <si>
    <t>Aurora</t>
  </si>
  <si>
    <t>Ithaca</t>
  </si>
  <si>
    <t xml:space="preserve"> </t>
  </si>
  <si>
    <t>pctdm1</t>
  </si>
  <si>
    <t>pctdm2</t>
  </si>
  <si>
    <t>pctdm3</t>
  </si>
  <si>
    <t>Q+Bag wt grams</t>
  </si>
  <si>
    <t>pltwt1 c</t>
  </si>
  <si>
    <t>pltwt2 c</t>
  </si>
  <si>
    <t>yld1</t>
  </si>
  <si>
    <t>yld2</t>
  </si>
  <si>
    <t>pltwt3c</t>
  </si>
  <si>
    <t>yld3</t>
  </si>
  <si>
    <t>tot22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</si>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</sst>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/>
    <xf numFmtId="2" fontId="0" fillId="0" borderId="0" xfId="0" applyNumberFormat="1" applyAlignment="1">
      <alignment horizontal="center"/>
    </xf>
    <xf numFmtId="0" fontId="1" fillId="0" borderId="0" xfId="0" applyFont="1"/>
    <xf numFmtId="2" fontId="2" fillId="0" borderId="0" xfId="0" applyNumberFormat="1" applyFont="1"/>
    <xf numFmtId="16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2" fontId="0" fillId="2" borderId="0" xfId="0" applyNumberFormat="1" applyFill="1"/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/>
    <xf numFmtId="2" fontId="3" fillId="0" borderId="0" xfId="0" applyNumberFormat="1" applyFont="1"/>
    <xf numFmtId="164" fontId="0" fillId="2" borderId="0" xfId="0" applyNumberFormat="1" applyFill="1"/>
    <xf numFmtId="1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0DEA-9931-4177-89E0-38241B5A9803}">
  <dimension ref="A1:AB385"/>
  <sheetViews>
    <sheetView topLeftCell="G1" workbookViewId="0">
      <selection sqref="A1:AC1048576"/>
    </sheetView>
  </sheetViews>
  <sheetFormatPr defaultRowHeight="15" x14ac:dyDescent="0.25"/>
  <cols>
    <col min="2" max="2" width="5.28515625" customWidth="1"/>
    <col min="3" max="3" width="5.140625" customWidth="1"/>
    <col min="6" max="6" width="19.5703125" customWidth="1"/>
    <col min="9" max="9" width="8.85546875" style="6"/>
    <col min="10" max="10" width="9.140625" style="4"/>
    <col min="11" max="11" width="11.7109375" style="10" customWidth="1"/>
    <col min="12" max="12" width="9.140625" style="4"/>
    <col min="18" max="18" width="9.140625" style="4"/>
    <col min="19" max="19" width="14" style="10" customWidth="1"/>
    <col min="20" max="20" width="9.140625" style="4"/>
    <col min="21" max="21" width="9.140625" style="11"/>
    <col min="26" max="26" width="9.140625" style="3"/>
    <col min="27" max="27" width="9.140625" style="4"/>
    <col min="28" max="28" width="9.140625" style="2"/>
  </cols>
  <sheetData>
    <row r="1" spans="1:28" x14ac:dyDescent="0.25">
      <c r="G1" t="s">
        <v>40</v>
      </c>
      <c r="H1" t="s">
        <v>41</v>
      </c>
      <c r="I1" s="3" t="s">
        <v>42</v>
      </c>
      <c r="J1" s="4" t="s">
        <v>49</v>
      </c>
      <c r="K1" s="10" t="s">
        <v>52</v>
      </c>
      <c r="L1" s="4" t="s">
        <v>53</v>
      </c>
      <c r="O1" t="s">
        <v>38</v>
      </c>
      <c r="P1" t="s">
        <v>37</v>
      </c>
      <c r="Q1" t="s">
        <v>39</v>
      </c>
      <c r="R1" s="4" t="s">
        <v>50</v>
      </c>
      <c r="S1" s="10" t="s">
        <v>52</v>
      </c>
      <c r="T1" s="4" t="s">
        <v>54</v>
      </c>
      <c r="X1" t="s">
        <v>43</v>
      </c>
      <c r="Y1" t="s">
        <v>44</v>
      </c>
      <c r="Z1" s="3" t="s">
        <v>45</v>
      </c>
      <c r="AA1" s="4" t="s">
        <v>51</v>
      </c>
      <c r="AB1" s="10" t="s">
        <v>52</v>
      </c>
    </row>
    <row r="2" spans="1:28" x14ac:dyDescent="0.25">
      <c r="A2" t="s">
        <v>46</v>
      </c>
      <c r="B2" s="1" t="s">
        <v>0</v>
      </c>
      <c r="C2">
        <v>63</v>
      </c>
      <c r="D2" s="2">
        <v>101</v>
      </c>
      <c r="E2" s="2">
        <v>6</v>
      </c>
      <c r="F2" t="s">
        <v>1</v>
      </c>
      <c r="G2">
        <v>744</v>
      </c>
      <c r="H2">
        <v>207</v>
      </c>
      <c r="I2" s="6">
        <v>11.14</v>
      </c>
      <c r="J2" s="4">
        <f>(H2-32)/(G2-32)</f>
        <v>0.24578651685393257</v>
      </c>
      <c r="N2" s="2">
        <v>101</v>
      </c>
      <c r="P2" s="2"/>
      <c r="Q2" s="3"/>
      <c r="U2" s="10"/>
      <c r="V2" s="4"/>
      <c r="W2" s="2">
        <v>101</v>
      </c>
      <c r="X2" s="2">
        <v>726</v>
      </c>
      <c r="Y2" s="2">
        <v>157</v>
      </c>
      <c r="Z2" s="6">
        <v>5.04</v>
      </c>
      <c r="AA2" s="4">
        <f>(Y2-32)/(X2-32)</f>
        <v>0.18011527377521613</v>
      </c>
    </row>
    <row r="3" spans="1:28" x14ac:dyDescent="0.25">
      <c r="A3" t="s">
        <v>46</v>
      </c>
      <c r="B3" s="1" t="s">
        <v>0</v>
      </c>
      <c r="C3">
        <v>63</v>
      </c>
      <c r="D3" s="2">
        <v>102</v>
      </c>
      <c r="E3" s="2">
        <v>4</v>
      </c>
      <c r="F3" t="s">
        <v>2</v>
      </c>
      <c r="G3" s="2"/>
      <c r="H3" s="2"/>
      <c r="I3" s="6">
        <v>8.2799999999999994</v>
      </c>
      <c r="N3" s="2">
        <v>102</v>
      </c>
      <c r="P3" s="2"/>
      <c r="Q3" s="3"/>
      <c r="U3" s="10"/>
      <c r="V3" s="4"/>
      <c r="W3" s="2">
        <v>102</v>
      </c>
      <c r="X3" s="2"/>
      <c r="Y3" s="2"/>
      <c r="Z3" s="6">
        <v>4.74</v>
      </c>
    </row>
    <row r="4" spans="1:28" x14ac:dyDescent="0.25">
      <c r="A4" t="s">
        <v>46</v>
      </c>
      <c r="B4" s="1" t="s">
        <v>0</v>
      </c>
      <c r="C4">
        <v>63</v>
      </c>
      <c r="D4" s="2">
        <v>103</v>
      </c>
      <c r="E4" s="2">
        <v>3</v>
      </c>
      <c r="F4" t="s">
        <v>3</v>
      </c>
      <c r="G4" s="2"/>
      <c r="H4" s="2"/>
      <c r="I4" s="6">
        <v>13.02</v>
      </c>
      <c r="N4" s="2">
        <v>103</v>
      </c>
      <c r="P4" s="2"/>
      <c r="Q4" s="3"/>
      <c r="U4" s="10"/>
      <c r="V4" s="4"/>
      <c r="W4" s="2">
        <v>103</v>
      </c>
      <c r="X4" s="2"/>
      <c r="Y4" s="2"/>
      <c r="Z4" s="6">
        <v>5.2</v>
      </c>
    </row>
    <row r="5" spans="1:28" x14ac:dyDescent="0.25">
      <c r="A5" t="s">
        <v>46</v>
      </c>
      <c r="B5" s="1" t="s">
        <v>0</v>
      </c>
      <c r="C5">
        <v>63</v>
      </c>
      <c r="D5" s="2">
        <v>104</v>
      </c>
      <c r="E5" s="2">
        <v>2</v>
      </c>
      <c r="F5" t="s">
        <v>4</v>
      </c>
      <c r="G5" s="2"/>
      <c r="H5" s="2"/>
      <c r="I5" s="6">
        <v>12.52</v>
      </c>
      <c r="N5" s="2">
        <v>104</v>
      </c>
      <c r="P5" s="2"/>
      <c r="Q5" s="3"/>
      <c r="U5" s="10"/>
      <c r="V5" s="4"/>
      <c r="W5" s="2">
        <v>104</v>
      </c>
      <c r="X5" s="2"/>
      <c r="Y5" s="2"/>
      <c r="Z5" s="6">
        <v>4.32</v>
      </c>
    </row>
    <row r="6" spans="1:28" x14ac:dyDescent="0.25">
      <c r="A6" t="s">
        <v>46</v>
      </c>
      <c r="B6" s="1" t="s">
        <v>0</v>
      </c>
      <c r="C6">
        <v>63</v>
      </c>
      <c r="D6" s="2">
        <v>105</v>
      </c>
      <c r="E6" s="2">
        <v>5</v>
      </c>
      <c r="F6" t="s">
        <v>5</v>
      </c>
      <c r="G6" s="2">
        <v>723</v>
      </c>
      <c r="H6" s="2">
        <v>197</v>
      </c>
      <c r="I6" s="6">
        <v>10.44</v>
      </c>
      <c r="J6" s="4">
        <f>(H6-32)/(G6-32)</f>
        <v>0.23878437047756873</v>
      </c>
      <c r="N6" s="2">
        <v>105</v>
      </c>
      <c r="P6" s="2"/>
      <c r="Q6" s="3"/>
      <c r="U6" s="10"/>
      <c r="V6" s="4"/>
      <c r="W6" s="2">
        <v>105</v>
      </c>
      <c r="X6" s="2">
        <v>829</v>
      </c>
      <c r="Y6" s="2">
        <v>176</v>
      </c>
      <c r="Z6" s="6">
        <v>4.5999999999999996</v>
      </c>
      <c r="AA6" s="4">
        <f>(Y6-32)/(X6-32)</f>
        <v>0.1806775407779172</v>
      </c>
    </row>
    <row r="7" spans="1:28" x14ac:dyDescent="0.25">
      <c r="A7" t="s">
        <v>46</v>
      </c>
      <c r="B7" s="1" t="s">
        <v>0</v>
      </c>
      <c r="C7">
        <v>63</v>
      </c>
      <c r="D7" s="2">
        <v>106</v>
      </c>
      <c r="E7" s="2">
        <v>1</v>
      </c>
      <c r="F7" t="s">
        <v>6</v>
      </c>
      <c r="G7" s="2"/>
      <c r="H7" s="2"/>
      <c r="I7" s="6">
        <v>12.64</v>
      </c>
      <c r="N7" s="2">
        <v>106</v>
      </c>
      <c r="P7" s="2"/>
      <c r="Q7" s="3"/>
      <c r="U7" s="10"/>
      <c r="V7" s="4"/>
      <c r="W7" s="2">
        <v>106</v>
      </c>
      <c r="X7" s="2"/>
      <c r="Y7" s="2"/>
      <c r="Z7" s="6">
        <v>5.0599999999999996</v>
      </c>
    </row>
    <row r="8" spans="1:28" x14ac:dyDescent="0.25">
      <c r="A8" t="s">
        <v>46</v>
      </c>
      <c r="B8" s="1" t="s">
        <v>0</v>
      </c>
      <c r="C8">
        <v>63</v>
      </c>
      <c r="D8" s="2">
        <v>107</v>
      </c>
      <c r="E8" s="2">
        <v>5</v>
      </c>
      <c r="F8" t="s">
        <v>5</v>
      </c>
      <c r="G8" s="2"/>
      <c r="H8" s="2"/>
      <c r="I8" s="6">
        <v>10.1</v>
      </c>
      <c r="N8" s="2">
        <v>107</v>
      </c>
      <c r="P8" s="2"/>
      <c r="Q8" s="3"/>
      <c r="U8" s="10"/>
      <c r="V8" s="4"/>
      <c r="W8" s="2">
        <v>107</v>
      </c>
      <c r="X8" s="2"/>
      <c r="Y8" s="2"/>
      <c r="Z8" s="6">
        <v>4.18</v>
      </c>
    </row>
    <row r="9" spans="1:28" x14ac:dyDescent="0.25">
      <c r="A9" t="s">
        <v>46</v>
      </c>
      <c r="B9" s="1" t="s">
        <v>0</v>
      </c>
      <c r="C9">
        <v>63</v>
      </c>
      <c r="D9" s="2">
        <v>108</v>
      </c>
      <c r="E9" s="2">
        <v>6</v>
      </c>
      <c r="F9" t="s">
        <v>1</v>
      </c>
      <c r="G9" s="2"/>
      <c r="H9" s="2"/>
      <c r="I9" s="6">
        <v>13.26</v>
      </c>
      <c r="N9" s="2">
        <v>108</v>
      </c>
      <c r="P9" s="2"/>
      <c r="Q9" s="3"/>
      <c r="U9" s="10"/>
      <c r="V9" s="4"/>
      <c r="W9" s="2">
        <v>108</v>
      </c>
      <c r="X9" s="2"/>
      <c r="Y9" s="2"/>
      <c r="Z9" s="6">
        <v>4.16</v>
      </c>
    </row>
    <row r="10" spans="1:28" x14ac:dyDescent="0.25">
      <c r="A10" t="s">
        <v>46</v>
      </c>
      <c r="B10" s="1" t="s">
        <v>0</v>
      </c>
      <c r="C10">
        <v>63</v>
      </c>
      <c r="D10" s="2">
        <v>109</v>
      </c>
      <c r="E10" s="2">
        <v>4</v>
      </c>
      <c r="F10" t="s">
        <v>2</v>
      </c>
      <c r="G10" s="2">
        <v>780</v>
      </c>
      <c r="H10" s="2">
        <v>218</v>
      </c>
      <c r="I10" s="6">
        <v>9.84</v>
      </c>
      <c r="J10" s="4">
        <f>(H10-32)/(G10-32)</f>
        <v>0.24866310160427807</v>
      </c>
      <c r="N10" s="2">
        <v>109</v>
      </c>
      <c r="P10" s="2"/>
      <c r="Q10" s="3"/>
      <c r="U10" s="10"/>
      <c r="V10" s="4"/>
      <c r="W10" s="2">
        <v>109</v>
      </c>
      <c r="X10" s="2">
        <v>801</v>
      </c>
      <c r="Y10" s="2">
        <v>184</v>
      </c>
      <c r="Z10" s="6">
        <v>4.5</v>
      </c>
      <c r="AA10" s="4">
        <f>(Y10-32)/(X10-32)</f>
        <v>0.1976592977893368</v>
      </c>
    </row>
    <row r="11" spans="1:28" x14ac:dyDescent="0.25">
      <c r="A11" t="s">
        <v>46</v>
      </c>
      <c r="B11" s="1" t="s">
        <v>0</v>
      </c>
      <c r="C11">
        <v>63</v>
      </c>
      <c r="D11" s="2">
        <v>110</v>
      </c>
      <c r="E11" s="2">
        <v>2</v>
      </c>
      <c r="F11" t="s">
        <v>4</v>
      </c>
      <c r="G11" s="2"/>
      <c r="H11" s="2"/>
      <c r="I11" s="6">
        <v>12.96</v>
      </c>
      <c r="N11" s="2">
        <v>110</v>
      </c>
      <c r="P11" s="2"/>
      <c r="Q11" s="3"/>
      <c r="U11" s="10"/>
      <c r="V11" s="4"/>
      <c r="W11" s="2">
        <v>110</v>
      </c>
      <c r="X11" s="2"/>
      <c r="Y11" s="2"/>
      <c r="Z11" s="6">
        <v>4.76</v>
      </c>
    </row>
    <row r="12" spans="1:28" x14ac:dyDescent="0.25">
      <c r="A12" t="s">
        <v>46</v>
      </c>
      <c r="B12" s="1" t="s">
        <v>0</v>
      </c>
      <c r="C12">
        <v>63</v>
      </c>
      <c r="D12" s="2">
        <v>111</v>
      </c>
      <c r="E12" s="2">
        <v>1</v>
      </c>
      <c r="F12" t="s">
        <v>6</v>
      </c>
      <c r="G12" s="2"/>
      <c r="H12" s="2"/>
      <c r="I12" s="6">
        <v>11.38</v>
      </c>
      <c r="N12" s="2">
        <v>111</v>
      </c>
      <c r="P12" s="2"/>
      <c r="Q12" s="3"/>
      <c r="U12" s="10"/>
      <c r="V12" s="4"/>
      <c r="W12" s="2">
        <v>111</v>
      </c>
      <c r="X12" s="2"/>
      <c r="Y12" s="2"/>
      <c r="Z12" s="6">
        <v>4.84</v>
      </c>
    </row>
    <row r="13" spans="1:28" x14ac:dyDescent="0.25">
      <c r="A13" t="s">
        <v>46</v>
      </c>
      <c r="B13" s="1" t="s">
        <v>0</v>
      </c>
      <c r="C13">
        <v>63</v>
      </c>
      <c r="D13" s="2">
        <v>112</v>
      </c>
      <c r="E13" s="2">
        <v>3</v>
      </c>
      <c r="F13" t="s">
        <v>3</v>
      </c>
      <c r="G13" s="2"/>
      <c r="H13" s="2"/>
      <c r="I13" s="6">
        <v>10.34</v>
      </c>
      <c r="N13" s="2">
        <v>112</v>
      </c>
      <c r="P13" s="2"/>
      <c r="Q13" s="3"/>
      <c r="U13" s="10"/>
      <c r="V13" s="4"/>
      <c r="W13" s="2">
        <v>112</v>
      </c>
      <c r="X13" s="2"/>
      <c r="Y13" s="2"/>
      <c r="Z13" s="6">
        <v>4.46</v>
      </c>
    </row>
    <row r="14" spans="1:28" x14ac:dyDescent="0.25">
      <c r="A14" t="s">
        <v>46</v>
      </c>
      <c r="B14" s="1" t="s">
        <v>0</v>
      </c>
      <c r="C14">
        <v>63</v>
      </c>
      <c r="D14" s="2">
        <v>113</v>
      </c>
      <c r="E14" s="2">
        <v>22</v>
      </c>
      <c r="F14" t="s">
        <v>7</v>
      </c>
      <c r="G14" s="2">
        <v>901</v>
      </c>
      <c r="H14" s="2">
        <v>247</v>
      </c>
      <c r="I14" s="6">
        <v>12.88</v>
      </c>
      <c r="J14" s="4">
        <f>(H14-32)/(G14-32)</f>
        <v>0.24741081703107021</v>
      </c>
      <c r="N14" s="2">
        <v>113</v>
      </c>
      <c r="O14" s="2">
        <v>534</v>
      </c>
      <c r="P14" s="2">
        <v>230</v>
      </c>
      <c r="Q14" s="3">
        <v>3.06</v>
      </c>
      <c r="R14" s="4">
        <f>(P14-32)/(O14-32)</f>
        <v>0.39442231075697209</v>
      </c>
      <c r="U14" s="10"/>
      <c r="V14" s="4"/>
      <c r="W14" s="2">
        <v>113</v>
      </c>
      <c r="X14" s="2">
        <v>774</v>
      </c>
      <c r="Y14" s="2">
        <v>183</v>
      </c>
      <c r="Z14" s="6">
        <v>4.9000000000000004</v>
      </c>
      <c r="AA14" s="4">
        <f>(Y14-32)/(X14-32)</f>
        <v>0.20350404312668463</v>
      </c>
    </row>
    <row r="15" spans="1:28" x14ac:dyDescent="0.25">
      <c r="A15" t="s">
        <v>46</v>
      </c>
      <c r="B15" s="1" t="s">
        <v>0</v>
      </c>
      <c r="C15">
        <v>63</v>
      </c>
      <c r="D15" s="2">
        <v>114</v>
      </c>
      <c r="E15" s="2">
        <v>25</v>
      </c>
      <c r="F15" s="7" t="s">
        <v>8</v>
      </c>
      <c r="G15" s="2"/>
      <c r="H15" s="2"/>
      <c r="I15" s="6">
        <v>10.42</v>
      </c>
      <c r="N15" s="2">
        <v>114</v>
      </c>
      <c r="P15" s="2"/>
      <c r="Q15" s="3">
        <v>3.52</v>
      </c>
      <c r="U15" s="10"/>
      <c r="V15" s="4"/>
      <c r="W15" s="2">
        <v>114</v>
      </c>
      <c r="X15" s="2"/>
      <c r="Y15" s="2"/>
      <c r="Z15" s="6">
        <v>5.74</v>
      </c>
    </row>
    <row r="16" spans="1:28" x14ac:dyDescent="0.25">
      <c r="A16" t="s">
        <v>46</v>
      </c>
      <c r="B16" s="1" t="s">
        <v>0</v>
      </c>
      <c r="C16">
        <v>63</v>
      </c>
      <c r="D16" s="2">
        <v>115</v>
      </c>
      <c r="E16" s="2">
        <v>4</v>
      </c>
      <c r="F16" t="s">
        <v>2</v>
      </c>
      <c r="G16" s="2"/>
      <c r="H16" s="2"/>
      <c r="I16" s="6">
        <v>6.48</v>
      </c>
      <c r="N16" s="2">
        <v>115</v>
      </c>
      <c r="P16" s="2"/>
      <c r="Q16" s="3">
        <v>2.64</v>
      </c>
      <c r="U16" s="10"/>
      <c r="V16" s="4"/>
      <c r="W16" s="2">
        <v>115</v>
      </c>
      <c r="X16" s="2"/>
      <c r="Y16" s="2"/>
      <c r="Z16" s="6">
        <v>4.62</v>
      </c>
    </row>
    <row r="17" spans="1:27" x14ac:dyDescent="0.25">
      <c r="A17" t="s">
        <v>46</v>
      </c>
      <c r="B17" s="1" t="s">
        <v>0</v>
      </c>
      <c r="C17">
        <v>63</v>
      </c>
      <c r="D17" s="2">
        <v>116</v>
      </c>
      <c r="E17" s="2">
        <v>30</v>
      </c>
      <c r="F17" s="7" t="s">
        <v>9</v>
      </c>
      <c r="G17" s="2"/>
      <c r="H17" s="2"/>
      <c r="I17" s="6">
        <v>10.58</v>
      </c>
      <c r="N17" s="2">
        <v>116</v>
      </c>
      <c r="P17" s="2"/>
      <c r="Q17" s="3">
        <v>3.78</v>
      </c>
      <c r="U17" s="10"/>
      <c r="V17" s="4"/>
      <c r="W17" s="2">
        <v>116</v>
      </c>
      <c r="X17" s="2"/>
      <c r="Y17" s="2"/>
      <c r="Z17" s="6">
        <v>5.98</v>
      </c>
    </row>
    <row r="18" spans="1:27" x14ac:dyDescent="0.25">
      <c r="A18" t="s">
        <v>46</v>
      </c>
      <c r="B18" s="1" t="s">
        <v>0</v>
      </c>
      <c r="C18">
        <v>63</v>
      </c>
      <c r="D18" s="2">
        <v>117</v>
      </c>
      <c r="E18" s="2">
        <v>19</v>
      </c>
      <c r="F18" s="7" t="s">
        <v>10</v>
      </c>
      <c r="G18" s="2">
        <v>959</v>
      </c>
      <c r="H18" s="2">
        <v>267</v>
      </c>
      <c r="I18" s="6">
        <v>15.14</v>
      </c>
      <c r="J18" s="4">
        <f>(H18-32)/(G18-32)</f>
        <v>0.25350593311758363</v>
      </c>
      <c r="N18" s="2">
        <v>117</v>
      </c>
      <c r="O18" s="2">
        <v>678</v>
      </c>
      <c r="P18" s="2">
        <v>279</v>
      </c>
      <c r="Q18" s="3">
        <v>4.34</v>
      </c>
      <c r="R18" s="4">
        <f>(P18-32)/(O18-32)</f>
        <v>0.38235294117647056</v>
      </c>
      <c r="U18" s="10"/>
      <c r="V18" s="4"/>
      <c r="W18" s="2">
        <v>117</v>
      </c>
      <c r="X18" s="2">
        <v>760</v>
      </c>
      <c r="Y18" s="2">
        <v>186</v>
      </c>
      <c r="Z18" s="6">
        <v>5.94</v>
      </c>
      <c r="AA18" s="4">
        <f>(Y18-32)/(X18-32)</f>
        <v>0.21153846153846154</v>
      </c>
    </row>
    <row r="19" spans="1:27" x14ac:dyDescent="0.25">
      <c r="A19" t="s">
        <v>46</v>
      </c>
      <c r="B19" s="1" t="s">
        <v>0</v>
      </c>
      <c r="C19">
        <v>63</v>
      </c>
      <c r="D19" s="2">
        <v>118</v>
      </c>
      <c r="E19" s="2">
        <v>29</v>
      </c>
      <c r="F19" t="s">
        <v>11</v>
      </c>
      <c r="G19" s="2"/>
      <c r="H19" s="2"/>
      <c r="I19" s="6">
        <v>10.94</v>
      </c>
      <c r="N19" s="2">
        <v>118</v>
      </c>
      <c r="P19" s="2"/>
      <c r="Q19" s="3">
        <v>3.1</v>
      </c>
      <c r="U19" s="10"/>
      <c r="V19" s="4"/>
      <c r="W19" s="2">
        <v>118</v>
      </c>
      <c r="X19" s="2"/>
      <c r="Y19" s="2"/>
      <c r="Z19" s="6">
        <v>4.66</v>
      </c>
    </row>
    <row r="20" spans="1:27" x14ac:dyDescent="0.25">
      <c r="A20" t="s">
        <v>46</v>
      </c>
      <c r="B20" s="1" t="s">
        <v>0</v>
      </c>
      <c r="C20">
        <v>63</v>
      </c>
      <c r="D20" s="2">
        <v>119</v>
      </c>
      <c r="E20" s="2">
        <v>16</v>
      </c>
      <c r="F20" s="7" t="s">
        <v>12</v>
      </c>
      <c r="G20" s="2"/>
      <c r="H20" s="2"/>
      <c r="I20" s="6">
        <v>9.48</v>
      </c>
      <c r="N20" s="2">
        <v>119</v>
      </c>
      <c r="P20" s="2"/>
      <c r="Q20" s="3">
        <v>2.54</v>
      </c>
      <c r="U20" s="10"/>
      <c r="V20" s="4"/>
      <c r="W20" s="2">
        <v>119</v>
      </c>
      <c r="X20" s="2"/>
      <c r="Y20" s="2"/>
      <c r="Z20" s="6">
        <v>4.3600000000000003</v>
      </c>
    </row>
    <row r="21" spans="1:27" x14ac:dyDescent="0.25">
      <c r="A21" t="s">
        <v>46</v>
      </c>
      <c r="B21" s="1" t="s">
        <v>0</v>
      </c>
      <c r="C21">
        <v>63</v>
      </c>
      <c r="D21" s="2">
        <v>120</v>
      </c>
      <c r="E21" s="2">
        <v>28</v>
      </c>
      <c r="F21" t="s">
        <v>13</v>
      </c>
      <c r="G21" s="2"/>
      <c r="H21" s="2"/>
      <c r="I21" s="6">
        <v>9.9</v>
      </c>
      <c r="N21" s="2">
        <v>120</v>
      </c>
      <c r="P21" s="2"/>
      <c r="Q21" s="3">
        <v>3.02</v>
      </c>
      <c r="U21" s="10"/>
      <c r="V21" s="4"/>
      <c r="W21" s="2">
        <v>120</v>
      </c>
      <c r="X21" s="2"/>
      <c r="Y21" s="2"/>
      <c r="Z21" s="6">
        <v>5.56</v>
      </c>
    </row>
    <row r="22" spans="1:27" x14ac:dyDescent="0.25">
      <c r="A22" t="s">
        <v>46</v>
      </c>
      <c r="B22" s="1" t="s">
        <v>0</v>
      </c>
      <c r="C22">
        <v>63</v>
      </c>
      <c r="D22" s="2">
        <v>121</v>
      </c>
      <c r="E22" s="2">
        <v>27</v>
      </c>
      <c r="F22" t="s">
        <v>14</v>
      </c>
      <c r="G22" s="2">
        <v>895</v>
      </c>
      <c r="H22" s="2">
        <v>241</v>
      </c>
      <c r="I22" s="6">
        <v>8.36</v>
      </c>
      <c r="J22" s="4">
        <f>(H22-32)/(G22-32)</f>
        <v>0.24217844727694091</v>
      </c>
      <c r="N22" s="2">
        <v>121</v>
      </c>
      <c r="O22" s="2">
        <v>687</v>
      </c>
      <c r="P22" s="2">
        <v>277</v>
      </c>
      <c r="Q22" s="3">
        <v>2.9</v>
      </c>
      <c r="R22" s="4">
        <f>(P22-32)/(O22-32)</f>
        <v>0.37404580152671757</v>
      </c>
      <c r="U22" s="10"/>
      <c r="V22" s="4"/>
      <c r="W22" s="2">
        <v>121</v>
      </c>
      <c r="X22" s="2">
        <v>908</v>
      </c>
      <c r="Y22" s="2">
        <v>214</v>
      </c>
      <c r="Z22" s="6">
        <v>5.5</v>
      </c>
      <c r="AA22" s="4">
        <f>(Y22-32)/(X22-32)</f>
        <v>0.20776255707762556</v>
      </c>
    </row>
    <row r="23" spans="1:27" x14ac:dyDescent="0.25">
      <c r="A23" t="s">
        <v>46</v>
      </c>
      <c r="B23" s="1" t="s">
        <v>0</v>
      </c>
      <c r="C23">
        <v>63</v>
      </c>
      <c r="D23" s="2">
        <v>122</v>
      </c>
      <c r="E23" s="2">
        <v>11</v>
      </c>
      <c r="F23" t="s">
        <v>15</v>
      </c>
      <c r="G23" s="2"/>
      <c r="H23" s="2"/>
      <c r="I23" s="6">
        <v>13.12</v>
      </c>
      <c r="N23" s="2">
        <v>122</v>
      </c>
      <c r="P23" s="2"/>
      <c r="Q23" s="3">
        <v>3.54</v>
      </c>
      <c r="U23" s="10"/>
      <c r="V23" s="4"/>
      <c r="W23" s="2">
        <v>122</v>
      </c>
      <c r="X23" s="2"/>
      <c r="Y23" s="2"/>
      <c r="Z23" s="6">
        <v>5.82</v>
      </c>
    </row>
    <row r="24" spans="1:27" x14ac:dyDescent="0.25">
      <c r="A24" t="s">
        <v>46</v>
      </c>
      <c r="B24" s="1" t="s">
        <v>0</v>
      </c>
      <c r="C24">
        <v>63</v>
      </c>
      <c r="D24" s="2">
        <v>123</v>
      </c>
      <c r="E24" s="2">
        <v>7</v>
      </c>
      <c r="F24" t="s">
        <v>16</v>
      </c>
      <c r="G24" s="2"/>
      <c r="H24" s="2"/>
      <c r="I24" s="6">
        <v>14.5</v>
      </c>
      <c r="N24" s="2">
        <v>123</v>
      </c>
      <c r="P24" s="2"/>
      <c r="Q24" s="3">
        <v>3.48</v>
      </c>
      <c r="U24" s="10"/>
      <c r="V24" s="4"/>
      <c r="W24" s="2">
        <v>123</v>
      </c>
      <c r="X24" s="2"/>
      <c r="Y24" s="2"/>
      <c r="Z24" s="6">
        <v>4.8600000000000003</v>
      </c>
    </row>
    <row r="25" spans="1:27" x14ac:dyDescent="0.25">
      <c r="A25" t="s">
        <v>46</v>
      </c>
      <c r="B25" s="1" t="s">
        <v>0</v>
      </c>
      <c r="C25">
        <v>63</v>
      </c>
      <c r="D25" s="2">
        <v>124</v>
      </c>
      <c r="E25" s="2">
        <v>17</v>
      </c>
      <c r="F25" t="s">
        <v>17</v>
      </c>
      <c r="G25" s="2"/>
      <c r="H25" s="2"/>
      <c r="I25" s="6">
        <v>14.58</v>
      </c>
      <c r="N25" s="2">
        <v>124</v>
      </c>
      <c r="P25" s="2"/>
      <c r="Q25" s="3">
        <v>3.44</v>
      </c>
      <c r="U25" s="10"/>
      <c r="V25" s="4"/>
      <c r="W25" s="2">
        <v>124</v>
      </c>
      <c r="X25" s="2"/>
      <c r="Y25" s="2"/>
      <c r="Z25" s="6">
        <v>4.68</v>
      </c>
    </row>
    <row r="26" spans="1:27" x14ac:dyDescent="0.25">
      <c r="A26" t="s">
        <v>46</v>
      </c>
      <c r="B26" s="1" t="s">
        <v>0</v>
      </c>
      <c r="C26">
        <v>63</v>
      </c>
      <c r="D26" s="2">
        <v>125</v>
      </c>
      <c r="E26" s="2">
        <v>18</v>
      </c>
      <c r="F26" t="s">
        <v>18</v>
      </c>
      <c r="G26" s="2">
        <v>910</v>
      </c>
      <c r="H26" s="2">
        <v>270</v>
      </c>
      <c r="I26" s="6">
        <v>13.92</v>
      </c>
      <c r="J26" s="4">
        <f>(H26-32)/(G26-32)</f>
        <v>0.27107061503416857</v>
      </c>
      <c r="N26" s="2">
        <v>125</v>
      </c>
      <c r="O26" s="2">
        <v>593</v>
      </c>
      <c r="P26" s="2">
        <v>243</v>
      </c>
      <c r="Q26" s="3">
        <v>2.42</v>
      </c>
      <c r="R26" s="4">
        <f>(P26-32)/(O26-32)</f>
        <v>0.37611408199643492</v>
      </c>
      <c r="U26" s="10"/>
      <c r="V26" s="4"/>
      <c r="W26" s="2">
        <v>125</v>
      </c>
      <c r="X26" s="2">
        <v>931</v>
      </c>
      <c r="Y26" s="2">
        <v>229</v>
      </c>
      <c r="Z26" s="6">
        <v>5.0999999999999996</v>
      </c>
      <c r="AA26" s="4">
        <f>(Y26-32)/(X26-32)</f>
        <v>0.21913236929922136</v>
      </c>
    </row>
    <row r="27" spans="1:27" x14ac:dyDescent="0.25">
      <c r="A27" t="s">
        <v>46</v>
      </c>
      <c r="B27" s="1" t="s">
        <v>0</v>
      </c>
      <c r="C27">
        <v>63</v>
      </c>
      <c r="D27" s="2">
        <v>126</v>
      </c>
      <c r="E27" s="2">
        <v>2</v>
      </c>
      <c r="F27" t="s">
        <v>4</v>
      </c>
      <c r="G27" s="2"/>
      <c r="H27" s="2"/>
      <c r="I27" s="6">
        <v>14.5</v>
      </c>
      <c r="N27" s="2">
        <v>126</v>
      </c>
      <c r="P27" s="2"/>
      <c r="Q27" s="3">
        <v>2.06</v>
      </c>
      <c r="U27" s="10"/>
      <c r="V27" s="4"/>
      <c r="W27" s="2">
        <v>126</v>
      </c>
      <c r="X27" s="2"/>
      <c r="Y27" s="2"/>
      <c r="Z27" s="6">
        <v>4.92</v>
      </c>
    </row>
    <row r="28" spans="1:27" x14ac:dyDescent="0.25">
      <c r="A28" t="s">
        <v>46</v>
      </c>
      <c r="B28" s="1" t="s">
        <v>0</v>
      </c>
      <c r="C28">
        <v>63</v>
      </c>
      <c r="D28" s="2">
        <v>127</v>
      </c>
      <c r="E28" s="2">
        <v>9</v>
      </c>
      <c r="F28" t="s">
        <v>19</v>
      </c>
      <c r="G28" s="2"/>
      <c r="H28" s="2"/>
      <c r="I28" s="6">
        <v>11.36</v>
      </c>
      <c r="N28" s="2">
        <v>127</v>
      </c>
      <c r="P28" s="2"/>
      <c r="Q28" s="3">
        <v>1.96</v>
      </c>
      <c r="U28" s="10"/>
      <c r="V28" s="4"/>
      <c r="W28" s="2">
        <v>127</v>
      </c>
      <c r="X28" s="2"/>
      <c r="Y28" s="2"/>
      <c r="Z28" s="6">
        <v>3.72</v>
      </c>
    </row>
    <row r="29" spans="1:27" x14ac:dyDescent="0.25">
      <c r="A29" t="s">
        <v>46</v>
      </c>
      <c r="B29" s="1" t="s">
        <v>0</v>
      </c>
      <c r="C29">
        <v>63</v>
      </c>
      <c r="D29" s="2">
        <v>128</v>
      </c>
      <c r="E29" s="2">
        <v>15</v>
      </c>
      <c r="F29" t="s">
        <v>20</v>
      </c>
      <c r="G29" s="2"/>
      <c r="H29" s="2"/>
      <c r="I29" s="6">
        <v>12.7</v>
      </c>
      <c r="N29" s="2">
        <v>128</v>
      </c>
      <c r="P29" s="2"/>
      <c r="Q29" s="3">
        <v>1.94</v>
      </c>
      <c r="U29" s="10"/>
      <c r="V29" s="4"/>
      <c r="W29" s="2">
        <v>128</v>
      </c>
      <c r="X29" s="2"/>
      <c r="Y29" s="2"/>
      <c r="Z29" s="6">
        <v>3.76</v>
      </c>
    </row>
    <row r="30" spans="1:27" x14ac:dyDescent="0.25">
      <c r="A30" t="s">
        <v>46</v>
      </c>
      <c r="B30" s="1" t="s">
        <v>0</v>
      </c>
      <c r="C30">
        <v>63</v>
      </c>
      <c r="D30" s="2">
        <v>129</v>
      </c>
      <c r="E30" s="2">
        <v>26</v>
      </c>
      <c r="F30" t="s">
        <v>21</v>
      </c>
      <c r="G30" s="2">
        <v>904</v>
      </c>
      <c r="H30" s="2">
        <v>264</v>
      </c>
      <c r="I30" s="6">
        <v>16.28</v>
      </c>
      <c r="J30" s="4">
        <f>(H30-32)/(G30-32)</f>
        <v>0.26605504587155965</v>
      </c>
      <c r="N30" s="2">
        <v>129</v>
      </c>
      <c r="O30" s="2">
        <v>480</v>
      </c>
      <c r="P30" s="2">
        <v>192</v>
      </c>
      <c r="Q30" s="3">
        <v>1.7</v>
      </c>
      <c r="R30" s="4">
        <f>(P30-32)/(O30-32)</f>
        <v>0.35714285714285715</v>
      </c>
      <c r="U30" s="10"/>
      <c r="V30" s="4"/>
      <c r="W30" s="2">
        <v>129</v>
      </c>
      <c r="X30" s="2">
        <v>702</v>
      </c>
      <c r="Y30" s="2">
        <v>184</v>
      </c>
      <c r="Z30" s="6">
        <v>4.72</v>
      </c>
      <c r="AA30" s="4">
        <f>(Y30-32)/(X30-32)</f>
        <v>0.22686567164179106</v>
      </c>
    </row>
    <row r="31" spans="1:27" x14ac:dyDescent="0.25">
      <c r="A31" t="s">
        <v>46</v>
      </c>
      <c r="B31" s="1" t="s">
        <v>0</v>
      </c>
      <c r="C31">
        <v>63</v>
      </c>
      <c r="D31" s="2">
        <v>130</v>
      </c>
      <c r="E31" s="2">
        <v>21</v>
      </c>
      <c r="F31" t="s">
        <v>22</v>
      </c>
      <c r="G31" s="2"/>
      <c r="H31" s="2"/>
      <c r="I31" s="6">
        <v>14.76</v>
      </c>
      <c r="N31" s="2">
        <v>130</v>
      </c>
      <c r="P31" s="2"/>
      <c r="Q31" s="3">
        <v>1.48</v>
      </c>
      <c r="U31" s="10"/>
      <c r="V31" s="4"/>
      <c r="W31" s="2">
        <v>130</v>
      </c>
      <c r="X31" s="2"/>
      <c r="Y31" s="2"/>
      <c r="Z31" s="6">
        <v>4.88</v>
      </c>
    </row>
    <row r="32" spans="1:27" x14ac:dyDescent="0.25">
      <c r="A32" t="s">
        <v>46</v>
      </c>
      <c r="B32" s="1" t="s">
        <v>0</v>
      </c>
      <c r="C32">
        <v>63</v>
      </c>
      <c r="D32" s="2">
        <v>131</v>
      </c>
      <c r="E32" s="2">
        <v>33</v>
      </c>
      <c r="F32" t="s">
        <v>23</v>
      </c>
      <c r="G32" s="2"/>
      <c r="H32" s="2"/>
      <c r="I32" s="6">
        <v>13.12</v>
      </c>
      <c r="N32" s="2">
        <v>131</v>
      </c>
      <c r="P32" s="2"/>
      <c r="Q32" s="3">
        <v>2.96</v>
      </c>
      <c r="U32" s="10"/>
      <c r="V32" s="4"/>
      <c r="W32" s="2">
        <v>131</v>
      </c>
      <c r="X32" s="2"/>
      <c r="Y32" s="2"/>
      <c r="Z32" s="6">
        <v>3.86</v>
      </c>
    </row>
    <row r="33" spans="1:27" x14ac:dyDescent="0.25">
      <c r="A33" t="s">
        <v>46</v>
      </c>
      <c r="B33" s="1" t="s">
        <v>0</v>
      </c>
      <c r="C33">
        <v>63</v>
      </c>
      <c r="D33" s="2">
        <v>132</v>
      </c>
      <c r="E33" s="2">
        <v>13</v>
      </c>
      <c r="F33" t="s">
        <v>24</v>
      </c>
      <c r="G33" s="2"/>
      <c r="H33" s="2"/>
      <c r="I33" s="6">
        <v>11.74</v>
      </c>
      <c r="N33" s="2">
        <v>132</v>
      </c>
      <c r="P33" s="2"/>
      <c r="Q33" s="3">
        <v>2.7</v>
      </c>
      <c r="U33" s="10"/>
      <c r="V33" s="4"/>
      <c r="W33" s="2">
        <v>132</v>
      </c>
      <c r="X33" s="2"/>
      <c r="Y33" s="2"/>
      <c r="Z33" s="6">
        <v>3.5</v>
      </c>
    </row>
    <row r="34" spans="1:27" x14ac:dyDescent="0.25">
      <c r="A34" t="s">
        <v>46</v>
      </c>
      <c r="B34" s="1" t="s">
        <v>0</v>
      </c>
      <c r="C34">
        <v>63</v>
      </c>
      <c r="D34" s="2">
        <v>133</v>
      </c>
      <c r="E34" s="2">
        <v>1</v>
      </c>
      <c r="F34" t="s">
        <v>6</v>
      </c>
      <c r="G34" s="2">
        <v>990</v>
      </c>
      <c r="H34" s="2">
        <v>283</v>
      </c>
      <c r="I34" s="6">
        <v>13.88</v>
      </c>
      <c r="J34" s="4">
        <f>(H34-32)/(G34-32)</f>
        <v>0.26200417536534448</v>
      </c>
      <c r="N34" s="2">
        <v>133</v>
      </c>
      <c r="O34" s="2">
        <v>771</v>
      </c>
      <c r="P34" s="2">
        <v>303</v>
      </c>
      <c r="Q34" s="3">
        <v>3.42</v>
      </c>
      <c r="R34" s="4">
        <f>(P34-32)/(O34-32)</f>
        <v>0.36671177266576455</v>
      </c>
      <c r="U34" s="10"/>
      <c r="V34" s="4"/>
      <c r="W34" s="2">
        <v>133</v>
      </c>
      <c r="X34" s="2">
        <v>675</v>
      </c>
      <c r="Y34" s="2">
        <v>179</v>
      </c>
      <c r="Z34" s="6">
        <v>3.78</v>
      </c>
      <c r="AA34" s="4">
        <f>(Y34-32)/(X34-32)</f>
        <v>0.2286158631415241</v>
      </c>
    </row>
    <row r="35" spans="1:27" x14ac:dyDescent="0.25">
      <c r="A35" t="s">
        <v>46</v>
      </c>
      <c r="B35" s="1" t="s">
        <v>0</v>
      </c>
      <c r="C35">
        <v>63</v>
      </c>
      <c r="D35" s="2">
        <v>134</v>
      </c>
      <c r="E35" s="2">
        <v>14</v>
      </c>
      <c r="F35" t="s">
        <v>25</v>
      </c>
      <c r="G35" s="2"/>
      <c r="H35" s="2"/>
      <c r="I35" s="6">
        <v>12.92</v>
      </c>
      <c r="N35" s="2">
        <v>134</v>
      </c>
      <c r="P35" s="2"/>
      <c r="Q35" s="3">
        <v>2.92</v>
      </c>
      <c r="U35" s="10"/>
      <c r="V35" s="4"/>
      <c r="W35" s="2">
        <v>134</v>
      </c>
      <c r="X35" s="2"/>
      <c r="Y35" s="2"/>
      <c r="Z35" s="6">
        <v>3.52</v>
      </c>
    </row>
    <row r="36" spans="1:27" x14ac:dyDescent="0.25">
      <c r="A36" t="s">
        <v>46</v>
      </c>
      <c r="B36" s="1" t="s">
        <v>0</v>
      </c>
      <c r="C36">
        <v>63</v>
      </c>
      <c r="D36" s="2">
        <v>135</v>
      </c>
      <c r="E36" s="2">
        <v>3</v>
      </c>
      <c r="F36" t="s">
        <v>3</v>
      </c>
      <c r="G36" s="2"/>
      <c r="H36" s="2"/>
      <c r="I36" s="6">
        <v>13.78</v>
      </c>
      <c r="N36" s="2">
        <v>135</v>
      </c>
      <c r="P36" s="2"/>
      <c r="Q36" s="3">
        <v>3.16</v>
      </c>
      <c r="U36" s="10"/>
      <c r="V36" s="4"/>
      <c r="W36" s="2">
        <v>135</v>
      </c>
      <c r="X36" s="2"/>
      <c r="Y36" s="2"/>
      <c r="Z36" s="6">
        <v>3.92</v>
      </c>
    </row>
    <row r="37" spans="1:27" x14ac:dyDescent="0.25">
      <c r="A37" t="s">
        <v>46</v>
      </c>
      <c r="B37" s="1" t="s">
        <v>0</v>
      </c>
      <c r="C37">
        <v>63</v>
      </c>
      <c r="D37" s="2">
        <v>136</v>
      </c>
      <c r="E37" s="2">
        <v>35</v>
      </c>
      <c r="F37" s="7" t="s">
        <v>26</v>
      </c>
      <c r="G37" s="2"/>
      <c r="H37" s="2"/>
      <c r="I37" s="6">
        <v>14.2</v>
      </c>
      <c r="N37" s="2">
        <v>136</v>
      </c>
      <c r="P37" s="2"/>
      <c r="Q37" s="3">
        <v>3.4</v>
      </c>
      <c r="U37" s="10"/>
      <c r="V37" s="4"/>
      <c r="W37" s="2">
        <v>136</v>
      </c>
      <c r="X37" s="2"/>
      <c r="Y37" s="2"/>
      <c r="Z37" s="6">
        <v>4.62</v>
      </c>
    </row>
    <row r="38" spans="1:27" x14ac:dyDescent="0.25">
      <c r="A38" t="s">
        <v>46</v>
      </c>
      <c r="B38" s="1" t="s">
        <v>0</v>
      </c>
      <c r="C38">
        <v>63</v>
      </c>
      <c r="D38" s="2">
        <v>137</v>
      </c>
      <c r="E38" s="2">
        <v>36</v>
      </c>
      <c r="F38" t="s">
        <v>27</v>
      </c>
      <c r="G38" s="2">
        <v>818</v>
      </c>
      <c r="H38" s="2">
        <v>249</v>
      </c>
      <c r="I38" s="6">
        <v>14.9</v>
      </c>
      <c r="J38" s="4">
        <f>(H38-32)/(G38-32)</f>
        <v>0.27608142493638677</v>
      </c>
      <c r="N38" s="2">
        <v>137</v>
      </c>
      <c r="O38" s="2">
        <v>807</v>
      </c>
      <c r="P38" s="2">
        <v>320</v>
      </c>
      <c r="Q38" s="3">
        <v>3.74</v>
      </c>
      <c r="R38" s="4">
        <f>(P38-32)/(O38-32)</f>
        <v>0.37161290322580648</v>
      </c>
      <c r="U38" s="10"/>
      <c r="V38" s="4"/>
      <c r="W38" s="2">
        <v>137</v>
      </c>
      <c r="X38" s="2">
        <v>751</v>
      </c>
      <c r="Y38" s="2">
        <v>197</v>
      </c>
      <c r="Z38" s="6">
        <v>4.5199999999999996</v>
      </c>
      <c r="AA38" s="4">
        <f>(Y38-32)/(X38-32)</f>
        <v>0.22948539638386647</v>
      </c>
    </row>
    <row r="39" spans="1:27" x14ac:dyDescent="0.25">
      <c r="A39" t="s">
        <v>46</v>
      </c>
      <c r="B39" s="1" t="s">
        <v>0</v>
      </c>
      <c r="C39">
        <v>63</v>
      </c>
      <c r="D39" s="2">
        <v>138</v>
      </c>
      <c r="E39" s="2">
        <v>20</v>
      </c>
      <c r="F39" s="7" t="s">
        <v>28</v>
      </c>
      <c r="G39" s="2"/>
      <c r="H39" s="2"/>
      <c r="I39" s="6">
        <v>12.1</v>
      </c>
      <c r="N39" s="2">
        <v>138</v>
      </c>
      <c r="P39" s="2"/>
      <c r="Q39" s="3">
        <v>3.6</v>
      </c>
      <c r="U39" s="10"/>
      <c r="V39" s="4"/>
      <c r="W39" s="2">
        <v>138</v>
      </c>
      <c r="X39" s="2"/>
      <c r="Y39" s="2"/>
      <c r="Z39" s="6">
        <v>3.9</v>
      </c>
    </row>
    <row r="40" spans="1:27" x14ac:dyDescent="0.25">
      <c r="A40" t="s">
        <v>46</v>
      </c>
      <c r="B40" s="1" t="s">
        <v>0</v>
      </c>
      <c r="C40">
        <v>63</v>
      </c>
      <c r="D40" s="2">
        <v>139</v>
      </c>
      <c r="E40" s="2">
        <v>31</v>
      </c>
      <c r="F40" t="s">
        <v>29</v>
      </c>
      <c r="G40" s="2"/>
      <c r="H40" s="2"/>
      <c r="I40" s="6">
        <v>12.54</v>
      </c>
      <c r="N40" s="2">
        <v>139</v>
      </c>
      <c r="P40" s="2"/>
      <c r="Q40" s="3">
        <v>3.58</v>
      </c>
      <c r="U40" s="10"/>
      <c r="V40" s="4"/>
      <c r="W40" s="2">
        <v>139</v>
      </c>
      <c r="X40" s="2"/>
      <c r="Y40" s="2"/>
      <c r="Z40" s="6">
        <v>4.46</v>
      </c>
    </row>
    <row r="41" spans="1:27" x14ac:dyDescent="0.25">
      <c r="A41" t="s">
        <v>46</v>
      </c>
      <c r="B41" s="1" t="s">
        <v>0</v>
      </c>
      <c r="C41">
        <v>63</v>
      </c>
      <c r="D41" s="2">
        <v>140</v>
      </c>
      <c r="E41" s="2">
        <v>5</v>
      </c>
      <c r="F41" t="s">
        <v>5</v>
      </c>
      <c r="G41" s="2"/>
      <c r="H41" s="2"/>
      <c r="I41" s="6">
        <v>12.15</v>
      </c>
      <c r="N41" s="2">
        <v>140</v>
      </c>
      <c r="P41" s="2"/>
      <c r="Q41" s="3">
        <v>3.46</v>
      </c>
      <c r="U41" s="10"/>
      <c r="V41" s="4"/>
      <c r="W41" s="2">
        <v>140</v>
      </c>
      <c r="X41" s="2"/>
      <c r="Y41" s="2"/>
      <c r="Z41" s="6">
        <v>4.08</v>
      </c>
    </row>
    <row r="42" spans="1:27" x14ac:dyDescent="0.25">
      <c r="A42" t="s">
        <v>46</v>
      </c>
      <c r="B42" s="1" t="s">
        <v>0</v>
      </c>
      <c r="C42">
        <v>63</v>
      </c>
      <c r="D42" s="2">
        <v>141</v>
      </c>
      <c r="E42" s="2">
        <v>32</v>
      </c>
      <c r="F42" s="7" t="s">
        <v>30</v>
      </c>
      <c r="G42" s="2">
        <v>921</v>
      </c>
      <c r="H42" s="2">
        <v>260</v>
      </c>
      <c r="I42" s="6">
        <v>12.12</v>
      </c>
      <c r="J42" s="4">
        <f>(H42-32)/(G42-32)</f>
        <v>0.25646794150731156</v>
      </c>
      <c r="N42" s="2">
        <v>141</v>
      </c>
      <c r="O42" s="2">
        <v>667</v>
      </c>
      <c r="P42" s="2">
        <v>273</v>
      </c>
      <c r="Q42" s="3">
        <v>2.82</v>
      </c>
      <c r="R42" s="4">
        <f>(P42-32)/(O42-32)</f>
        <v>0.37952755905511809</v>
      </c>
      <c r="U42" s="10"/>
      <c r="V42" s="4"/>
      <c r="W42" s="2">
        <v>141</v>
      </c>
      <c r="X42" s="2">
        <v>563</v>
      </c>
      <c r="Y42" s="2">
        <v>156</v>
      </c>
      <c r="Z42" s="6">
        <v>3.78</v>
      </c>
      <c r="AA42" s="4">
        <f>(Y42-32)/(X42-32)</f>
        <v>0.2335216572504708</v>
      </c>
    </row>
    <row r="43" spans="1:27" x14ac:dyDescent="0.25">
      <c r="A43" t="s">
        <v>46</v>
      </c>
      <c r="B43" s="1" t="s">
        <v>0</v>
      </c>
      <c r="C43">
        <v>63</v>
      </c>
      <c r="D43" s="2">
        <v>142</v>
      </c>
      <c r="E43" s="2">
        <v>8</v>
      </c>
      <c r="F43" t="s">
        <v>31</v>
      </c>
      <c r="G43" s="2"/>
      <c r="H43" s="2"/>
      <c r="I43" s="6">
        <v>11.94</v>
      </c>
      <c r="N43" s="2">
        <v>142</v>
      </c>
      <c r="P43" s="2"/>
      <c r="Q43" s="3">
        <v>2.9</v>
      </c>
      <c r="U43" s="10"/>
      <c r="V43" s="4"/>
      <c r="W43" s="2">
        <v>142</v>
      </c>
      <c r="X43" s="2"/>
      <c r="Y43" s="2"/>
      <c r="Z43" s="6">
        <v>4.04</v>
      </c>
    </row>
    <row r="44" spans="1:27" x14ac:dyDescent="0.25">
      <c r="A44" t="s">
        <v>46</v>
      </c>
      <c r="B44" s="1" t="s">
        <v>0</v>
      </c>
      <c r="C44">
        <v>63</v>
      </c>
      <c r="D44" s="2">
        <v>143</v>
      </c>
      <c r="E44" s="2">
        <v>6</v>
      </c>
      <c r="F44" t="s">
        <v>1</v>
      </c>
      <c r="G44" s="2"/>
      <c r="H44" s="2"/>
      <c r="I44" s="6">
        <v>12.32</v>
      </c>
      <c r="N44" s="2">
        <v>143</v>
      </c>
      <c r="P44" s="2"/>
      <c r="Q44" s="3">
        <v>2.72</v>
      </c>
      <c r="U44" s="10"/>
      <c r="V44" s="4"/>
      <c r="W44" s="2">
        <v>143</v>
      </c>
      <c r="X44" s="2"/>
      <c r="Y44" s="2"/>
      <c r="Z44" s="6">
        <v>3.88</v>
      </c>
    </row>
    <row r="45" spans="1:27" x14ac:dyDescent="0.25">
      <c r="A45" t="s">
        <v>46</v>
      </c>
      <c r="B45" s="1" t="s">
        <v>0</v>
      </c>
      <c r="C45">
        <v>63</v>
      </c>
      <c r="D45" s="2">
        <v>144</v>
      </c>
      <c r="E45" s="2">
        <v>24</v>
      </c>
      <c r="F45" t="s">
        <v>32</v>
      </c>
      <c r="G45" s="2"/>
      <c r="H45" s="2"/>
      <c r="I45" s="6">
        <v>14.16</v>
      </c>
      <c r="N45" s="2">
        <v>144</v>
      </c>
      <c r="P45" s="2"/>
      <c r="Q45" s="3">
        <v>3.06</v>
      </c>
      <c r="U45" s="10"/>
      <c r="V45" s="4"/>
      <c r="W45" s="2">
        <v>144</v>
      </c>
      <c r="X45" s="2"/>
      <c r="Y45" s="2"/>
      <c r="Z45" s="6">
        <v>4.5199999999999996</v>
      </c>
    </row>
    <row r="46" spans="1:27" x14ac:dyDescent="0.25">
      <c r="A46" t="s">
        <v>46</v>
      </c>
      <c r="B46" s="1" t="s">
        <v>0</v>
      </c>
      <c r="C46">
        <v>63</v>
      </c>
      <c r="D46" s="2">
        <v>145</v>
      </c>
      <c r="E46" s="2">
        <v>12</v>
      </c>
      <c r="F46" t="s">
        <v>33</v>
      </c>
      <c r="G46" s="2">
        <v>953</v>
      </c>
      <c r="H46" s="2">
        <v>266</v>
      </c>
      <c r="I46" s="6">
        <v>15.98</v>
      </c>
      <c r="J46" s="4">
        <f>(H46-32)/(G46-32)</f>
        <v>0.25407166123778502</v>
      </c>
      <c r="N46" s="2">
        <v>145</v>
      </c>
      <c r="O46" s="2">
        <v>641</v>
      </c>
      <c r="P46" s="2">
        <v>263</v>
      </c>
      <c r="Q46" s="3">
        <v>3.6</v>
      </c>
      <c r="R46" s="4">
        <f>(P46-32)/(O46-32)</f>
        <v>0.37931034482758619</v>
      </c>
      <c r="U46" s="10"/>
      <c r="V46" s="4"/>
      <c r="W46" s="2">
        <v>145</v>
      </c>
      <c r="X46" s="2">
        <v>681</v>
      </c>
      <c r="Y46" s="2">
        <v>182</v>
      </c>
      <c r="Z46" s="6">
        <v>4.0199999999999996</v>
      </c>
      <c r="AA46" s="4">
        <f>(Y46-32)/(X46-32)</f>
        <v>0.23112480739599384</v>
      </c>
    </row>
    <row r="47" spans="1:27" x14ac:dyDescent="0.25">
      <c r="A47" t="s">
        <v>46</v>
      </c>
      <c r="B47" s="1" t="s">
        <v>0</v>
      </c>
      <c r="C47">
        <v>63</v>
      </c>
      <c r="D47" s="2">
        <v>146</v>
      </c>
      <c r="E47" s="2">
        <v>34</v>
      </c>
      <c r="F47" s="7" t="s">
        <v>34</v>
      </c>
      <c r="G47" s="2"/>
      <c r="H47" s="2"/>
      <c r="I47" s="6">
        <v>17.02</v>
      </c>
      <c r="N47" s="2">
        <v>146</v>
      </c>
      <c r="P47" s="2"/>
      <c r="Q47" s="3">
        <v>4.0199999999999996</v>
      </c>
      <c r="U47" s="10"/>
      <c r="V47" s="4"/>
      <c r="W47" s="2">
        <v>146</v>
      </c>
      <c r="X47" s="2"/>
      <c r="Y47" s="2"/>
      <c r="Z47" s="6">
        <v>4.4800000000000004</v>
      </c>
    </row>
    <row r="48" spans="1:27" x14ac:dyDescent="0.25">
      <c r="A48" t="s">
        <v>46</v>
      </c>
      <c r="B48" s="1" t="s">
        <v>0</v>
      </c>
      <c r="C48">
        <v>63</v>
      </c>
      <c r="D48" s="2">
        <v>147</v>
      </c>
      <c r="E48" s="2">
        <v>10</v>
      </c>
      <c r="F48" t="s">
        <v>35</v>
      </c>
      <c r="G48" s="2"/>
      <c r="H48" s="2"/>
      <c r="I48" s="6">
        <v>14.92</v>
      </c>
      <c r="N48" s="2">
        <v>147</v>
      </c>
      <c r="P48" s="2"/>
      <c r="Q48" s="3">
        <v>3.08</v>
      </c>
      <c r="U48" s="10"/>
      <c r="V48" s="4"/>
      <c r="W48" s="2">
        <v>147</v>
      </c>
      <c r="X48" s="2"/>
      <c r="Y48" s="2"/>
      <c r="Z48" s="6">
        <v>3.94</v>
      </c>
    </row>
    <row r="49" spans="1:27" x14ac:dyDescent="0.25">
      <c r="A49" t="s">
        <v>46</v>
      </c>
      <c r="B49" s="1" t="s">
        <v>0</v>
      </c>
      <c r="C49">
        <v>63</v>
      </c>
      <c r="D49" s="2">
        <v>148</v>
      </c>
      <c r="E49" s="2">
        <v>23</v>
      </c>
      <c r="F49" t="s">
        <v>36</v>
      </c>
      <c r="G49" s="2"/>
      <c r="H49" s="2"/>
      <c r="I49" s="6">
        <v>13.16</v>
      </c>
      <c r="N49" s="2">
        <v>148</v>
      </c>
      <c r="P49" s="2"/>
      <c r="Q49" s="3">
        <v>2.52</v>
      </c>
      <c r="U49" s="10"/>
      <c r="V49" s="4"/>
      <c r="W49" s="2">
        <v>148</v>
      </c>
      <c r="X49" s="2"/>
      <c r="Y49" s="2"/>
      <c r="Z49" s="6">
        <v>3.96</v>
      </c>
    </row>
    <row r="50" spans="1:27" x14ac:dyDescent="0.25">
      <c r="A50" t="s">
        <v>46</v>
      </c>
      <c r="B50" s="1" t="s">
        <v>0</v>
      </c>
      <c r="C50">
        <v>63</v>
      </c>
      <c r="D50" s="2">
        <v>201</v>
      </c>
      <c r="E50" s="2">
        <v>6</v>
      </c>
      <c r="F50" t="s">
        <v>1</v>
      </c>
      <c r="G50" s="2">
        <v>893</v>
      </c>
      <c r="H50" s="2">
        <v>256</v>
      </c>
      <c r="I50" s="6">
        <v>10.56</v>
      </c>
      <c r="J50" s="4">
        <f>(H50-32)/(G50-32)</f>
        <v>0.26016260162601629</v>
      </c>
      <c r="K50" s="10">
        <v>116</v>
      </c>
      <c r="L50" s="4">
        <f>(I50+(((K50-32)/454)/J50))</f>
        <v>11.271178414096916</v>
      </c>
      <c r="N50" s="2">
        <v>201</v>
      </c>
      <c r="P50" s="2"/>
      <c r="U50" s="10"/>
      <c r="V50" s="4"/>
      <c r="W50" s="2">
        <v>201</v>
      </c>
      <c r="X50" s="2">
        <v>869</v>
      </c>
      <c r="Y50" s="2">
        <v>170</v>
      </c>
      <c r="Z50" s="6">
        <v>4.9800000000000004</v>
      </c>
      <c r="AA50" s="4">
        <f>(Y50-32)/(X50-32)</f>
        <v>0.16487455197132617</v>
      </c>
    </row>
    <row r="51" spans="1:27" x14ac:dyDescent="0.25">
      <c r="A51" t="s">
        <v>46</v>
      </c>
      <c r="B51" s="1" t="s">
        <v>0</v>
      </c>
      <c r="C51">
        <v>63</v>
      </c>
      <c r="D51" s="2">
        <v>202</v>
      </c>
      <c r="E51" s="2">
        <v>5</v>
      </c>
      <c r="F51" t="s">
        <v>5</v>
      </c>
      <c r="G51" s="2"/>
      <c r="H51" s="2"/>
      <c r="I51" s="6">
        <v>10.36</v>
      </c>
      <c r="K51" s="10">
        <v>72</v>
      </c>
      <c r="N51" s="2">
        <v>202</v>
      </c>
      <c r="P51" s="2"/>
      <c r="U51" s="10"/>
      <c r="V51" s="4"/>
      <c r="W51" s="2">
        <v>202</v>
      </c>
      <c r="X51" s="2"/>
      <c r="Y51" s="2"/>
      <c r="Z51" s="6">
        <v>5.82</v>
      </c>
    </row>
    <row r="52" spans="1:27" x14ac:dyDescent="0.25">
      <c r="A52" t="s">
        <v>46</v>
      </c>
      <c r="B52" s="1" t="s">
        <v>0</v>
      </c>
      <c r="C52">
        <v>63</v>
      </c>
      <c r="D52" s="2">
        <v>203</v>
      </c>
      <c r="E52" s="2">
        <v>4</v>
      </c>
      <c r="F52" t="s">
        <v>2</v>
      </c>
      <c r="G52" s="2"/>
      <c r="H52" s="2"/>
      <c r="I52" s="6">
        <v>10.28</v>
      </c>
      <c r="K52" s="10">
        <v>89</v>
      </c>
      <c r="N52" s="2">
        <v>203</v>
      </c>
      <c r="P52" s="2"/>
      <c r="U52" s="10"/>
      <c r="V52" s="4"/>
      <c r="W52" s="2">
        <v>203</v>
      </c>
      <c r="X52" s="2"/>
      <c r="Y52" s="2"/>
      <c r="Z52" s="6">
        <v>6.2</v>
      </c>
    </row>
    <row r="53" spans="1:27" x14ac:dyDescent="0.25">
      <c r="A53" t="s">
        <v>46</v>
      </c>
      <c r="B53" s="1" t="s">
        <v>0</v>
      </c>
      <c r="C53">
        <v>63</v>
      </c>
      <c r="D53" s="2">
        <v>204</v>
      </c>
      <c r="E53" s="2">
        <v>2</v>
      </c>
      <c r="F53" t="s">
        <v>4</v>
      </c>
      <c r="G53" s="2"/>
      <c r="H53" s="2"/>
      <c r="I53" s="6">
        <v>12.18</v>
      </c>
      <c r="K53" s="10">
        <v>119</v>
      </c>
      <c r="N53" s="2">
        <v>204</v>
      </c>
      <c r="P53" s="2"/>
      <c r="U53" s="10"/>
      <c r="V53" s="4"/>
      <c r="W53" s="2">
        <v>204</v>
      </c>
      <c r="X53" s="2"/>
      <c r="Y53" s="2"/>
      <c r="Z53" s="6">
        <v>5.62</v>
      </c>
    </row>
    <row r="54" spans="1:27" x14ac:dyDescent="0.25">
      <c r="A54" t="s">
        <v>46</v>
      </c>
      <c r="B54" s="1" t="s">
        <v>0</v>
      </c>
      <c r="C54">
        <v>63</v>
      </c>
      <c r="D54" s="2">
        <v>205</v>
      </c>
      <c r="E54" s="2">
        <v>1</v>
      </c>
      <c r="F54" t="s">
        <v>6</v>
      </c>
      <c r="G54" s="2">
        <v>739</v>
      </c>
      <c r="H54" s="2">
        <v>213</v>
      </c>
      <c r="I54" s="6">
        <v>11.46</v>
      </c>
      <c r="J54" s="4">
        <f>(H54-32)/(G54-32)</f>
        <v>0.25601131541725602</v>
      </c>
      <c r="K54" s="10">
        <v>108</v>
      </c>
      <c r="N54" s="2">
        <v>205</v>
      </c>
      <c r="P54" s="2"/>
      <c r="U54" s="10"/>
      <c r="V54" s="4"/>
      <c r="W54" s="2">
        <v>205</v>
      </c>
      <c r="X54" s="2">
        <v>803</v>
      </c>
      <c r="Y54" s="2">
        <v>164</v>
      </c>
      <c r="Z54" s="6">
        <v>5.8</v>
      </c>
      <c r="AA54" s="4">
        <f>(Y54-32)/(X54-32)</f>
        <v>0.17120622568093385</v>
      </c>
    </row>
    <row r="55" spans="1:27" x14ac:dyDescent="0.25">
      <c r="A55" t="s">
        <v>46</v>
      </c>
      <c r="B55" s="1" t="s">
        <v>0</v>
      </c>
      <c r="C55">
        <v>63</v>
      </c>
      <c r="D55" s="2">
        <v>206</v>
      </c>
      <c r="E55" s="2">
        <v>3</v>
      </c>
      <c r="F55" t="s">
        <v>3</v>
      </c>
      <c r="G55" s="2"/>
      <c r="H55" s="2"/>
      <c r="I55" s="6">
        <v>11.1</v>
      </c>
      <c r="K55" s="10">
        <v>96</v>
      </c>
      <c r="N55" s="2">
        <v>206</v>
      </c>
      <c r="P55" s="2"/>
      <c r="U55" s="10"/>
      <c r="V55" s="4"/>
      <c r="W55" s="2">
        <v>206</v>
      </c>
      <c r="X55" s="2"/>
      <c r="Y55" s="2"/>
      <c r="Z55" s="6">
        <v>5.28</v>
      </c>
    </row>
    <row r="56" spans="1:27" x14ac:dyDescent="0.25">
      <c r="A56" t="s">
        <v>46</v>
      </c>
      <c r="B56" s="1" t="s">
        <v>0</v>
      </c>
      <c r="C56">
        <v>63</v>
      </c>
      <c r="D56" s="2">
        <v>207</v>
      </c>
      <c r="E56" s="2">
        <v>1</v>
      </c>
      <c r="F56" t="s">
        <v>6</v>
      </c>
      <c r="G56" s="2"/>
      <c r="H56" s="2"/>
      <c r="I56" s="6">
        <v>11.88</v>
      </c>
      <c r="K56" s="10">
        <v>87</v>
      </c>
      <c r="N56" s="2">
        <v>207</v>
      </c>
      <c r="P56" s="2"/>
      <c r="U56" s="10"/>
      <c r="V56" s="4"/>
      <c r="W56" s="2">
        <v>207</v>
      </c>
      <c r="X56" s="2"/>
      <c r="Y56" s="2"/>
      <c r="Z56" s="6">
        <v>6.64</v>
      </c>
    </row>
    <row r="57" spans="1:27" x14ac:dyDescent="0.25">
      <c r="A57" t="s">
        <v>46</v>
      </c>
      <c r="B57" s="1" t="s">
        <v>0</v>
      </c>
      <c r="C57">
        <v>63</v>
      </c>
      <c r="D57" s="2">
        <v>208</v>
      </c>
      <c r="E57" s="2">
        <v>5</v>
      </c>
      <c r="F57" t="s">
        <v>5</v>
      </c>
      <c r="G57" s="2"/>
      <c r="H57" s="2"/>
      <c r="I57" s="6">
        <v>12.04</v>
      </c>
      <c r="K57" s="10">
        <v>108</v>
      </c>
      <c r="N57" s="2">
        <v>208</v>
      </c>
      <c r="P57" s="2"/>
      <c r="U57" s="10"/>
      <c r="V57" s="4"/>
      <c r="W57" s="2">
        <v>208</v>
      </c>
      <c r="X57" s="2"/>
      <c r="Y57" s="2"/>
      <c r="Z57" s="6">
        <v>6.44</v>
      </c>
    </row>
    <row r="58" spans="1:27" x14ac:dyDescent="0.25">
      <c r="A58" t="s">
        <v>46</v>
      </c>
      <c r="B58" s="1" t="s">
        <v>0</v>
      </c>
      <c r="C58">
        <v>63</v>
      </c>
      <c r="D58" s="2">
        <v>209</v>
      </c>
      <c r="E58" s="2">
        <v>3</v>
      </c>
      <c r="F58" t="s">
        <v>3</v>
      </c>
      <c r="G58" s="2">
        <v>832</v>
      </c>
      <c r="H58" s="2">
        <v>251</v>
      </c>
      <c r="I58" s="6">
        <v>14.02</v>
      </c>
      <c r="J58" s="4">
        <f>(H58-32)/(G58-32)</f>
        <v>0.27374999999999999</v>
      </c>
      <c r="K58" s="10">
        <v>91</v>
      </c>
      <c r="N58" s="2">
        <v>209</v>
      </c>
      <c r="P58" s="2"/>
      <c r="U58" s="10"/>
      <c r="V58" s="4"/>
      <c r="W58" s="2">
        <v>209</v>
      </c>
      <c r="X58" s="2">
        <v>836</v>
      </c>
      <c r="Y58" s="2">
        <v>163</v>
      </c>
      <c r="Z58" s="6">
        <v>5.92</v>
      </c>
      <c r="AA58" s="4">
        <f>(Y58-32)/(X58-32)</f>
        <v>0.16293532338308458</v>
      </c>
    </row>
    <row r="59" spans="1:27" x14ac:dyDescent="0.25">
      <c r="A59" t="s">
        <v>46</v>
      </c>
      <c r="B59" s="1" t="s">
        <v>0</v>
      </c>
      <c r="C59">
        <v>63</v>
      </c>
      <c r="D59" s="2">
        <v>210</v>
      </c>
      <c r="E59" s="2">
        <v>4</v>
      </c>
      <c r="F59" t="s">
        <v>2</v>
      </c>
      <c r="G59" s="2"/>
      <c r="H59" s="2"/>
      <c r="I59" s="6">
        <v>12.38</v>
      </c>
      <c r="K59" s="10">
        <v>88</v>
      </c>
      <c r="N59" s="2">
        <v>210</v>
      </c>
      <c r="P59" s="2"/>
      <c r="U59" s="10"/>
      <c r="V59" s="4"/>
      <c r="W59" s="2">
        <v>210</v>
      </c>
      <c r="X59" s="2"/>
      <c r="Y59" s="2"/>
      <c r="Z59" s="6">
        <v>6.28</v>
      </c>
    </row>
    <row r="60" spans="1:27" x14ac:dyDescent="0.25">
      <c r="A60" t="s">
        <v>46</v>
      </c>
      <c r="B60" s="1" t="s">
        <v>0</v>
      </c>
      <c r="C60">
        <v>63</v>
      </c>
      <c r="D60" s="2">
        <v>211</v>
      </c>
      <c r="E60" s="2">
        <v>6</v>
      </c>
      <c r="F60" t="s">
        <v>1</v>
      </c>
      <c r="G60" s="2"/>
      <c r="H60" s="2"/>
      <c r="I60" s="6">
        <v>12.48</v>
      </c>
      <c r="K60" s="10">
        <v>114</v>
      </c>
      <c r="N60" s="2">
        <v>211</v>
      </c>
      <c r="P60" s="2"/>
      <c r="U60" s="10"/>
      <c r="V60" s="4"/>
      <c r="W60" s="2">
        <v>211</v>
      </c>
      <c r="X60" s="2"/>
      <c r="Y60" s="2"/>
      <c r="Z60" s="6">
        <v>5.54</v>
      </c>
    </row>
    <row r="61" spans="1:27" x14ac:dyDescent="0.25">
      <c r="A61" t="s">
        <v>46</v>
      </c>
      <c r="B61" s="1" t="s">
        <v>0</v>
      </c>
      <c r="C61">
        <v>63</v>
      </c>
      <c r="D61" s="2">
        <v>212</v>
      </c>
      <c r="E61" s="2">
        <v>2</v>
      </c>
      <c r="F61" t="s">
        <v>4</v>
      </c>
      <c r="G61" s="2"/>
      <c r="H61" s="2"/>
      <c r="I61" s="6">
        <v>13.44</v>
      </c>
      <c r="K61" s="10">
        <v>99</v>
      </c>
      <c r="N61" s="2">
        <v>212</v>
      </c>
      <c r="P61" s="2"/>
      <c r="U61" s="10"/>
      <c r="V61" s="4"/>
      <c r="W61" s="2">
        <v>212</v>
      </c>
      <c r="X61" s="2"/>
      <c r="Y61" s="2"/>
      <c r="Z61" s="6">
        <v>6.58</v>
      </c>
    </row>
    <row r="62" spans="1:27" x14ac:dyDescent="0.25">
      <c r="A62" t="s">
        <v>46</v>
      </c>
      <c r="B62" s="1" t="s">
        <v>0</v>
      </c>
      <c r="C62">
        <v>63</v>
      </c>
      <c r="D62" s="2">
        <v>213</v>
      </c>
      <c r="E62" s="2">
        <v>24</v>
      </c>
      <c r="F62" t="s">
        <v>32</v>
      </c>
      <c r="G62" s="2">
        <v>894</v>
      </c>
      <c r="H62" s="2">
        <v>245</v>
      </c>
      <c r="I62" s="6">
        <v>12.76</v>
      </c>
      <c r="J62" s="4">
        <f>(H62-32)/(G62-32)</f>
        <v>0.24709976798143851</v>
      </c>
      <c r="K62" s="10">
        <v>103</v>
      </c>
      <c r="N62" s="2">
        <v>213</v>
      </c>
      <c r="O62" s="2">
        <v>582</v>
      </c>
      <c r="P62" s="2">
        <v>255</v>
      </c>
      <c r="Q62" s="3">
        <v>2.86</v>
      </c>
      <c r="R62" s="4">
        <f>(P62-32)/(O62-32)</f>
        <v>0.40545454545454546</v>
      </c>
      <c r="S62" s="10">
        <v>139</v>
      </c>
      <c r="U62" s="10"/>
      <c r="V62" s="4"/>
      <c r="W62" s="2">
        <v>213</v>
      </c>
      <c r="X62" s="2">
        <v>944</v>
      </c>
      <c r="Y62" s="2">
        <v>204</v>
      </c>
      <c r="Z62" s="6">
        <v>6.32</v>
      </c>
      <c r="AA62" s="4">
        <f>(Y62-32)/(X62-32)</f>
        <v>0.18859649122807018</v>
      </c>
    </row>
    <row r="63" spans="1:27" x14ac:dyDescent="0.25">
      <c r="A63" t="s">
        <v>46</v>
      </c>
      <c r="B63" s="1" t="s">
        <v>0</v>
      </c>
      <c r="C63">
        <v>63</v>
      </c>
      <c r="D63" s="2">
        <v>214</v>
      </c>
      <c r="E63" s="2">
        <v>31</v>
      </c>
      <c r="F63" t="s">
        <v>29</v>
      </c>
      <c r="G63" s="2"/>
      <c r="H63" s="2"/>
      <c r="I63" s="6">
        <v>11.64</v>
      </c>
      <c r="K63" s="10">
        <v>98</v>
      </c>
      <c r="N63" s="2">
        <v>214</v>
      </c>
      <c r="P63" s="2"/>
      <c r="Q63" s="3">
        <v>3.26</v>
      </c>
      <c r="S63" s="10">
        <v>105</v>
      </c>
      <c r="U63" s="10"/>
      <c r="V63" s="4"/>
      <c r="W63" s="2">
        <v>214</v>
      </c>
      <c r="X63" s="2"/>
      <c r="Y63" s="2"/>
      <c r="Z63" s="6">
        <v>7.5</v>
      </c>
    </row>
    <row r="64" spans="1:27" x14ac:dyDescent="0.25">
      <c r="A64" t="s">
        <v>46</v>
      </c>
      <c r="B64" s="1" t="s">
        <v>0</v>
      </c>
      <c r="C64">
        <v>63</v>
      </c>
      <c r="D64" s="2">
        <v>215</v>
      </c>
      <c r="E64" s="2">
        <v>8</v>
      </c>
      <c r="F64" t="s">
        <v>31</v>
      </c>
      <c r="G64" s="2"/>
      <c r="H64" s="2"/>
      <c r="I64" s="6">
        <v>12.76</v>
      </c>
      <c r="K64" s="10">
        <v>96</v>
      </c>
      <c r="N64" s="2">
        <v>215</v>
      </c>
      <c r="P64" s="2"/>
      <c r="Q64" s="3">
        <v>3.14</v>
      </c>
      <c r="S64" s="10">
        <v>158</v>
      </c>
      <c r="U64" s="10"/>
      <c r="V64" s="4"/>
      <c r="W64" s="2">
        <v>215</v>
      </c>
      <c r="X64" s="2"/>
      <c r="Y64" s="2"/>
      <c r="Z64" s="6">
        <v>5.74</v>
      </c>
    </row>
    <row r="65" spans="1:28" x14ac:dyDescent="0.25">
      <c r="A65" t="s">
        <v>46</v>
      </c>
      <c r="B65" s="1" t="s">
        <v>0</v>
      </c>
      <c r="C65">
        <v>63</v>
      </c>
      <c r="D65" s="2">
        <v>216</v>
      </c>
      <c r="E65" s="2">
        <v>29</v>
      </c>
      <c r="F65" t="s">
        <v>11</v>
      </c>
      <c r="G65" s="2"/>
      <c r="H65" s="2"/>
      <c r="I65" s="6">
        <v>13.14</v>
      </c>
      <c r="K65" s="10">
        <v>104</v>
      </c>
      <c r="N65" s="2">
        <v>216</v>
      </c>
      <c r="P65" s="2"/>
      <c r="Q65" s="3">
        <v>3.16</v>
      </c>
      <c r="S65" s="10">
        <v>146</v>
      </c>
      <c r="U65" s="10"/>
      <c r="V65" s="4"/>
      <c r="W65" s="2">
        <v>216</v>
      </c>
      <c r="X65" s="2"/>
      <c r="Y65" s="2"/>
      <c r="Z65" s="6">
        <v>6.1</v>
      </c>
    </row>
    <row r="66" spans="1:28" x14ac:dyDescent="0.25">
      <c r="A66" t="s">
        <v>46</v>
      </c>
      <c r="B66" s="1" t="s">
        <v>0</v>
      </c>
      <c r="C66">
        <v>63</v>
      </c>
      <c r="D66" s="2">
        <v>217</v>
      </c>
      <c r="E66" s="2">
        <v>26</v>
      </c>
      <c r="F66" t="s">
        <v>21</v>
      </c>
      <c r="G66" s="2">
        <v>859</v>
      </c>
      <c r="H66" s="2">
        <v>240</v>
      </c>
      <c r="I66" s="6">
        <v>14.58</v>
      </c>
      <c r="J66" s="4">
        <f>(H66-32)/(G66-32)</f>
        <v>0.25151148730350664</v>
      </c>
      <c r="K66" s="10">
        <v>114</v>
      </c>
      <c r="N66" s="2">
        <v>217</v>
      </c>
      <c r="O66" s="2">
        <v>706</v>
      </c>
      <c r="P66" s="2">
        <v>292</v>
      </c>
      <c r="Q66" s="3">
        <v>3.1</v>
      </c>
      <c r="R66" s="4">
        <f>(P66-32)/(O66-32)</f>
        <v>0.3857566765578635</v>
      </c>
      <c r="S66" s="10">
        <v>114</v>
      </c>
      <c r="U66" s="10"/>
      <c r="V66" s="4"/>
      <c r="W66" s="2">
        <v>217</v>
      </c>
      <c r="X66" s="2">
        <v>841</v>
      </c>
      <c r="Y66" s="2">
        <v>183</v>
      </c>
      <c r="Z66" s="6">
        <v>6.32</v>
      </c>
      <c r="AA66" s="4">
        <f>(Y66-32)/(X66-32)</f>
        <v>0.18665018541409148</v>
      </c>
    </row>
    <row r="67" spans="1:28" x14ac:dyDescent="0.25">
      <c r="A67" t="s">
        <v>46</v>
      </c>
      <c r="B67" s="1" t="s">
        <v>0</v>
      </c>
      <c r="C67">
        <v>63</v>
      </c>
      <c r="D67" s="2">
        <v>218</v>
      </c>
      <c r="E67" s="2">
        <v>28</v>
      </c>
      <c r="F67" t="s">
        <v>13</v>
      </c>
      <c r="G67" s="2"/>
      <c r="H67" s="2"/>
      <c r="I67" s="6">
        <v>11.72</v>
      </c>
      <c r="K67" s="10">
        <v>98</v>
      </c>
      <c r="N67" s="2">
        <v>218</v>
      </c>
      <c r="P67" s="2"/>
      <c r="Q67" s="3">
        <v>3.88</v>
      </c>
      <c r="S67" s="10">
        <v>170</v>
      </c>
      <c r="U67" s="10"/>
      <c r="V67" s="4"/>
      <c r="W67" s="2">
        <v>218</v>
      </c>
      <c r="X67" s="2"/>
      <c r="Y67" s="2"/>
      <c r="Z67" s="6">
        <v>6.48</v>
      </c>
    </row>
    <row r="68" spans="1:28" x14ac:dyDescent="0.25">
      <c r="A68" t="s">
        <v>46</v>
      </c>
      <c r="B68" s="1" t="s">
        <v>0</v>
      </c>
      <c r="C68">
        <v>63</v>
      </c>
      <c r="D68" s="2">
        <v>219</v>
      </c>
      <c r="E68" s="2">
        <v>9</v>
      </c>
      <c r="F68" t="s">
        <v>19</v>
      </c>
      <c r="G68" s="2"/>
      <c r="H68" s="2"/>
      <c r="I68" s="6">
        <v>11.72</v>
      </c>
      <c r="K68" s="10">
        <v>109</v>
      </c>
      <c r="N68" s="2">
        <v>219</v>
      </c>
      <c r="P68" s="2"/>
      <c r="Q68" s="3">
        <v>4.16</v>
      </c>
      <c r="S68" s="10">
        <v>136</v>
      </c>
      <c r="U68" s="10"/>
      <c r="V68" s="4"/>
      <c r="W68" s="2">
        <v>219</v>
      </c>
      <c r="X68" s="2"/>
      <c r="Y68" s="2"/>
      <c r="Z68" s="6">
        <v>7.04</v>
      </c>
    </row>
    <row r="69" spans="1:28" x14ac:dyDescent="0.25">
      <c r="A69" t="s">
        <v>46</v>
      </c>
      <c r="B69" s="1" t="s">
        <v>0</v>
      </c>
      <c r="C69">
        <v>63</v>
      </c>
      <c r="D69" s="2">
        <v>220</v>
      </c>
      <c r="E69" s="2">
        <v>18</v>
      </c>
      <c r="F69" t="s">
        <v>18</v>
      </c>
      <c r="G69" s="2"/>
      <c r="H69" s="2"/>
      <c r="I69" s="6">
        <v>10.74</v>
      </c>
      <c r="K69" s="10">
        <v>95</v>
      </c>
      <c r="N69" s="2">
        <v>220</v>
      </c>
      <c r="P69" s="2"/>
      <c r="Q69" s="3">
        <v>3.92</v>
      </c>
      <c r="S69" s="10">
        <v>153</v>
      </c>
      <c r="U69" s="10"/>
      <c r="V69" s="4"/>
      <c r="W69" s="2">
        <v>220</v>
      </c>
      <c r="X69" s="2"/>
      <c r="Y69" s="2"/>
      <c r="Z69" s="6">
        <v>7.12</v>
      </c>
    </row>
    <row r="70" spans="1:28" x14ac:dyDescent="0.25">
      <c r="A70" t="s">
        <v>46</v>
      </c>
      <c r="B70" s="1" t="s">
        <v>0</v>
      </c>
      <c r="C70">
        <v>63</v>
      </c>
      <c r="D70" s="2">
        <v>221</v>
      </c>
      <c r="E70" s="2">
        <v>5</v>
      </c>
      <c r="F70" t="s">
        <v>5</v>
      </c>
      <c r="G70" s="2">
        <v>981</v>
      </c>
      <c r="H70" s="2">
        <v>254</v>
      </c>
      <c r="I70" s="6">
        <v>11.24</v>
      </c>
      <c r="J70" s="4">
        <f>(H70-32)/(G70-32)</f>
        <v>0.2339304531085353</v>
      </c>
      <c r="K70" s="10">
        <v>104</v>
      </c>
      <c r="N70" s="2">
        <v>221</v>
      </c>
      <c r="O70" s="2">
        <v>740</v>
      </c>
      <c r="P70" s="2">
        <v>286</v>
      </c>
      <c r="Q70" s="3">
        <v>5.42</v>
      </c>
      <c r="R70" s="4">
        <f>(P70-32)/(O70-32)</f>
        <v>0.35875706214689268</v>
      </c>
      <c r="S70" s="10">
        <v>124</v>
      </c>
      <c r="U70" s="10"/>
      <c r="V70" s="4"/>
      <c r="W70" s="2">
        <v>221</v>
      </c>
      <c r="X70" s="2">
        <v>852</v>
      </c>
      <c r="Y70" s="2">
        <v>189</v>
      </c>
      <c r="Z70" s="6">
        <v>6.28</v>
      </c>
      <c r="AA70" s="4">
        <f>(Y70-32)/(X70-32)</f>
        <v>0.19146341463414634</v>
      </c>
      <c r="AB70" s="2">
        <v>95</v>
      </c>
    </row>
    <row r="71" spans="1:28" x14ac:dyDescent="0.25">
      <c r="A71" t="s">
        <v>46</v>
      </c>
      <c r="B71" s="1" t="s">
        <v>0</v>
      </c>
      <c r="C71">
        <v>63</v>
      </c>
      <c r="D71" s="2">
        <v>222</v>
      </c>
      <c r="E71" s="2">
        <v>32</v>
      </c>
      <c r="F71" s="7" t="s">
        <v>30</v>
      </c>
      <c r="G71" s="2"/>
      <c r="H71" s="2"/>
      <c r="I71" s="6">
        <v>14.2</v>
      </c>
      <c r="K71" s="10">
        <v>92</v>
      </c>
      <c r="N71" s="2">
        <v>222</v>
      </c>
      <c r="P71" s="2"/>
      <c r="Q71" s="3">
        <v>4.9400000000000004</v>
      </c>
      <c r="S71" s="10">
        <v>222</v>
      </c>
      <c r="U71" s="10"/>
      <c r="V71" s="4"/>
      <c r="W71" s="2">
        <v>222</v>
      </c>
      <c r="X71" s="2"/>
      <c r="Y71" s="2"/>
      <c r="Z71" s="6">
        <v>6.44</v>
      </c>
    </row>
    <row r="72" spans="1:28" x14ac:dyDescent="0.25">
      <c r="A72" t="s">
        <v>46</v>
      </c>
      <c r="B72" s="1" t="s">
        <v>0</v>
      </c>
      <c r="C72">
        <v>63</v>
      </c>
      <c r="D72" s="2">
        <v>223</v>
      </c>
      <c r="E72" s="2">
        <v>3</v>
      </c>
      <c r="F72" t="s">
        <v>3</v>
      </c>
      <c r="G72" s="2"/>
      <c r="H72" s="2"/>
      <c r="I72" s="6">
        <v>12.42</v>
      </c>
      <c r="K72" s="10">
        <v>99</v>
      </c>
      <c r="N72" s="2">
        <v>223</v>
      </c>
      <c r="P72" s="2"/>
      <c r="Q72" s="3">
        <v>4.68</v>
      </c>
      <c r="S72" s="10">
        <v>163</v>
      </c>
      <c r="U72" s="10"/>
      <c r="V72" s="4"/>
      <c r="W72" s="2">
        <v>223</v>
      </c>
      <c r="X72" s="2"/>
      <c r="Y72" s="2"/>
      <c r="Z72" s="6">
        <v>6.16</v>
      </c>
      <c r="AB72" s="2">
        <v>91</v>
      </c>
    </row>
    <row r="73" spans="1:28" x14ac:dyDescent="0.25">
      <c r="A73" t="s">
        <v>46</v>
      </c>
      <c r="B73" s="1" t="s">
        <v>0</v>
      </c>
      <c r="C73">
        <v>63</v>
      </c>
      <c r="D73" s="2">
        <v>224</v>
      </c>
      <c r="E73" s="2">
        <v>10</v>
      </c>
      <c r="F73" t="s">
        <v>35</v>
      </c>
      <c r="G73" s="2"/>
      <c r="H73" s="2"/>
      <c r="I73" s="6">
        <v>7.4</v>
      </c>
      <c r="K73" s="10">
        <v>84</v>
      </c>
      <c r="N73" s="2">
        <v>224</v>
      </c>
      <c r="P73" s="2"/>
      <c r="Q73" s="3">
        <v>3.74</v>
      </c>
      <c r="S73" s="10">
        <v>108</v>
      </c>
      <c r="U73" s="10"/>
      <c r="V73" s="4"/>
      <c r="W73" s="2">
        <v>224</v>
      </c>
      <c r="X73" s="2"/>
      <c r="Y73" s="2"/>
      <c r="Z73" s="6">
        <v>6.84</v>
      </c>
    </row>
    <row r="74" spans="1:28" x14ac:dyDescent="0.25">
      <c r="A74" t="s">
        <v>46</v>
      </c>
      <c r="B74" s="1" t="s">
        <v>0</v>
      </c>
      <c r="C74">
        <v>63</v>
      </c>
      <c r="D74" s="2">
        <v>225</v>
      </c>
      <c r="E74" s="2">
        <v>25</v>
      </c>
      <c r="F74" s="7" t="s">
        <v>8</v>
      </c>
      <c r="G74" s="2">
        <v>912</v>
      </c>
      <c r="H74" s="2">
        <v>242</v>
      </c>
      <c r="I74" s="6">
        <v>15.78</v>
      </c>
      <c r="J74" s="4">
        <f>(H74-32)/(G74-32)</f>
        <v>0.23863636363636365</v>
      </c>
      <c r="K74" s="10">
        <v>90</v>
      </c>
      <c r="N74" s="2">
        <v>225</v>
      </c>
      <c r="O74" s="2">
        <v>620</v>
      </c>
      <c r="P74" s="2">
        <v>245</v>
      </c>
      <c r="Q74" s="3">
        <v>3.74</v>
      </c>
      <c r="R74" s="4">
        <f>(P74-32)/(O74-32)</f>
        <v>0.36224489795918369</v>
      </c>
      <c r="S74" s="10">
        <v>115</v>
      </c>
      <c r="U74" s="10"/>
      <c r="V74" s="4"/>
      <c r="W74" s="2">
        <v>225</v>
      </c>
      <c r="X74" s="2">
        <v>997</v>
      </c>
      <c r="Y74" s="2">
        <v>217</v>
      </c>
      <c r="Z74" s="6">
        <v>6.98</v>
      </c>
      <c r="AA74" s="4">
        <f>(Y74-32)/(X74-32)</f>
        <v>0.19170984455958548</v>
      </c>
    </row>
    <row r="75" spans="1:28" x14ac:dyDescent="0.25">
      <c r="A75" t="s">
        <v>46</v>
      </c>
      <c r="B75" s="1" t="s">
        <v>0</v>
      </c>
      <c r="C75">
        <v>63</v>
      </c>
      <c r="D75" s="2">
        <v>226</v>
      </c>
      <c r="E75" s="2">
        <v>20</v>
      </c>
      <c r="F75" s="7" t="s">
        <v>28</v>
      </c>
      <c r="G75" s="2"/>
      <c r="H75" s="2"/>
      <c r="I75" s="6">
        <v>13.12</v>
      </c>
      <c r="K75" s="10">
        <v>91</v>
      </c>
      <c r="N75" s="2">
        <v>226</v>
      </c>
      <c r="P75" s="2"/>
      <c r="Q75" s="3">
        <v>3.1</v>
      </c>
      <c r="S75" s="10">
        <v>149</v>
      </c>
      <c r="U75" s="10"/>
      <c r="V75" s="4"/>
      <c r="W75" s="2">
        <v>226</v>
      </c>
      <c r="X75" s="2"/>
      <c r="Y75" s="2"/>
      <c r="Z75" s="6">
        <v>5.78</v>
      </c>
    </row>
    <row r="76" spans="1:28" x14ac:dyDescent="0.25">
      <c r="A76" t="s">
        <v>46</v>
      </c>
      <c r="B76" s="1" t="s">
        <v>0</v>
      </c>
      <c r="C76">
        <v>63</v>
      </c>
      <c r="D76" s="2">
        <v>227</v>
      </c>
      <c r="E76" s="2">
        <v>17</v>
      </c>
      <c r="F76" t="s">
        <v>17</v>
      </c>
      <c r="G76" s="2"/>
      <c r="H76" s="2"/>
      <c r="I76" s="6">
        <v>13.2</v>
      </c>
      <c r="K76" s="10">
        <v>72</v>
      </c>
      <c r="N76" s="2">
        <v>227</v>
      </c>
      <c r="P76" s="2"/>
      <c r="Q76" s="3">
        <v>3.18</v>
      </c>
      <c r="S76" s="10">
        <v>177</v>
      </c>
      <c r="U76" s="10"/>
      <c r="V76" s="4"/>
      <c r="W76" s="2">
        <v>227</v>
      </c>
      <c r="X76" s="2"/>
      <c r="Y76" s="2"/>
      <c r="Z76" s="6">
        <v>4.9000000000000004</v>
      </c>
    </row>
    <row r="77" spans="1:28" x14ac:dyDescent="0.25">
      <c r="A77" t="s">
        <v>46</v>
      </c>
      <c r="B77" s="1" t="s">
        <v>0</v>
      </c>
      <c r="C77">
        <v>63</v>
      </c>
      <c r="D77" s="2">
        <v>228</v>
      </c>
      <c r="E77" s="2">
        <v>36</v>
      </c>
      <c r="F77" t="s">
        <v>27</v>
      </c>
      <c r="G77" s="2"/>
      <c r="H77" s="2"/>
      <c r="I77" s="6">
        <v>12.84</v>
      </c>
      <c r="K77" s="10">
        <v>87</v>
      </c>
      <c r="N77" s="2">
        <v>228</v>
      </c>
      <c r="P77" s="2"/>
      <c r="Q77" s="3">
        <v>2.36</v>
      </c>
      <c r="S77" s="10">
        <v>193</v>
      </c>
      <c r="U77" s="10"/>
      <c r="V77" s="4"/>
      <c r="W77" s="2">
        <v>228</v>
      </c>
      <c r="X77" s="2"/>
      <c r="Y77" s="2"/>
      <c r="Z77" s="6">
        <v>5.12</v>
      </c>
    </row>
    <row r="78" spans="1:28" x14ac:dyDescent="0.25">
      <c r="A78" t="s">
        <v>46</v>
      </c>
      <c r="B78" s="1" t="s">
        <v>0</v>
      </c>
      <c r="C78">
        <v>63</v>
      </c>
      <c r="D78" s="2">
        <v>229</v>
      </c>
      <c r="E78" s="2">
        <v>1</v>
      </c>
      <c r="F78" t="s">
        <v>6</v>
      </c>
      <c r="G78" s="2">
        <v>936</v>
      </c>
      <c r="H78" s="2">
        <v>242</v>
      </c>
      <c r="I78" s="6">
        <v>13.28</v>
      </c>
      <c r="J78" s="4">
        <f>(H78-32)/(G78-32)</f>
        <v>0.23230088495575221</v>
      </c>
      <c r="K78" s="10">
        <v>87</v>
      </c>
      <c r="N78" s="2">
        <v>229</v>
      </c>
      <c r="O78" s="2">
        <v>735</v>
      </c>
      <c r="P78" s="2">
        <v>280</v>
      </c>
      <c r="Q78" s="3">
        <v>2.46</v>
      </c>
      <c r="R78" s="4">
        <f>(P78-32)/(O78-32)</f>
        <v>0.35277382645803701</v>
      </c>
      <c r="S78" s="10">
        <v>189</v>
      </c>
      <c r="U78" s="10"/>
      <c r="V78" s="4"/>
      <c r="W78" s="2">
        <v>229</v>
      </c>
      <c r="X78" s="2">
        <v>691</v>
      </c>
      <c r="Y78" s="2">
        <v>180</v>
      </c>
      <c r="Z78" s="6">
        <v>4.8</v>
      </c>
      <c r="AA78" s="4">
        <f>(Y78-32)/(X78-32)</f>
        <v>0.22458270106221548</v>
      </c>
      <c r="AB78" s="2">
        <v>72</v>
      </c>
    </row>
    <row r="79" spans="1:28" x14ac:dyDescent="0.25">
      <c r="A79" t="s">
        <v>46</v>
      </c>
      <c r="B79" s="1" t="s">
        <v>0</v>
      </c>
      <c r="C79">
        <v>63</v>
      </c>
      <c r="D79" s="2">
        <v>230</v>
      </c>
      <c r="E79" s="2">
        <v>22</v>
      </c>
      <c r="F79" t="s">
        <v>7</v>
      </c>
      <c r="G79" s="2"/>
      <c r="H79" s="2"/>
      <c r="I79" s="6">
        <v>15.94</v>
      </c>
      <c r="K79" s="10">
        <v>112</v>
      </c>
      <c r="N79" s="2">
        <v>230</v>
      </c>
      <c r="P79" s="2"/>
      <c r="Q79" s="3">
        <v>2.42</v>
      </c>
      <c r="S79" s="10">
        <v>169</v>
      </c>
      <c r="U79" s="10"/>
      <c r="V79" s="4"/>
      <c r="W79" s="2">
        <v>230</v>
      </c>
      <c r="X79" s="2"/>
      <c r="Y79" s="2"/>
      <c r="Z79" s="6">
        <v>5.42</v>
      </c>
    </row>
    <row r="80" spans="1:28" x14ac:dyDescent="0.25">
      <c r="A80" t="s">
        <v>46</v>
      </c>
      <c r="B80" s="1" t="s">
        <v>0</v>
      </c>
      <c r="C80">
        <v>63</v>
      </c>
      <c r="D80" s="2">
        <v>231</v>
      </c>
      <c r="E80" s="2">
        <v>35</v>
      </c>
      <c r="F80" s="7" t="s">
        <v>26</v>
      </c>
      <c r="G80" s="2"/>
      <c r="H80" s="2"/>
      <c r="I80" s="6">
        <v>13.72</v>
      </c>
      <c r="K80" s="10">
        <v>114</v>
      </c>
      <c r="N80" s="2">
        <v>231</v>
      </c>
      <c r="P80" s="2"/>
      <c r="Q80" s="3">
        <v>5.72</v>
      </c>
      <c r="S80" s="10">
        <v>124</v>
      </c>
      <c r="U80" s="10"/>
      <c r="V80" s="4"/>
      <c r="W80" s="2">
        <v>231</v>
      </c>
      <c r="X80" s="2"/>
      <c r="Y80" s="2"/>
      <c r="Z80" s="6">
        <v>5.68</v>
      </c>
    </row>
    <row r="81" spans="1:28" x14ac:dyDescent="0.25">
      <c r="A81" t="s">
        <v>46</v>
      </c>
      <c r="B81" s="1" t="s">
        <v>0</v>
      </c>
      <c r="C81">
        <v>63</v>
      </c>
      <c r="D81" s="2">
        <v>232</v>
      </c>
      <c r="E81" s="2">
        <v>27</v>
      </c>
      <c r="F81" t="s">
        <v>14</v>
      </c>
      <c r="G81" s="2"/>
      <c r="H81" s="2"/>
      <c r="I81" s="6">
        <v>10.94</v>
      </c>
      <c r="K81" s="10">
        <v>60</v>
      </c>
      <c r="N81" s="2">
        <v>232</v>
      </c>
      <c r="P81" s="2"/>
      <c r="Q81" s="3">
        <v>4.2</v>
      </c>
      <c r="S81" s="10">
        <v>110</v>
      </c>
      <c r="U81" s="10"/>
      <c r="V81" s="4"/>
      <c r="W81" s="2">
        <v>232</v>
      </c>
      <c r="X81" s="2"/>
      <c r="Y81" s="2"/>
      <c r="Z81" s="6">
        <v>4.82</v>
      </c>
    </row>
    <row r="82" spans="1:28" x14ac:dyDescent="0.25">
      <c r="A82" t="s">
        <v>46</v>
      </c>
      <c r="B82" s="1" t="s">
        <v>0</v>
      </c>
      <c r="C82">
        <v>63</v>
      </c>
      <c r="D82" s="2">
        <v>233</v>
      </c>
      <c r="E82" s="2">
        <v>6</v>
      </c>
      <c r="F82" t="s">
        <v>1</v>
      </c>
      <c r="G82" s="2">
        <v>865</v>
      </c>
      <c r="H82" s="2">
        <v>246</v>
      </c>
      <c r="I82" s="6">
        <v>13.94</v>
      </c>
      <c r="J82" s="4">
        <f>(H82-32)/(G82-32)</f>
        <v>0.25690276110444177</v>
      </c>
      <c r="K82" s="10">
        <v>78</v>
      </c>
      <c r="N82" s="2">
        <v>233</v>
      </c>
      <c r="O82" s="2">
        <v>811</v>
      </c>
      <c r="P82" s="2">
        <v>296</v>
      </c>
      <c r="Q82" s="3">
        <v>5.38</v>
      </c>
      <c r="R82" s="4">
        <f>(P82-32)/(O82-32)</f>
        <v>0.33889602053915274</v>
      </c>
      <c r="S82" s="10">
        <v>150</v>
      </c>
      <c r="U82" s="10"/>
      <c r="V82" s="4"/>
      <c r="W82" s="2">
        <v>233</v>
      </c>
      <c r="X82" s="2">
        <v>734</v>
      </c>
      <c r="Y82" s="2">
        <v>191</v>
      </c>
      <c r="Z82" s="6">
        <v>3.9</v>
      </c>
      <c r="AA82" s="4">
        <f>(Y82-32)/(X82-32)</f>
        <v>0.2264957264957265</v>
      </c>
      <c r="AB82" s="2">
        <v>77</v>
      </c>
    </row>
    <row r="83" spans="1:28" x14ac:dyDescent="0.25">
      <c r="A83" t="s">
        <v>46</v>
      </c>
      <c r="B83" s="1" t="s">
        <v>0</v>
      </c>
      <c r="C83">
        <v>63</v>
      </c>
      <c r="D83" s="2">
        <v>234</v>
      </c>
      <c r="E83" s="2">
        <v>4</v>
      </c>
      <c r="F83" t="s">
        <v>2</v>
      </c>
      <c r="G83" s="2"/>
      <c r="H83" s="2"/>
      <c r="I83" s="6">
        <v>9.24</v>
      </c>
      <c r="K83" s="10">
        <v>76</v>
      </c>
      <c r="N83" s="2">
        <v>234</v>
      </c>
      <c r="P83" s="2"/>
      <c r="Q83" s="3">
        <v>3.94</v>
      </c>
      <c r="S83" s="10">
        <v>144</v>
      </c>
      <c r="U83" s="10"/>
      <c r="V83" s="4"/>
      <c r="W83" s="2">
        <v>234</v>
      </c>
      <c r="X83" s="2"/>
      <c r="Y83" s="2"/>
      <c r="Z83" s="6">
        <v>5.0199999999999996</v>
      </c>
      <c r="AB83" s="2">
        <v>92</v>
      </c>
    </row>
    <row r="84" spans="1:28" x14ac:dyDescent="0.25">
      <c r="A84" t="s">
        <v>46</v>
      </c>
      <c r="B84" s="1" t="s">
        <v>0</v>
      </c>
      <c r="C84">
        <v>63</v>
      </c>
      <c r="D84" s="2">
        <v>235</v>
      </c>
      <c r="E84" s="2">
        <v>12</v>
      </c>
      <c r="F84" t="s">
        <v>33</v>
      </c>
      <c r="G84" s="2"/>
      <c r="H84" s="2"/>
      <c r="I84" s="6">
        <v>14.72</v>
      </c>
      <c r="K84" s="10">
        <v>98</v>
      </c>
      <c r="N84" s="2">
        <v>235</v>
      </c>
      <c r="P84" s="2"/>
      <c r="Q84" s="3">
        <v>6.82</v>
      </c>
      <c r="S84" s="10">
        <v>132</v>
      </c>
      <c r="U84" s="10"/>
      <c r="V84" s="4"/>
      <c r="W84" s="2">
        <v>235</v>
      </c>
      <c r="X84" s="2"/>
      <c r="Y84" s="2"/>
      <c r="Z84" s="6">
        <v>6.12</v>
      </c>
    </row>
    <row r="85" spans="1:28" x14ac:dyDescent="0.25">
      <c r="A85" t="s">
        <v>46</v>
      </c>
      <c r="B85" s="1" t="s">
        <v>0</v>
      </c>
      <c r="C85">
        <v>63</v>
      </c>
      <c r="D85" s="2">
        <v>236</v>
      </c>
      <c r="E85" s="2">
        <v>19</v>
      </c>
      <c r="F85" s="7" t="s">
        <v>10</v>
      </c>
      <c r="G85" s="2"/>
      <c r="H85" s="2"/>
      <c r="I85" s="6">
        <v>15.8</v>
      </c>
      <c r="K85" s="10">
        <v>89</v>
      </c>
      <c r="N85" s="2">
        <v>236</v>
      </c>
      <c r="P85" s="2"/>
      <c r="Q85" s="3">
        <v>6.44</v>
      </c>
      <c r="S85" s="10">
        <v>192</v>
      </c>
      <c r="U85" s="10"/>
      <c r="V85" s="4"/>
      <c r="W85" s="2">
        <v>236</v>
      </c>
      <c r="X85" s="2"/>
      <c r="Y85" s="2"/>
      <c r="Z85" s="6">
        <v>6.2</v>
      </c>
    </row>
    <row r="86" spans="1:28" x14ac:dyDescent="0.25">
      <c r="A86" t="s">
        <v>46</v>
      </c>
      <c r="B86" s="1" t="s">
        <v>0</v>
      </c>
      <c r="C86">
        <v>63</v>
      </c>
      <c r="D86" s="2">
        <v>237</v>
      </c>
      <c r="E86" s="2">
        <v>7</v>
      </c>
      <c r="F86" t="s">
        <v>16</v>
      </c>
      <c r="G86" s="2">
        <v>811</v>
      </c>
      <c r="H86" s="2">
        <v>224</v>
      </c>
      <c r="I86" s="6">
        <v>11.48</v>
      </c>
      <c r="J86" s="4">
        <f>(H86-32)/(G86-32)</f>
        <v>0.24646983311938384</v>
      </c>
      <c r="K86" s="10">
        <v>94</v>
      </c>
      <c r="N86" s="2">
        <v>237</v>
      </c>
      <c r="O86" s="2">
        <v>674</v>
      </c>
      <c r="P86" s="2">
        <v>258</v>
      </c>
      <c r="Q86" s="3">
        <v>4.78</v>
      </c>
      <c r="R86" s="4">
        <f>(P86-32)/(O86-32)</f>
        <v>0.35202492211838005</v>
      </c>
      <c r="S86" s="10">
        <v>173</v>
      </c>
      <c r="U86" s="10"/>
      <c r="V86" s="4"/>
      <c r="W86" s="2">
        <v>237</v>
      </c>
      <c r="X86" s="2">
        <v>543</v>
      </c>
      <c r="Y86" s="2">
        <v>144</v>
      </c>
      <c r="Z86" s="6">
        <v>5.0199999999999996</v>
      </c>
      <c r="AA86" s="4">
        <f>(Y86-32)/(X86-32)</f>
        <v>0.21917808219178081</v>
      </c>
    </row>
    <row r="87" spans="1:28" x14ac:dyDescent="0.25">
      <c r="A87" t="s">
        <v>46</v>
      </c>
      <c r="B87" s="1" t="s">
        <v>0</v>
      </c>
      <c r="C87">
        <v>63</v>
      </c>
      <c r="D87" s="2">
        <v>238</v>
      </c>
      <c r="E87" s="2">
        <v>16</v>
      </c>
      <c r="F87" s="7" t="s">
        <v>12</v>
      </c>
      <c r="G87" s="2"/>
      <c r="H87" s="2"/>
      <c r="I87" s="6">
        <v>12.14</v>
      </c>
      <c r="K87" s="10">
        <v>66</v>
      </c>
      <c r="N87" s="2">
        <v>238</v>
      </c>
      <c r="P87" s="2"/>
      <c r="Q87" s="3">
        <v>4.34</v>
      </c>
      <c r="S87" s="10">
        <v>120</v>
      </c>
      <c r="U87" s="10"/>
      <c r="V87" s="4"/>
      <c r="W87" s="2">
        <v>238</v>
      </c>
      <c r="X87" s="2"/>
      <c r="Y87" s="2"/>
      <c r="Z87" s="6">
        <v>4.78</v>
      </c>
    </row>
    <row r="88" spans="1:28" x14ac:dyDescent="0.25">
      <c r="A88" t="s">
        <v>46</v>
      </c>
      <c r="B88" s="1" t="s">
        <v>0</v>
      </c>
      <c r="C88">
        <v>63</v>
      </c>
      <c r="D88" s="2">
        <v>239</v>
      </c>
      <c r="E88" s="2">
        <v>30</v>
      </c>
      <c r="F88" s="7" t="s">
        <v>9</v>
      </c>
      <c r="G88" s="2"/>
      <c r="H88" s="2"/>
      <c r="I88" s="6">
        <v>11.58</v>
      </c>
      <c r="K88" s="10">
        <v>83</v>
      </c>
      <c r="N88" s="2">
        <v>239</v>
      </c>
      <c r="P88" s="2"/>
      <c r="Q88" s="3">
        <v>4.88</v>
      </c>
      <c r="S88" s="10">
        <v>119</v>
      </c>
      <c r="U88" s="10"/>
      <c r="V88" s="4"/>
      <c r="W88" s="2">
        <v>239</v>
      </c>
      <c r="X88" s="2"/>
      <c r="Y88" s="2"/>
      <c r="Z88" s="6">
        <v>5.0199999999999996</v>
      </c>
    </row>
    <row r="89" spans="1:28" x14ac:dyDescent="0.25">
      <c r="A89" t="s">
        <v>46</v>
      </c>
      <c r="B89" s="1" t="s">
        <v>0</v>
      </c>
      <c r="C89">
        <v>63</v>
      </c>
      <c r="D89" s="2">
        <v>240</v>
      </c>
      <c r="E89" s="2">
        <v>15</v>
      </c>
      <c r="F89" t="s">
        <v>20</v>
      </c>
      <c r="G89" s="2"/>
      <c r="H89" s="2"/>
      <c r="I89" s="6">
        <v>13.38</v>
      </c>
      <c r="K89" s="10">
        <v>94</v>
      </c>
      <c r="N89" s="2">
        <v>240</v>
      </c>
      <c r="P89" s="2"/>
      <c r="Q89" s="3">
        <v>4.82</v>
      </c>
      <c r="S89" s="10">
        <v>195</v>
      </c>
      <c r="U89" s="10"/>
      <c r="V89" s="4"/>
      <c r="W89" s="2">
        <v>240</v>
      </c>
      <c r="X89" s="2"/>
      <c r="Y89" s="2"/>
      <c r="Z89" s="6">
        <v>4.82</v>
      </c>
    </row>
    <row r="90" spans="1:28" x14ac:dyDescent="0.25">
      <c r="A90" t="s">
        <v>46</v>
      </c>
      <c r="B90" s="1" t="s">
        <v>0</v>
      </c>
      <c r="C90">
        <v>63</v>
      </c>
      <c r="D90" s="2">
        <v>241</v>
      </c>
      <c r="E90" s="2">
        <v>2</v>
      </c>
      <c r="F90" t="s">
        <v>4</v>
      </c>
      <c r="G90" s="2">
        <v>943</v>
      </c>
      <c r="H90" s="2">
        <v>263</v>
      </c>
      <c r="I90" s="6">
        <v>15.02</v>
      </c>
      <c r="J90" s="4">
        <f>(H90-32)/(G90-32)</f>
        <v>0.25356750823271129</v>
      </c>
      <c r="K90" s="10">
        <v>69</v>
      </c>
      <c r="N90" s="2">
        <v>241</v>
      </c>
      <c r="O90" s="2">
        <v>823</v>
      </c>
      <c r="P90" s="2">
        <v>316</v>
      </c>
      <c r="Q90" s="3">
        <v>5.26</v>
      </c>
      <c r="R90" s="4">
        <f>(P90-32)/(O90-32)</f>
        <v>0.359039190897598</v>
      </c>
      <c r="S90" s="10">
        <v>184</v>
      </c>
      <c r="U90" s="10"/>
      <c r="V90" s="4"/>
      <c r="W90" s="2">
        <v>241</v>
      </c>
      <c r="X90" s="2">
        <v>839</v>
      </c>
      <c r="Y90" s="2">
        <v>219</v>
      </c>
      <c r="Z90" s="6">
        <v>5.38</v>
      </c>
      <c r="AA90" s="4">
        <f>(Y90-32)/(X90-32)</f>
        <v>0.23172242874845106</v>
      </c>
      <c r="AB90" s="2">
        <v>94</v>
      </c>
    </row>
    <row r="91" spans="1:28" x14ac:dyDescent="0.25">
      <c r="A91" t="s">
        <v>46</v>
      </c>
      <c r="B91" s="1" t="s">
        <v>0</v>
      </c>
      <c r="C91">
        <v>63</v>
      </c>
      <c r="D91" s="2">
        <v>242</v>
      </c>
      <c r="E91" s="2">
        <v>13</v>
      </c>
      <c r="F91" t="s">
        <v>24</v>
      </c>
      <c r="G91" s="2"/>
      <c r="H91" s="2"/>
      <c r="I91" s="6">
        <v>14.68</v>
      </c>
      <c r="K91" s="10">
        <v>85</v>
      </c>
      <c r="N91" s="2">
        <v>242</v>
      </c>
      <c r="P91" s="2"/>
      <c r="Q91" s="3">
        <v>5.72</v>
      </c>
      <c r="S91" s="10">
        <v>145</v>
      </c>
      <c r="U91" s="10"/>
      <c r="V91" s="4"/>
      <c r="W91" s="2">
        <v>242</v>
      </c>
      <c r="X91" s="2"/>
      <c r="Y91" s="2"/>
      <c r="Z91" s="6">
        <v>5.68</v>
      </c>
    </row>
    <row r="92" spans="1:28" x14ac:dyDescent="0.25">
      <c r="A92" t="s">
        <v>46</v>
      </c>
      <c r="B92" s="1" t="s">
        <v>0</v>
      </c>
      <c r="C92">
        <v>63</v>
      </c>
      <c r="D92" s="2">
        <v>243</v>
      </c>
      <c r="E92" s="2">
        <v>34</v>
      </c>
      <c r="F92" s="7" t="s">
        <v>34</v>
      </c>
      <c r="G92" s="2"/>
      <c r="H92" s="2"/>
      <c r="I92" s="6">
        <v>13.98</v>
      </c>
      <c r="K92" s="10">
        <v>89</v>
      </c>
      <c r="N92" s="2">
        <v>243</v>
      </c>
      <c r="P92" s="2"/>
      <c r="Q92" s="3">
        <v>4.6399999999999997</v>
      </c>
      <c r="S92" s="10">
        <v>183</v>
      </c>
      <c r="U92" s="10"/>
      <c r="V92" s="4"/>
      <c r="W92" s="2">
        <v>243</v>
      </c>
      <c r="X92" s="2"/>
      <c r="Y92" s="2"/>
      <c r="Z92" s="6">
        <v>6.74</v>
      </c>
    </row>
    <row r="93" spans="1:28" x14ac:dyDescent="0.25">
      <c r="A93" t="s">
        <v>46</v>
      </c>
      <c r="B93" s="1" t="s">
        <v>0</v>
      </c>
      <c r="C93">
        <v>63</v>
      </c>
      <c r="D93" s="2">
        <v>244</v>
      </c>
      <c r="E93" s="2">
        <v>11</v>
      </c>
      <c r="F93" t="s">
        <v>15</v>
      </c>
      <c r="G93" s="2"/>
      <c r="H93" s="2"/>
      <c r="I93" s="6">
        <v>11.36</v>
      </c>
      <c r="K93" s="10">
        <v>70</v>
      </c>
      <c r="N93" s="2">
        <v>244</v>
      </c>
      <c r="P93" s="2"/>
      <c r="Q93" s="3">
        <v>4.28</v>
      </c>
      <c r="S93" s="10">
        <v>109</v>
      </c>
      <c r="U93" s="10"/>
      <c r="V93" s="4"/>
      <c r="W93" s="2">
        <v>244</v>
      </c>
      <c r="X93" s="2"/>
      <c r="Y93" s="2"/>
      <c r="Z93" s="6">
        <v>6.2</v>
      </c>
    </row>
    <row r="94" spans="1:28" x14ac:dyDescent="0.25">
      <c r="A94" t="s">
        <v>46</v>
      </c>
      <c r="B94" s="1" t="s">
        <v>0</v>
      </c>
      <c r="C94">
        <v>63</v>
      </c>
      <c r="D94" s="2">
        <v>245</v>
      </c>
      <c r="E94" s="2">
        <v>21</v>
      </c>
      <c r="F94" t="s">
        <v>22</v>
      </c>
      <c r="G94" s="2">
        <v>1043</v>
      </c>
      <c r="H94" s="2">
        <v>273</v>
      </c>
      <c r="I94" s="6">
        <v>9.76</v>
      </c>
      <c r="J94" s="4">
        <f>(H94-32)/(G94-32)</f>
        <v>0.23837784371909002</v>
      </c>
      <c r="K94" s="10">
        <v>77</v>
      </c>
      <c r="N94" s="2">
        <v>245</v>
      </c>
      <c r="O94" s="2">
        <v>630</v>
      </c>
      <c r="P94" s="2">
        <v>247</v>
      </c>
      <c r="Q94" s="3">
        <v>3.94</v>
      </c>
      <c r="R94" s="4">
        <f>(P94-32)/(O94-32)</f>
        <v>0.35953177257525082</v>
      </c>
      <c r="S94" s="10">
        <v>160</v>
      </c>
      <c r="U94" s="10"/>
      <c r="V94" s="4"/>
      <c r="W94" s="2">
        <v>245</v>
      </c>
      <c r="X94" s="2">
        <v>692</v>
      </c>
      <c r="Y94" s="2">
        <v>177</v>
      </c>
      <c r="Z94" s="6">
        <v>6.38</v>
      </c>
      <c r="AA94" s="4">
        <f>(Y94-32)/(X94-32)</f>
        <v>0.2196969696969697</v>
      </c>
    </row>
    <row r="95" spans="1:28" x14ac:dyDescent="0.25">
      <c r="A95" t="s">
        <v>46</v>
      </c>
      <c r="B95" s="1" t="s">
        <v>0</v>
      </c>
      <c r="C95">
        <v>63</v>
      </c>
      <c r="D95" s="2">
        <v>246</v>
      </c>
      <c r="E95" s="2">
        <v>23</v>
      </c>
      <c r="F95" t="s">
        <v>36</v>
      </c>
      <c r="G95" s="2"/>
      <c r="H95" s="2"/>
      <c r="I95" s="6">
        <v>11.54</v>
      </c>
      <c r="K95" s="10">
        <v>67</v>
      </c>
      <c r="N95" s="2">
        <v>246</v>
      </c>
      <c r="P95" s="2"/>
      <c r="Q95" s="3">
        <v>4.12</v>
      </c>
      <c r="S95" s="10">
        <v>104</v>
      </c>
      <c r="U95" s="10"/>
      <c r="V95" s="4"/>
      <c r="W95" s="2">
        <v>246</v>
      </c>
      <c r="X95" s="2"/>
      <c r="Y95" s="2"/>
      <c r="Z95" s="6">
        <v>6.7</v>
      </c>
    </row>
    <row r="96" spans="1:28" x14ac:dyDescent="0.25">
      <c r="A96" t="s">
        <v>46</v>
      </c>
      <c r="B96" s="1" t="s">
        <v>0</v>
      </c>
      <c r="C96">
        <v>63</v>
      </c>
      <c r="D96" s="2">
        <v>247</v>
      </c>
      <c r="E96" s="2">
        <v>14</v>
      </c>
      <c r="F96" t="s">
        <v>25</v>
      </c>
      <c r="G96" s="2"/>
      <c r="H96" s="2"/>
      <c r="I96" s="6">
        <v>15.82</v>
      </c>
      <c r="K96" s="10">
        <v>68</v>
      </c>
      <c r="N96" s="2">
        <v>247</v>
      </c>
      <c r="P96" s="2"/>
      <c r="Q96" s="3">
        <v>3.9</v>
      </c>
      <c r="S96" s="10">
        <v>114</v>
      </c>
      <c r="U96" s="10"/>
      <c r="V96" s="4"/>
      <c r="W96" s="2">
        <v>247</v>
      </c>
      <c r="X96" s="2"/>
      <c r="Y96" s="2"/>
      <c r="Z96" s="6">
        <v>7.12</v>
      </c>
    </row>
    <row r="97" spans="1:27" x14ac:dyDescent="0.25">
      <c r="A97" t="s">
        <v>46</v>
      </c>
      <c r="B97" s="1" t="s">
        <v>0</v>
      </c>
      <c r="C97">
        <v>63</v>
      </c>
      <c r="D97" s="2">
        <v>248</v>
      </c>
      <c r="E97" s="2">
        <v>33</v>
      </c>
      <c r="F97" t="s">
        <v>23</v>
      </c>
      <c r="G97" s="2"/>
      <c r="H97" s="2"/>
      <c r="I97" s="6">
        <v>16.7</v>
      </c>
      <c r="K97" s="10">
        <v>82</v>
      </c>
      <c r="N97" s="2">
        <v>248</v>
      </c>
      <c r="P97" s="2"/>
      <c r="Q97" s="3">
        <v>4.0599999999999996</v>
      </c>
      <c r="S97" s="10">
        <v>149</v>
      </c>
      <c r="U97" s="10"/>
      <c r="V97" s="4"/>
      <c r="W97" s="2">
        <v>248</v>
      </c>
      <c r="X97" s="2"/>
      <c r="Y97" s="2"/>
      <c r="Z97" s="6">
        <v>6.64</v>
      </c>
    </row>
    <row r="98" spans="1:27" x14ac:dyDescent="0.25">
      <c r="A98" t="s">
        <v>46</v>
      </c>
      <c r="B98" s="1" t="s">
        <v>0</v>
      </c>
      <c r="C98">
        <v>63</v>
      </c>
      <c r="D98" s="2">
        <v>301</v>
      </c>
      <c r="E98" s="2">
        <v>1</v>
      </c>
      <c r="F98" t="s">
        <v>6</v>
      </c>
      <c r="G98" s="2">
        <v>715</v>
      </c>
      <c r="H98" s="2">
        <v>211</v>
      </c>
      <c r="I98" s="6">
        <v>11.94</v>
      </c>
      <c r="J98" s="4">
        <f>(H98-32)/(G98-32)</f>
        <v>0.26207906295754024</v>
      </c>
      <c r="K98" s="10">
        <v>108</v>
      </c>
      <c r="N98" s="2">
        <v>301</v>
      </c>
      <c r="P98" s="2"/>
      <c r="Q98" s="3"/>
      <c r="U98" s="10"/>
      <c r="V98" s="4"/>
      <c r="W98" s="2">
        <v>301</v>
      </c>
      <c r="X98" s="2">
        <v>825</v>
      </c>
      <c r="Y98" s="2">
        <v>178</v>
      </c>
      <c r="Z98" s="6">
        <v>4.68</v>
      </c>
      <c r="AA98" s="4">
        <f>(Y98-32)/(X98-32)</f>
        <v>0.1841109709962169</v>
      </c>
    </row>
    <row r="99" spans="1:27" x14ac:dyDescent="0.25">
      <c r="A99" t="s">
        <v>46</v>
      </c>
      <c r="B99" s="1" t="s">
        <v>0</v>
      </c>
      <c r="C99">
        <v>63</v>
      </c>
      <c r="D99" s="2">
        <v>302</v>
      </c>
      <c r="E99" s="2">
        <v>6</v>
      </c>
      <c r="F99" t="s">
        <v>1</v>
      </c>
      <c r="G99" s="2"/>
      <c r="H99" s="2"/>
      <c r="I99" s="6">
        <v>13.04</v>
      </c>
      <c r="K99" s="10">
        <v>98</v>
      </c>
      <c r="N99" s="2">
        <v>302</v>
      </c>
      <c r="P99" s="2"/>
      <c r="Q99" s="3"/>
      <c r="U99" s="10"/>
      <c r="V99" s="4"/>
      <c r="W99" s="2">
        <v>302</v>
      </c>
      <c r="X99" s="2"/>
      <c r="Y99" s="2"/>
      <c r="Z99" s="6">
        <v>4.5</v>
      </c>
    </row>
    <row r="100" spans="1:27" x14ac:dyDescent="0.25">
      <c r="A100" t="s">
        <v>46</v>
      </c>
      <c r="B100" s="1" t="s">
        <v>0</v>
      </c>
      <c r="C100">
        <v>63</v>
      </c>
      <c r="D100" s="2">
        <v>303</v>
      </c>
      <c r="E100" s="2">
        <v>4</v>
      </c>
      <c r="F100" t="s">
        <v>2</v>
      </c>
      <c r="G100" s="2"/>
      <c r="H100" s="2"/>
      <c r="I100" s="6">
        <v>13.5</v>
      </c>
      <c r="K100" s="10">
        <v>97</v>
      </c>
      <c r="N100" s="2">
        <v>303</v>
      </c>
      <c r="P100" s="2"/>
      <c r="Q100" s="3"/>
      <c r="U100" s="10"/>
      <c r="V100" s="4"/>
      <c r="W100" s="2">
        <v>303</v>
      </c>
      <c r="X100" s="2"/>
      <c r="Y100" s="2"/>
      <c r="Z100" s="6">
        <v>5.52</v>
      </c>
    </row>
    <row r="101" spans="1:27" x14ac:dyDescent="0.25">
      <c r="A101" t="s">
        <v>46</v>
      </c>
      <c r="B101" s="1" t="s">
        <v>0</v>
      </c>
      <c r="C101">
        <v>63</v>
      </c>
      <c r="D101" s="2">
        <v>304</v>
      </c>
      <c r="E101" s="2">
        <v>3</v>
      </c>
      <c r="F101" t="s">
        <v>3</v>
      </c>
      <c r="G101" s="2"/>
      <c r="H101" s="2"/>
      <c r="I101" s="6">
        <v>13.46</v>
      </c>
      <c r="K101" s="10">
        <v>138</v>
      </c>
      <c r="N101" s="2">
        <v>304</v>
      </c>
      <c r="P101" s="2"/>
      <c r="Q101" s="3"/>
      <c r="U101" s="10"/>
      <c r="V101" s="4"/>
      <c r="W101" s="2">
        <v>304</v>
      </c>
      <c r="X101" s="2"/>
      <c r="Y101" s="2"/>
      <c r="Z101" s="6">
        <v>4.32</v>
      </c>
    </row>
    <row r="102" spans="1:27" x14ac:dyDescent="0.25">
      <c r="A102" t="s">
        <v>46</v>
      </c>
      <c r="B102" s="1" t="s">
        <v>0</v>
      </c>
      <c r="C102">
        <v>63</v>
      </c>
      <c r="D102" s="2">
        <v>305</v>
      </c>
      <c r="E102" s="2">
        <v>2</v>
      </c>
      <c r="F102" t="s">
        <v>4</v>
      </c>
      <c r="G102" s="2">
        <v>920</v>
      </c>
      <c r="H102" s="2">
        <v>264</v>
      </c>
      <c r="I102" s="6">
        <v>12.32</v>
      </c>
      <c r="J102" s="4">
        <f>(H102-32)/(G102-32)</f>
        <v>0.26126126126126126</v>
      </c>
      <c r="K102" s="10">
        <v>77</v>
      </c>
      <c r="N102" s="2">
        <v>305</v>
      </c>
      <c r="P102" s="2"/>
      <c r="Q102" s="3"/>
      <c r="U102" s="10"/>
      <c r="V102" s="4"/>
      <c r="W102" s="2">
        <v>305</v>
      </c>
      <c r="X102" s="2">
        <v>727</v>
      </c>
      <c r="Y102" s="2">
        <v>160</v>
      </c>
      <c r="Z102" s="6">
        <v>3.92</v>
      </c>
      <c r="AA102" s="4">
        <f>(Y102-32)/(X102-32)</f>
        <v>0.1841726618705036</v>
      </c>
    </row>
    <row r="103" spans="1:27" x14ac:dyDescent="0.25">
      <c r="A103" t="s">
        <v>46</v>
      </c>
      <c r="B103" s="1" t="s">
        <v>0</v>
      </c>
      <c r="C103">
        <v>63</v>
      </c>
      <c r="D103" s="2">
        <v>306</v>
      </c>
      <c r="E103" s="2">
        <v>4</v>
      </c>
      <c r="F103" t="s">
        <v>2</v>
      </c>
      <c r="G103" s="2"/>
      <c r="H103" s="2"/>
      <c r="I103" s="6">
        <v>11.92</v>
      </c>
      <c r="K103" s="10">
        <v>141</v>
      </c>
      <c r="N103" s="2">
        <v>306</v>
      </c>
      <c r="P103" s="2"/>
      <c r="Q103" s="3"/>
      <c r="U103" s="10"/>
      <c r="V103" s="4"/>
      <c r="W103" s="2">
        <v>306</v>
      </c>
      <c r="X103" s="2"/>
      <c r="Y103" s="2"/>
      <c r="Z103" s="6">
        <v>4.38</v>
      </c>
    </row>
    <row r="104" spans="1:27" x14ac:dyDescent="0.25">
      <c r="A104" t="s">
        <v>46</v>
      </c>
      <c r="B104" s="1" t="s">
        <v>0</v>
      </c>
      <c r="C104">
        <v>63</v>
      </c>
      <c r="D104" s="2">
        <v>307</v>
      </c>
      <c r="E104" s="2">
        <v>1</v>
      </c>
      <c r="F104" t="s">
        <v>6</v>
      </c>
      <c r="G104" s="2"/>
      <c r="H104" s="2"/>
      <c r="I104" s="6">
        <v>12.36</v>
      </c>
      <c r="K104" s="10">
        <v>78</v>
      </c>
      <c r="N104" s="2">
        <v>307</v>
      </c>
      <c r="P104" s="2"/>
      <c r="Q104" s="3"/>
      <c r="U104" s="10"/>
      <c r="V104" s="4"/>
      <c r="W104" s="2">
        <v>307</v>
      </c>
      <c r="X104" s="2"/>
      <c r="Y104" s="2"/>
      <c r="Z104" s="6">
        <v>4.9000000000000004</v>
      </c>
    </row>
    <row r="105" spans="1:27" x14ac:dyDescent="0.25">
      <c r="A105" t="s">
        <v>46</v>
      </c>
      <c r="B105" s="1" t="s">
        <v>0</v>
      </c>
      <c r="C105">
        <v>63</v>
      </c>
      <c r="D105" s="2">
        <v>308</v>
      </c>
      <c r="E105" s="2">
        <v>5</v>
      </c>
      <c r="F105" t="s">
        <v>5</v>
      </c>
      <c r="G105" s="2"/>
      <c r="H105" s="2"/>
      <c r="I105" s="6">
        <v>12.3</v>
      </c>
      <c r="K105" s="10">
        <v>121</v>
      </c>
      <c r="N105" s="2">
        <v>308</v>
      </c>
      <c r="P105" s="2"/>
      <c r="Q105" s="3"/>
      <c r="U105" s="10"/>
      <c r="V105" s="4"/>
      <c r="W105" s="2">
        <v>308</v>
      </c>
      <c r="X105" s="2"/>
      <c r="Y105" s="2"/>
      <c r="Z105" s="6">
        <v>5.34</v>
      </c>
    </row>
    <row r="106" spans="1:27" x14ac:dyDescent="0.25">
      <c r="A106" t="s">
        <v>46</v>
      </c>
      <c r="B106" s="1" t="s">
        <v>0</v>
      </c>
      <c r="C106">
        <v>63</v>
      </c>
      <c r="D106" s="2">
        <v>309</v>
      </c>
      <c r="E106" s="2">
        <v>2</v>
      </c>
      <c r="F106" t="s">
        <v>4</v>
      </c>
      <c r="G106" s="2">
        <v>862</v>
      </c>
      <c r="H106" s="2">
        <v>255</v>
      </c>
      <c r="I106" s="6">
        <v>15.02</v>
      </c>
      <c r="J106" s="4">
        <f>(H106-32)/(G106-32)</f>
        <v>0.26867469879518074</v>
      </c>
      <c r="K106" s="10">
        <v>124</v>
      </c>
      <c r="N106" s="2">
        <v>309</v>
      </c>
      <c r="P106" s="2"/>
      <c r="Q106" s="3"/>
      <c r="U106" s="10"/>
      <c r="V106" s="4"/>
      <c r="W106" s="2">
        <v>309</v>
      </c>
      <c r="X106" s="2">
        <v>631</v>
      </c>
      <c r="Y106" s="2">
        <v>137</v>
      </c>
      <c r="Z106" s="6">
        <v>5.42</v>
      </c>
      <c r="AA106" s="4">
        <f>(Y106-32)/(X106-32)</f>
        <v>0.17529215358931552</v>
      </c>
    </row>
    <row r="107" spans="1:27" x14ac:dyDescent="0.25">
      <c r="A107" t="s">
        <v>46</v>
      </c>
      <c r="B107" s="1" t="s">
        <v>0</v>
      </c>
      <c r="C107">
        <v>63</v>
      </c>
      <c r="D107" s="2">
        <v>310</v>
      </c>
      <c r="E107" s="2">
        <v>5</v>
      </c>
      <c r="F107" t="s">
        <v>5</v>
      </c>
      <c r="G107" s="2"/>
      <c r="H107" s="2"/>
      <c r="I107" s="6">
        <v>11.66</v>
      </c>
      <c r="K107" s="10">
        <v>85</v>
      </c>
      <c r="N107" s="2">
        <v>310</v>
      </c>
      <c r="P107" s="2"/>
      <c r="Q107" s="3"/>
      <c r="U107" s="10"/>
      <c r="V107" s="4"/>
      <c r="W107" s="2">
        <v>310</v>
      </c>
      <c r="X107" s="2"/>
      <c r="Y107" s="2"/>
      <c r="Z107" s="6">
        <v>5.08</v>
      </c>
    </row>
    <row r="108" spans="1:27" x14ac:dyDescent="0.25">
      <c r="A108" t="s">
        <v>46</v>
      </c>
      <c r="B108" s="1" t="s">
        <v>0</v>
      </c>
      <c r="C108">
        <v>63</v>
      </c>
      <c r="D108" s="2">
        <v>311</v>
      </c>
      <c r="E108" s="2">
        <v>3</v>
      </c>
      <c r="F108" t="s">
        <v>3</v>
      </c>
      <c r="G108" s="2"/>
      <c r="H108" s="2"/>
      <c r="I108" s="6">
        <v>12.2</v>
      </c>
      <c r="K108" s="10">
        <v>124</v>
      </c>
      <c r="N108" s="2">
        <v>311</v>
      </c>
      <c r="P108" s="2"/>
      <c r="Q108" s="3"/>
      <c r="U108" s="10"/>
      <c r="V108" s="4"/>
      <c r="W108" s="2">
        <v>311</v>
      </c>
      <c r="X108" s="2"/>
      <c r="Y108" s="2"/>
      <c r="Z108" s="6">
        <v>4.22</v>
      </c>
    </row>
    <row r="109" spans="1:27" x14ac:dyDescent="0.25">
      <c r="A109" t="s">
        <v>46</v>
      </c>
      <c r="B109" s="1" t="s">
        <v>0</v>
      </c>
      <c r="C109">
        <v>63</v>
      </c>
      <c r="D109" s="2">
        <v>312</v>
      </c>
      <c r="E109" s="2">
        <v>6</v>
      </c>
      <c r="F109" t="s">
        <v>1</v>
      </c>
      <c r="G109" s="2"/>
      <c r="H109" s="2"/>
      <c r="I109" s="6">
        <v>11.52</v>
      </c>
      <c r="K109" s="10">
        <v>74</v>
      </c>
      <c r="N109" s="2">
        <v>312</v>
      </c>
      <c r="P109" s="2"/>
      <c r="Q109" s="3"/>
      <c r="U109" s="10"/>
      <c r="V109" s="4"/>
      <c r="W109" s="2">
        <v>312</v>
      </c>
      <c r="X109" s="2"/>
      <c r="Y109" s="2"/>
      <c r="Z109" s="6">
        <v>3.68</v>
      </c>
    </row>
    <row r="110" spans="1:27" x14ac:dyDescent="0.25">
      <c r="A110" t="s">
        <v>46</v>
      </c>
      <c r="B110" s="1" t="s">
        <v>0</v>
      </c>
      <c r="C110">
        <v>63</v>
      </c>
      <c r="D110" s="2">
        <v>313</v>
      </c>
      <c r="E110" s="2">
        <v>19</v>
      </c>
      <c r="F110" s="7" t="s">
        <v>10</v>
      </c>
      <c r="G110" s="2">
        <v>887</v>
      </c>
      <c r="H110" s="2">
        <v>244</v>
      </c>
      <c r="I110" s="6">
        <v>16.14</v>
      </c>
      <c r="J110" s="4">
        <f>(H110-32)/(G110-32)</f>
        <v>0.24795321637426901</v>
      </c>
      <c r="K110" s="10">
        <v>134</v>
      </c>
      <c r="N110" s="2">
        <v>313</v>
      </c>
      <c r="O110" s="2">
        <v>764</v>
      </c>
      <c r="P110" s="2">
        <v>294</v>
      </c>
      <c r="Q110" s="3">
        <v>3.94</v>
      </c>
      <c r="R110" s="4">
        <f>(P110-32)/(O110-32)</f>
        <v>0.35792349726775957</v>
      </c>
      <c r="S110" s="10">
        <v>166</v>
      </c>
      <c r="U110" s="10"/>
      <c r="V110" s="4"/>
      <c r="W110" s="2">
        <v>313</v>
      </c>
      <c r="X110" s="2">
        <v>742</v>
      </c>
      <c r="Y110" s="2">
        <v>184</v>
      </c>
      <c r="Z110" s="6">
        <v>4.6399999999999997</v>
      </c>
      <c r="AA110" s="4">
        <f>(Y110-32)/(X110-32)</f>
        <v>0.21408450704225351</v>
      </c>
    </row>
    <row r="111" spans="1:27" x14ac:dyDescent="0.25">
      <c r="A111" t="s">
        <v>46</v>
      </c>
      <c r="B111" s="1" t="s">
        <v>0</v>
      </c>
      <c r="C111">
        <v>63</v>
      </c>
      <c r="D111" s="2">
        <v>314</v>
      </c>
      <c r="E111" s="2">
        <v>13</v>
      </c>
      <c r="F111" t="s">
        <v>24</v>
      </c>
      <c r="G111" s="2"/>
      <c r="H111" s="2"/>
      <c r="I111" s="6">
        <v>15.02</v>
      </c>
      <c r="K111" s="10">
        <v>93</v>
      </c>
      <c r="N111" s="2">
        <v>314</v>
      </c>
      <c r="P111" s="2"/>
      <c r="Q111" s="3">
        <v>4.76</v>
      </c>
      <c r="S111" s="10">
        <v>129</v>
      </c>
      <c r="U111" s="10"/>
      <c r="V111" s="4"/>
      <c r="W111" s="2">
        <v>314</v>
      </c>
      <c r="X111" s="2"/>
      <c r="Y111" s="2"/>
      <c r="Z111" s="6">
        <v>4.1399999999999997</v>
      </c>
    </row>
    <row r="112" spans="1:27" x14ac:dyDescent="0.25">
      <c r="A112" t="s">
        <v>46</v>
      </c>
      <c r="B112" s="1" t="s">
        <v>0</v>
      </c>
      <c r="C112">
        <v>63</v>
      </c>
      <c r="D112" s="2">
        <v>315</v>
      </c>
      <c r="E112" s="2">
        <v>23</v>
      </c>
      <c r="F112" t="s">
        <v>36</v>
      </c>
      <c r="G112" s="2"/>
      <c r="H112" s="2"/>
      <c r="I112" s="6">
        <v>14.98</v>
      </c>
      <c r="K112" s="10">
        <v>108</v>
      </c>
      <c r="N112" s="2">
        <v>315</v>
      </c>
      <c r="P112" s="2"/>
      <c r="Q112" s="3">
        <v>4.4400000000000004</v>
      </c>
      <c r="S112" s="10">
        <v>172</v>
      </c>
      <c r="U112" s="10"/>
      <c r="V112" s="4"/>
      <c r="W112" s="2">
        <v>315</v>
      </c>
      <c r="X112" s="2"/>
      <c r="Y112" s="2"/>
      <c r="Z112" s="6">
        <v>4.62</v>
      </c>
    </row>
    <row r="113" spans="1:28" x14ac:dyDescent="0.25">
      <c r="A113" t="s">
        <v>46</v>
      </c>
      <c r="B113" s="1" t="s">
        <v>0</v>
      </c>
      <c r="C113">
        <v>63</v>
      </c>
      <c r="D113" s="2">
        <v>316</v>
      </c>
      <c r="E113" s="2">
        <v>6</v>
      </c>
      <c r="F113" t="s">
        <v>1</v>
      </c>
      <c r="G113" s="2"/>
      <c r="H113" s="2"/>
      <c r="I113" s="6">
        <v>14.58</v>
      </c>
      <c r="K113" s="10">
        <v>108</v>
      </c>
      <c r="N113" s="2">
        <v>316</v>
      </c>
      <c r="P113" s="2"/>
      <c r="Q113" s="3">
        <v>3.24</v>
      </c>
      <c r="S113" s="10">
        <v>131</v>
      </c>
      <c r="U113" s="10"/>
      <c r="V113" s="4"/>
      <c r="W113" s="2">
        <v>316</v>
      </c>
      <c r="X113" s="2"/>
      <c r="Y113" s="2"/>
      <c r="Z113" s="6">
        <v>3.88</v>
      </c>
      <c r="AB113" s="2">
        <v>80</v>
      </c>
    </row>
    <row r="114" spans="1:28" x14ac:dyDescent="0.25">
      <c r="A114" t="s">
        <v>46</v>
      </c>
      <c r="B114" s="1" t="s">
        <v>0</v>
      </c>
      <c r="C114">
        <v>63</v>
      </c>
      <c r="D114" s="2">
        <v>317</v>
      </c>
      <c r="E114" s="2">
        <v>20</v>
      </c>
      <c r="F114" s="7" t="s">
        <v>28</v>
      </c>
      <c r="G114" s="2">
        <v>850</v>
      </c>
      <c r="H114" s="2">
        <v>236</v>
      </c>
      <c r="I114" s="6">
        <v>12.6</v>
      </c>
      <c r="J114" s="4">
        <f>(H114-32)/(G114-32)</f>
        <v>0.24938875305623473</v>
      </c>
      <c r="K114" s="10">
        <v>73</v>
      </c>
      <c r="N114" s="2">
        <v>317</v>
      </c>
      <c r="O114" s="2">
        <v>564</v>
      </c>
      <c r="P114" s="2">
        <v>251</v>
      </c>
      <c r="Q114" s="3">
        <v>3.14</v>
      </c>
      <c r="R114" s="4">
        <f>(P114-32)/(O114-32)</f>
        <v>0.41165413533834588</v>
      </c>
      <c r="S114" s="10">
        <v>118</v>
      </c>
      <c r="U114" s="10"/>
      <c r="V114" s="4"/>
      <c r="W114" s="2">
        <v>317</v>
      </c>
      <c r="X114" s="2">
        <v>795</v>
      </c>
      <c r="Y114" s="2">
        <v>180</v>
      </c>
      <c r="Z114" s="6">
        <v>4.46</v>
      </c>
      <c r="AA114" s="4">
        <f>(Y114-32)/(X114-32)</f>
        <v>0.19397116644823068</v>
      </c>
    </row>
    <row r="115" spans="1:28" x14ac:dyDescent="0.25">
      <c r="A115" t="s">
        <v>46</v>
      </c>
      <c r="B115" s="1" t="s">
        <v>0</v>
      </c>
      <c r="C115">
        <v>63</v>
      </c>
      <c r="D115" s="2">
        <v>318</v>
      </c>
      <c r="E115" s="2">
        <v>36</v>
      </c>
      <c r="F115" t="s">
        <v>27</v>
      </c>
      <c r="G115" s="2"/>
      <c r="H115" s="2"/>
      <c r="I115" s="6">
        <v>15.7</v>
      </c>
      <c r="K115" s="10">
        <v>117</v>
      </c>
      <c r="N115" s="2">
        <v>318</v>
      </c>
      <c r="P115" s="2"/>
      <c r="Q115" s="3">
        <v>2.98</v>
      </c>
      <c r="S115" s="10">
        <v>170</v>
      </c>
      <c r="U115" s="10"/>
      <c r="V115" s="4"/>
      <c r="W115" s="2">
        <v>318</v>
      </c>
      <c r="X115" s="2"/>
      <c r="Y115" s="2"/>
      <c r="Z115" s="6">
        <v>4.84</v>
      </c>
    </row>
    <row r="116" spans="1:28" x14ac:dyDescent="0.25">
      <c r="A116" t="s">
        <v>46</v>
      </c>
      <c r="B116" s="1" t="s">
        <v>0</v>
      </c>
      <c r="C116">
        <v>63</v>
      </c>
      <c r="D116" s="2">
        <v>319</v>
      </c>
      <c r="E116" s="2">
        <v>3</v>
      </c>
      <c r="F116" t="s">
        <v>3</v>
      </c>
      <c r="G116" s="2"/>
      <c r="H116" s="2"/>
      <c r="I116" s="6">
        <v>14.88</v>
      </c>
      <c r="K116" s="10">
        <v>77</v>
      </c>
      <c r="N116" s="2">
        <v>319</v>
      </c>
      <c r="P116" s="2"/>
      <c r="Q116" s="3">
        <v>2.7</v>
      </c>
      <c r="S116" s="10">
        <v>173</v>
      </c>
      <c r="U116" s="10"/>
      <c r="V116" s="4"/>
      <c r="W116" s="2">
        <v>319</v>
      </c>
      <c r="X116" s="2"/>
      <c r="Y116" s="2"/>
      <c r="Z116" s="6">
        <v>4.26</v>
      </c>
      <c r="AB116" s="2">
        <v>80</v>
      </c>
    </row>
    <row r="117" spans="1:28" x14ac:dyDescent="0.25">
      <c r="A117" t="s">
        <v>46</v>
      </c>
      <c r="B117" s="1" t="s">
        <v>0</v>
      </c>
      <c r="C117">
        <v>63</v>
      </c>
      <c r="D117" s="2">
        <v>320</v>
      </c>
      <c r="E117" s="2">
        <v>33</v>
      </c>
      <c r="F117" t="s">
        <v>23</v>
      </c>
      <c r="G117" s="2"/>
      <c r="H117" s="2"/>
      <c r="I117" s="6">
        <v>15.8</v>
      </c>
      <c r="K117" s="10">
        <v>137</v>
      </c>
      <c r="N117" s="2">
        <v>320</v>
      </c>
      <c r="P117" s="2"/>
      <c r="Q117" s="3">
        <v>3.5</v>
      </c>
      <c r="S117" s="10">
        <v>120</v>
      </c>
      <c r="U117" s="10"/>
      <c r="V117" s="4"/>
      <c r="W117" s="2">
        <v>320</v>
      </c>
      <c r="X117" s="2"/>
      <c r="Y117" s="2"/>
      <c r="Z117" s="6">
        <v>5.22</v>
      </c>
    </row>
    <row r="118" spans="1:28" x14ac:dyDescent="0.25">
      <c r="A118" t="s">
        <v>46</v>
      </c>
      <c r="B118" s="1" t="s">
        <v>0</v>
      </c>
      <c r="C118">
        <v>63</v>
      </c>
      <c r="D118" s="2">
        <v>321</v>
      </c>
      <c r="E118" s="2">
        <v>22</v>
      </c>
      <c r="F118" t="s">
        <v>7</v>
      </c>
      <c r="G118" s="2">
        <v>972</v>
      </c>
      <c r="H118" s="2">
        <v>256</v>
      </c>
      <c r="I118" s="6">
        <v>15.78</v>
      </c>
      <c r="J118" s="4">
        <f>(H118-32)/(G118-32)</f>
        <v>0.23829787234042554</v>
      </c>
      <c r="K118" s="10">
        <v>136</v>
      </c>
      <c r="N118" s="2">
        <v>321</v>
      </c>
      <c r="O118" s="2">
        <v>662</v>
      </c>
      <c r="P118" s="2">
        <v>277</v>
      </c>
      <c r="Q118" s="3">
        <v>3.92</v>
      </c>
      <c r="R118" s="4">
        <f>(P118-32)/(O118-32)</f>
        <v>0.3888888888888889</v>
      </c>
      <c r="S118" s="10">
        <v>141</v>
      </c>
      <c r="U118" s="10"/>
      <c r="V118" s="4"/>
      <c r="W118" s="2">
        <v>321</v>
      </c>
      <c r="X118" s="2">
        <v>829</v>
      </c>
      <c r="Y118" s="2">
        <v>205</v>
      </c>
      <c r="Z118" s="6">
        <v>4.4400000000000004</v>
      </c>
      <c r="AA118" s="4">
        <f>(Y118-32)/(X118-32)</f>
        <v>0.21706398996235884</v>
      </c>
    </row>
    <row r="119" spans="1:28" x14ac:dyDescent="0.25">
      <c r="A119" t="s">
        <v>46</v>
      </c>
      <c r="B119" s="1" t="s">
        <v>0</v>
      </c>
      <c r="C119">
        <v>63</v>
      </c>
      <c r="D119" s="2">
        <v>322</v>
      </c>
      <c r="E119" s="2">
        <v>1</v>
      </c>
      <c r="F119" t="s">
        <v>6</v>
      </c>
      <c r="G119" s="2"/>
      <c r="H119" s="2"/>
      <c r="I119" s="6">
        <v>16.48</v>
      </c>
      <c r="K119" s="10">
        <v>92</v>
      </c>
      <c r="N119" s="2">
        <v>322</v>
      </c>
      <c r="P119" s="2"/>
      <c r="Q119" s="3">
        <v>4.04</v>
      </c>
      <c r="S119" s="10">
        <v>160</v>
      </c>
      <c r="U119" s="10"/>
      <c r="V119" s="4"/>
      <c r="W119" s="2">
        <v>322</v>
      </c>
      <c r="X119" s="2"/>
      <c r="Y119" s="2"/>
      <c r="Z119" s="6">
        <v>4.42</v>
      </c>
      <c r="AB119" s="2">
        <v>79</v>
      </c>
    </row>
    <row r="120" spans="1:28" x14ac:dyDescent="0.25">
      <c r="A120" t="s">
        <v>46</v>
      </c>
      <c r="B120" s="1" t="s">
        <v>0</v>
      </c>
      <c r="C120">
        <v>63</v>
      </c>
      <c r="D120" s="2">
        <v>323</v>
      </c>
      <c r="E120" s="2">
        <v>15</v>
      </c>
      <c r="F120" t="s">
        <v>20</v>
      </c>
      <c r="G120" s="2"/>
      <c r="H120" s="2"/>
      <c r="I120" s="6">
        <v>16.2</v>
      </c>
      <c r="K120" s="10">
        <v>93</v>
      </c>
      <c r="N120" s="2">
        <v>323</v>
      </c>
      <c r="P120" s="2"/>
      <c r="Q120" s="3">
        <v>3.92</v>
      </c>
      <c r="S120" s="10">
        <v>217</v>
      </c>
      <c r="U120" s="10"/>
      <c r="V120" s="4"/>
      <c r="W120" s="2">
        <v>323</v>
      </c>
      <c r="X120" s="2"/>
      <c r="Y120" s="2"/>
      <c r="Z120" s="6">
        <v>4.58</v>
      </c>
    </row>
    <row r="121" spans="1:28" x14ac:dyDescent="0.25">
      <c r="A121" t="s">
        <v>46</v>
      </c>
      <c r="B121" s="1" t="s">
        <v>0</v>
      </c>
      <c r="C121">
        <v>63</v>
      </c>
      <c r="D121" s="2">
        <v>324</v>
      </c>
      <c r="E121" s="2">
        <v>4</v>
      </c>
      <c r="F121" t="s">
        <v>2</v>
      </c>
      <c r="G121" s="2"/>
      <c r="H121" s="2"/>
      <c r="I121" s="6">
        <v>15.38</v>
      </c>
      <c r="K121" s="10">
        <v>131</v>
      </c>
      <c r="N121" s="2">
        <v>324</v>
      </c>
      <c r="P121" s="2"/>
      <c r="Q121" s="3">
        <v>2.88</v>
      </c>
      <c r="S121" s="10">
        <v>125</v>
      </c>
      <c r="U121" s="10"/>
      <c r="V121" s="4"/>
      <c r="W121" s="2">
        <v>324</v>
      </c>
      <c r="X121" s="2"/>
      <c r="Y121" s="2"/>
      <c r="Z121" s="6">
        <v>4.58</v>
      </c>
      <c r="AB121" s="2">
        <v>91</v>
      </c>
    </row>
    <row r="122" spans="1:28" x14ac:dyDescent="0.25">
      <c r="A122" t="s">
        <v>46</v>
      </c>
      <c r="B122" s="1" t="s">
        <v>0</v>
      </c>
      <c r="C122">
        <v>63</v>
      </c>
      <c r="D122" s="2">
        <v>325</v>
      </c>
      <c r="E122" s="2">
        <v>12</v>
      </c>
      <c r="F122" t="s">
        <v>33</v>
      </c>
      <c r="G122" s="2">
        <v>815</v>
      </c>
      <c r="H122" s="2">
        <v>226</v>
      </c>
      <c r="I122" s="6">
        <v>17.84</v>
      </c>
      <c r="J122" s="4">
        <f>(H122-32)/(G122-32)</f>
        <v>0.24776500638569604</v>
      </c>
      <c r="K122" s="10">
        <v>94</v>
      </c>
      <c r="N122" s="2">
        <v>325</v>
      </c>
      <c r="O122" s="2">
        <v>562</v>
      </c>
      <c r="P122" s="2">
        <v>227</v>
      </c>
      <c r="Q122" s="3">
        <v>3.24</v>
      </c>
      <c r="R122" s="4">
        <f>(P122-32)/(O122-32)</f>
        <v>0.36792452830188677</v>
      </c>
      <c r="S122" s="10">
        <v>120</v>
      </c>
      <c r="U122" s="10"/>
      <c r="V122" s="4"/>
      <c r="W122" s="2">
        <v>325</v>
      </c>
      <c r="X122" s="2">
        <v>852</v>
      </c>
      <c r="Y122" s="2">
        <v>214</v>
      </c>
      <c r="Z122" s="6">
        <v>4.72</v>
      </c>
      <c r="AA122" s="4">
        <f>(Y122-32)/(X122-32)</f>
        <v>0.22195121951219512</v>
      </c>
    </row>
    <row r="123" spans="1:28" x14ac:dyDescent="0.25">
      <c r="A123" t="s">
        <v>46</v>
      </c>
      <c r="B123" s="1" t="s">
        <v>0</v>
      </c>
      <c r="C123">
        <v>63</v>
      </c>
      <c r="D123" s="2">
        <v>326</v>
      </c>
      <c r="E123" s="2">
        <v>24</v>
      </c>
      <c r="F123" t="s">
        <v>32</v>
      </c>
      <c r="G123" s="2"/>
      <c r="H123" s="2"/>
      <c r="I123" s="6">
        <v>16.48</v>
      </c>
      <c r="K123" s="10">
        <v>139</v>
      </c>
      <c r="N123" s="2">
        <v>326</v>
      </c>
      <c r="P123" s="2"/>
      <c r="Q123" s="3">
        <v>2.84</v>
      </c>
      <c r="S123" s="10">
        <v>171</v>
      </c>
      <c r="U123" s="10"/>
      <c r="V123" s="4"/>
      <c r="W123" s="2">
        <v>326</v>
      </c>
      <c r="X123" s="2"/>
      <c r="Y123" s="2"/>
      <c r="Z123" s="6">
        <v>4.22</v>
      </c>
    </row>
    <row r="124" spans="1:28" x14ac:dyDescent="0.25">
      <c r="A124" t="s">
        <v>46</v>
      </c>
      <c r="B124" s="1" t="s">
        <v>0</v>
      </c>
      <c r="C124">
        <v>63</v>
      </c>
      <c r="D124" s="2">
        <v>327</v>
      </c>
      <c r="E124" s="2">
        <v>21</v>
      </c>
      <c r="F124" t="s">
        <v>22</v>
      </c>
      <c r="G124" s="2"/>
      <c r="H124" s="2"/>
      <c r="I124" s="6">
        <v>12.54</v>
      </c>
      <c r="K124" s="10">
        <v>148</v>
      </c>
      <c r="N124" s="2">
        <v>327</v>
      </c>
      <c r="P124" s="2"/>
      <c r="Q124" s="3">
        <v>2.2999999999999998</v>
      </c>
      <c r="S124" s="10">
        <v>108</v>
      </c>
      <c r="U124" s="10"/>
      <c r="V124" s="4"/>
      <c r="W124" s="2">
        <v>327</v>
      </c>
      <c r="X124" s="2"/>
      <c r="Y124" s="2"/>
      <c r="Z124" s="6">
        <v>3.72</v>
      </c>
    </row>
    <row r="125" spans="1:28" x14ac:dyDescent="0.25">
      <c r="A125" t="s">
        <v>46</v>
      </c>
      <c r="B125" s="1" t="s">
        <v>0</v>
      </c>
      <c r="C125">
        <v>63</v>
      </c>
      <c r="D125" s="2">
        <v>328</v>
      </c>
      <c r="E125" s="2">
        <v>2</v>
      </c>
      <c r="F125" t="s">
        <v>4</v>
      </c>
      <c r="G125" s="2"/>
      <c r="H125" s="2"/>
      <c r="I125" s="6">
        <v>14.5</v>
      </c>
      <c r="K125" s="10">
        <v>102</v>
      </c>
      <c r="N125" s="2">
        <v>328</v>
      </c>
      <c r="P125" s="2"/>
      <c r="Q125" s="3">
        <v>2.2000000000000002</v>
      </c>
      <c r="S125" s="10">
        <v>151</v>
      </c>
      <c r="U125" s="10"/>
      <c r="V125" s="4"/>
      <c r="W125" s="2">
        <v>328</v>
      </c>
      <c r="X125" s="2"/>
      <c r="Y125" s="2"/>
      <c r="Z125" s="6">
        <v>3.62</v>
      </c>
      <c r="AB125" s="2">
        <v>84</v>
      </c>
    </row>
    <row r="126" spans="1:28" x14ac:dyDescent="0.25">
      <c r="A126" t="s">
        <v>46</v>
      </c>
      <c r="B126" s="1" t="s">
        <v>0</v>
      </c>
      <c r="C126">
        <v>63</v>
      </c>
      <c r="D126" s="2">
        <v>329</v>
      </c>
      <c r="E126" s="2">
        <v>30</v>
      </c>
      <c r="F126" s="7" t="s">
        <v>9</v>
      </c>
      <c r="G126" s="2">
        <v>778</v>
      </c>
      <c r="H126" s="2">
        <v>198</v>
      </c>
      <c r="I126" s="6">
        <v>14.36</v>
      </c>
      <c r="J126" s="4">
        <f>(H126-32)/(G126-32)</f>
        <v>0.22252010723860591</v>
      </c>
      <c r="K126" s="10">
        <v>88</v>
      </c>
      <c r="N126" s="2">
        <v>329</v>
      </c>
      <c r="O126" s="2">
        <v>624</v>
      </c>
      <c r="P126" s="2">
        <v>247</v>
      </c>
      <c r="Q126" s="3">
        <v>1.7</v>
      </c>
      <c r="R126" s="4">
        <f>(P126-32)/(O126-32)</f>
        <v>0.36317567567567566</v>
      </c>
      <c r="S126" s="10">
        <v>162</v>
      </c>
      <c r="U126" s="10"/>
      <c r="V126" s="4"/>
      <c r="W126" s="2">
        <v>329</v>
      </c>
      <c r="X126" s="2">
        <v>635</v>
      </c>
      <c r="Y126" s="2">
        <v>157</v>
      </c>
      <c r="Z126" s="6">
        <v>4.38</v>
      </c>
      <c r="AA126" s="4">
        <f>(Y126-32)/(X126-32)</f>
        <v>0.20729684908789386</v>
      </c>
    </row>
    <row r="127" spans="1:28" x14ac:dyDescent="0.25">
      <c r="A127" t="s">
        <v>46</v>
      </c>
      <c r="B127" s="1" t="s">
        <v>0</v>
      </c>
      <c r="C127">
        <v>63</v>
      </c>
      <c r="D127" s="2">
        <v>330</v>
      </c>
      <c r="E127" s="2">
        <v>8</v>
      </c>
      <c r="F127" t="s">
        <v>31</v>
      </c>
      <c r="G127" s="2"/>
      <c r="H127" s="2"/>
      <c r="I127" s="6">
        <v>15.04</v>
      </c>
      <c r="K127" s="10">
        <v>84</v>
      </c>
      <c r="N127" s="2">
        <v>330</v>
      </c>
      <c r="P127" s="2"/>
      <c r="Q127" s="3">
        <v>11.3</v>
      </c>
      <c r="S127" s="10">
        <v>111</v>
      </c>
      <c r="U127" s="10"/>
      <c r="V127" s="4"/>
      <c r="W127" s="2">
        <v>330</v>
      </c>
      <c r="X127" s="2"/>
      <c r="Y127" s="2"/>
      <c r="Z127" s="6">
        <v>4.68</v>
      </c>
    </row>
    <row r="128" spans="1:28" x14ac:dyDescent="0.25">
      <c r="A128" t="s">
        <v>46</v>
      </c>
      <c r="B128" s="1" t="s">
        <v>0</v>
      </c>
      <c r="C128">
        <v>63</v>
      </c>
      <c r="D128" s="2">
        <v>331</v>
      </c>
      <c r="E128" s="2">
        <v>17</v>
      </c>
      <c r="F128" t="s">
        <v>17</v>
      </c>
      <c r="G128" s="2"/>
      <c r="H128" s="2"/>
      <c r="I128" s="6">
        <v>15.36</v>
      </c>
      <c r="K128" s="10">
        <v>93</v>
      </c>
      <c r="N128" s="2">
        <v>331</v>
      </c>
      <c r="P128" s="2"/>
      <c r="Q128" s="3">
        <v>4.38</v>
      </c>
      <c r="S128" s="10">
        <v>106</v>
      </c>
      <c r="U128" s="10"/>
      <c r="V128" s="4"/>
      <c r="W128" s="2">
        <v>331</v>
      </c>
      <c r="X128" s="2"/>
      <c r="Y128" s="2"/>
      <c r="Z128" s="6">
        <v>4.4000000000000004</v>
      </c>
    </row>
    <row r="129" spans="1:27" x14ac:dyDescent="0.25">
      <c r="A129" t="s">
        <v>46</v>
      </c>
      <c r="B129" s="1" t="s">
        <v>0</v>
      </c>
      <c r="C129">
        <v>63</v>
      </c>
      <c r="D129" s="2">
        <v>332</v>
      </c>
      <c r="E129" s="2">
        <v>34</v>
      </c>
      <c r="F129" s="7" t="s">
        <v>34</v>
      </c>
      <c r="G129" s="2"/>
      <c r="H129" s="2"/>
      <c r="I129" s="6">
        <v>15.22</v>
      </c>
      <c r="K129" s="10">
        <v>80</v>
      </c>
      <c r="N129" s="2">
        <v>332</v>
      </c>
      <c r="P129" s="2"/>
      <c r="Q129" s="3">
        <v>3.94</v>
      </c>
      <c r="S129" s="10">
        <v>165</v>
      </c>
      <c r="U129" s="10"/>
      <c r="V129" s="4"/>
      <c r="W129" s="2">
        <v>332</v>
      </c>
      <c r="X129" s="2"/>
      <c r="Y129" s="2"/>
      <c r="Z129" s="6">
        <v>4.62</v>
      </c>
    </row>
    <row r="130" spans="1:27" x14ac:dyDescent="0.25">
      <c r="A130" t="s">
        <v>46</v>
      </c>
      <c r="B130" s="1" t="s">
        <v>0</v>
      </c>
      <c r="C130">
        <v>63</v>
      </c>
      <c r="D130" s="2">
        <v>333</v>
      </c>
      <c r="E130" s="2">
        <v>14</v>
      </c>
      <c r="F130" t="s">
        <v>25</v>
      </c>
      <c r="G130" s="2">
        <v>894</v>
      </c>
      <c r="H130" s="2">
        <v>246</v>
      </c>
      <c r="I130" s="6">
        <v>13.86</v>
      </c>
      <c r="J130" s="4">
        <f>(H130-32)/(G130-32)</f>
        <v>0.24825986078886311</v>
      </c>
      <c r="K130" s="10">
        <v>71</v>
      </c>
      <c r="N130" s="2">
        <v>333</v>
      </c>
      <c r="O130" s="2">
        <v>784</v>
      </c>
      <c r="P130" s="2">
        <v>307</v>
      </c>
      <c r="Q130" s="3">
        <v>3.32</v>
      </c>
      <c r="R130" s="4">
        <f>(P130-32)/(O130-32)</f>
        <v>0.36569148936170215</v>
      </c>
      <c r="S130" s="10">
        <v>129</v>
      </c>
      <c r="U130" s="10"/>
      <c r="V130" s="4"/>
      <c r="W130" s="2">
        <v>333</v>
      </c>
      <c r="X130" s="2">
        <v>847</v>
      </c>
      <c r="Y130" s="2">
        <v>216</v>
      </c>
      <c r="Z130" s="6">
        <v>3.9</v>
      </c>
      <c r="AA130" s="4">
        <f>(Y130-32)/(X130-32)</f>
        <v>0.22576687116564417</v>
      </c>
    </row>
    <row r="131" spans="1:27" x14ac:dyDescent="0.25">
      <c r="A131" t="s">
        <v>46</v>
      </c>
      <c r="B131" s="1" t="s">
        <v>0</v>
      </c>
      <c r="C131">
        <v>63</v>
      </c>
      <c r="D131" s="2">
        <v>334</v>
      </c>
      <c r="E131" s="2">
        <v>7</v>
      </c>
      <c r="F131" t="s">
        <v>16</v>
      </c>
      <c r="G131" s="2"/>
      <c r="H131" s="2"/>
      <c r="I131" s="6">
        <v>13.96</v>
      </c>
      <c r="K131" s="10">
        <v>74</v>
      </c>
      <c r="N131" s="2">
        <v>334</v>
      </c>
      <c r="P131" s="2"/>
      <c r="Q131" s="3">
        <v>3.3</v>
      </c>
      <c r="S131" s="10">
        <v>167</v>
      </c>
      <c r="U131" s="10"/>
      <c r="V131" s="4"/>
      <c r="W131" s="2">
        <v>334</v>
      </c>
      <c r="X131" s="2"/>
      <c r="Y131" s="2"/>
      <c r="Z131" s="6">
        <v>3.7</v>
      </c>
    </row>
    <row r="132" spans="1:27" x14ac:dyDescent="0.25">
      <c r="A132" t="s">
        <v>46</v>
      </c>
      <c r="B132" s="1" t="s">
        <v>0</v>
      </c>
      <c r="C132">
        <v>63</v>
      </c>
      <c r="D132" s="2">
        <v>335</v>
      </c>
      <c r="E132" s="2">
        <v>9</v>
      </c>
      <c r="F132" t="s">
        <v>19</v>
      </c>
      <c r="G132" s="2"/>
      <c r="H132" s="2"/>
      <c r="I132" s="6">
        <v>14.56</v>
      </c>
      <c r="K132" s="10">
        <v>77</v>
      </c>
      <c r="N132" s="2">
        <v>335</v>
      </c>
      <c r="P132" s="2"/>
      <c r="Q132" s="3">
        <v>3.5</v>
      </c>
      <c r="S132" s="10">
        <v>168</v>
      </c>
      <c r="U132" s="10"/>
      <c r="V132" s="4"/>
      <c r="W132" s="2">
        <v>335</v>
      </c>
      <c r="X132" s="2"/>
      <c r="Y132" s="2"/>
      <c r="Z132" s="6">
        <v>4.5199999999999996</v>
      </c>
    </row>
    <row r="133" spans="1:27" x14ac:dyDescent="0.25">
      <c r="A133" t="s">
        <v>46</v>
      </c>
      <c r="B133" s="1" t="s">
        <v>0</v>
      </c>
      <c r="C133">
        <v>63</v>
      </c>
      <c r="D133" s="2">
        <v>336</v>
      </c>
      <c r="E133" s="2">
        <v>11</v>
      </c>
      <c r="F133" t="s">
        <v>15</v>
      </c>
      <c r="G133" s="2"/>
      <c r="H133" s="2"/>
      <c r="I133" s="6">
        <v>17.079999999999998</v>
      </c>
      <c r="K133" s="10">
        <v>73</v>
      </c>
      <c r="N133" s="2">
        <v>336</v>
      </c>
      <c r="P133" s="2"/>
      <c r="Q133" s="3">
        <v>5.36</v>
      </c>
      <c r="S133" s="10">
        <v>125</v>
      </c>
      <c r="U133" s="10"/>
      <c r="V133" s="4"/>
      <c r="W133" s="2">
        <v>336</v>
      </c>
      <c r="X133" s="2"/>
      <c r="Y133" s="2"/>
      <c r="Z133" s="6">
        <v>5.16</v>
      </c>
    </row>
    <row r="134" spans="1:27" x14ac:dyDescent="0.25">
      <c r="A134" t="s">
        <v>46</v>
      </c>
      <c r="B134" s="1" t="s">
        <v>0</v>
      </c>
      <c r="C134">
        <v>63</v>
      </c>
      <c r="D134" s="2">
        <v>337</v>
      </c>
      <c r="E134" s="2">
        <v>29</v>
      </c>
      <c r="F134" t="s">
        <v>11</v>
      </c>
      <c r="G134" s="2">
        <v>809</v>
      </c>
      <c r="H134" s="2">
        <v>219</v>
      </c>
      <c r="I134" s="6">
        <v>16</v>
      </c>
      <c r="J134" s="4">
        <f>(H134-32)/(G134-32)</f>
        <v>0.24066924066924067</v>
      </c>
      <c r="K134" s="10">
        <v>84</v>
      </c>
      <c r="N134" s="2">
        <v>337</v>
      </c>
      <c r="O134" s="2">
        <v>849</v>
      </c>
      <c r="P134" s="2">
        <v>333</v>
      </c>
      <c r="Q134" s="3">
        <v>5.2</v>
      </c>
      <c r="R134" s="4">
        <f>(P134-32)/(O134-32)</f>
        <v>0.36842105263157893</v>
      </c>
      <c r="S134" s="10">
        <v>121</v>
      </c>
      <c r="U134" s="10"/>
      <c r="V134" s="4"/>
      <c r="W134" s="2">
        <v>337</v>
      </c>
      <c r="X134" s="2">
        <v>752</v>
      </c>
      <c r="Y134" s="2">
        <v>185</v>
      </c>
      <c r="Z134" s="6">
        <v>5.08</v>
      </c>
      <c r="AA134" s="4">
        <f>(Y134-32)/(X134-32)</f>
        <v>0.21249999999999999</v>
      </c>
    </row>
    <row r="135" spans="1:27" x14ac:dyDescent="0.25">
      <c r="A135" t="s">
        <v>46</v>
      </c>
      <c r="B135" s="1" t="s">
        <v>0</v>
      </c>
      <c r="C135">
        <v>63</v>
      </c>
      <c r="D135" s="2">
        <v>338</v>
      </c>
      <c r="E135" s="2">
        <v>26</v>
      </c>
      <c r="F135" t="s">
        <v>21</v>
      </c>
      <c r="G135" s="2"/>
      <c r="H135" s="2"/>
      <c r="I135" s="6">
        <v>16.78</v>
      </c>
      <c r="K135" s="10">
        <v>81</v>
      </c>
      <c r="N135" s="2">
        <v>338</v>
      </c>
      <c r="P135" s="2"/>
      <c r="Q135" s="3">
        <v>3.8</v>
      </c>
      <c r="S135" s="10">
        <v>140</v>
      </c>
      <c r="U135" s="10"/>
      <c r="V135" s="4"/>
      <c r="W135" s="2">
        <v>338</v>
      </c>
      <c r="X135" s="2"/>
      <c r="Y135" s="2"/>
      <c r="Z135" s="6">
        <v>5.22</v>
      </c>
    </row>
    <row r="136" spans="1:27" x14ac:dyDescent="0.25">
      <c r="A136" t="s">
        <v>46</v>
      </c>
      <c r="B136" s="1" t="s">
        <v>0</v>
      </c>
      <c r="C136">
        <v>63</v>
      </c>
      <c r="D136" s="2">
        <v>339</v>
      </c>
      <c r="E136" s="2">
        <v>28</v>
      </c>
      <c r="F136" t="s">
        <v>13</v>
      </c>
      <c r="G136" s="2"/>
      <c r="H136" s="2"/>
      <c r="I136" s="6">
        <v>16.440000000000001</v>
      </c>
      <c r="K136" s="10">
        <v>85</v>
      </c>
      <c r="N136" s="2">
        <v>339</v>
      </c>
      <c r="P136" s="2"/>
      <c r="Q136" s="3">
        <v>3.8</v>
      </c>
      <c r="S136" s="10">
        <v>107</v>
      </c>
      <c r="U136" s="10"/>
      <c r="V136" s="4"/>
      <c r="W136" s="2">
        <v>339</v>
      </c>
      <c r="X136" s="2"/>
      <c r="Y136" s="2"/>
      <c r="Z136" s="6">
        <v>4.84</v>
      </c>
    </row>
    <row r="137" spans="1:27" x14ac:dyDescent="0.25">
      <c r="A137" t="s">
        <v>46</v>
      </c>
      <c r="B137" s="1" t="s">
        <v>0</v>
      </c>
      <c r="C137">
        <v>63</v>
      </c>
      <c r="D137" s="2">
        <v>340</v>
      </c>
      <c r="E137" s="2">
        <v>31</v>
      </c>
      <c r="F137" t="s">
        <v>29</v>
      </c>
      <c r="G137" s="2"/>
      <c r="H137" s="2"/>
      <c r="I137" s="6">
        <v>15.5</v>
      </c>
      <c r="K137" s="10">
        <v>89</v>
      </c>
      <c r="N137" s="2">
        <v>340</v>
      </c>
      <c r="P137" s="2"/>
      <c r="Q137" s="3">
        <v>3.34</v>
      </c>
      <c r="S137" s="10">
        <v>171</v>
      </c>
      <c r="U137" s="10"/>
      <c r="V137" s="4"/>
      <c r="W137" s="2">
        <v>340</v>
      </c>
      <c r="X137" s="2"/>
      <c r="Y137" s="2"/>
      <c r="Z137" s="6">
        <v>5.42</v>
      </c>
    </row>
    <row r="138" spans="1:27" x14ac:dyDescent="0.25">
      <c r="A138" t="s">
        <v>46</v>
      </c>
      <c r="B138" s="1" t="s">
        <v>0</v>
      </c>
      <c r="C138">
        <v>63</v>
      </c>
      <c r="D138" s="2">
        <v>341</v>
      </c>
      <c r="E138" s="2">
        <v>10</v>
      </c>
      <c r="F138" t="s">
        <v>35</v>
      </c>
      <c r="G138" s="2">
        <v>942</v>
      </c>
      <c r="H138" s="2">
        <v>249</v>
      </c>
      <c r="I138" s="6">
        <v>14.5</v>
      </c>
      <c r="J138" s="4">
        <f>(H138-32)/(G138-32)</f>
        <v>0.23846153846153847</v>
      </c>
      <c r="K138" s="10">
        <v>81</v>
      </c>
      <c r="N138" s="2">
        <v>341</v>
      </c>
      <c r="O138" s="2">
        <v>642</v>
      </c>
      <c r="P138" s="2">
        <v>267</v>
      </c>
      <c r="Q138" s="3">
        <v>3.12</v>
      </c>
      <c r="R138" s="4">
        <f>(P138-32)/(O138-32)</f>
        <v>0.38524590163934425</v>
      </c>
      <c r="S138" s="10">
        <v>105</v>
      </c>
      <c r="U138" s="10"/>
      <c r="V138" s="4"/>
      <c r="W138" s="2">
        <v>341</v>
      </c>
      <c r="X138" s="2">
        <v>878</v>
      </c>
      <c r="Y138" s="2">
        <v>208</v>
      </c>
      <c r="Z138" s="6">
        <v>5.19</v>
      </c>
      <c r="AA138" s="4">
        <f>(Y138-32)/(X138-32)</f>
        <v>0.20803782505910165</v>
      </c>
    </row>
    <row r="139" spans="1:27" x14ac:dyDescent="0.25">
      <c r="A139" t="s">
        <v>46</v>
      </c>
      <c r="B139" s="1" t="s">
        <v>0</v>
      </c>
      <c r="C139">
        <v>63</v>
      </c>
      <c r="D139" s="2">
        <v>342</v>
      </c>
      <c r="E139" s="2">
        <v>35</v>
      </c>
      <c r="F139" s="7" t="s">
        <v>26</v>
      </c>
      <c r="G139" s="2"/>
      <c r="H139" s="2"/>
      <c r="I139" s="6">
        <v>16.04</v>
      </c>
      <c r="K139" s="10">
        <v>91</v>
      </c>
      <c r="N139" s="2">
        <v>342</v>
      </c>
      <c r="P139" s="2"/>
      <c r="Q139" s="3">
        <v>3.5</v>
      </c>
      <c r="S139" s="10">
        <v>159</v>
      </c>
      <c r="U139" s="10"/>
      <c r="V139" s="4"/>
      <c r="W139" s="2">
        <v>342</v>
      </c>
      <c r="X139" s="2"/>
      <c r="Y139" s="2"/>
      <c r="Z139" s="6">
        <v>5.9</v>
      </c>
    </row>
    <row r="140" spans="1:27" x14ac:dyDescent="0.25">
      <c r="A140" t="s">
        <v>46</v>
      </c>
      <c r="B140" s="1" t="s">
        <v>0</v>
      </c>
      <c r="C140">
        <v>63</v>
      </c>
      <c r="D140" s="2">
        <v>343</v>
      </c>
      <c r="E140" s="2">
        <v>27</v>
      </c>
      <c r="F140" t="s">
        <v>14</v>
      </c>
      <c r="G140" s="2"/>
      <c r="H140" s="2"/>
      <c r="I140" s="6">
        <v>13.36</v>
      </c>
      <c r="K140" s="10">
        <v>85</v>
      </c>
      <c r="N140" s="2">
        <v>343</v>
      </c>
      <c r="P140" s="2"/>
      <c r="Q140" s="3">
        <v>3.26</v>
      </c>
      <c r="S140" s="10">
        <v>127</v>
      </c>
      <c r="U140" s="10"/>
      <c r="V140" s="4"/>
      <c r="W140" s="2">
        <v>343</v>
      </c>
      <c r="X140" s="2"/>
      <c r="Y140" s="2"/>
      <c r="Z140" s="6">
        <v>5.2</v>
      </c>
    </row>
    <row r="141" spans="1:27" x14ac:dyDescent="0.25">
      <c r="A141" t="s">
        <v>46</v>
      </c>
      <c r="B141" s="1" t="s">
        <v>0</v>
      </c>
      <c r="C141">
        <v>63</v>
      </c>
      <c r="D141" s="2">
        <v>344</v>
      </c>
      <c r="E141" s="2">
        <v>18</v>
      </c>
      <c r="F141" t="s">
        <v>18</v>
      </c>
      <c r="G141" s="2"/>
      <c r="H141" s="2"/>
      <c r="I141" s="6">
        <v>13.16</v>
      </c>
      <c r="K141" s="10">
        <v>79</v>
      </c>
      <c r="N141" s="2">
        <v>344</v>
      </c>
      <c r="P141" s="2"/>
      <c r="Q141" s="3">
        <v>3.08</v>
      </c>
      <c r="S141" s="10">
        <v>141</v>
      </c>
      <c r="U141" s="10"/>
      <c r="V141" s="4"/>
      <c r="W141" s="2">
        <v>344</v>
      </c>
      <c r="X141" s="2"/>
      <c r="Y141" s="2"/>
      <c r="Z141" s="6">
        <v>5.3</v>
      </c>
    </row>
    <row r="142" spans="1:27" x14ac:dyDescent="0.25">
      <c r="A142" t="s">
        <v>46</v>
      </c>
      <c r="B142" s="1" t="s">
        <v>0</v>
      </c>
      <c r="C142">
        <v>63</v>
      </c>
      <c r="D142" s="2">
        <v>345</v>
      </c>
      <c r="E142" s="2">
        <v>16</v>
      </c>
      <c r="F142" s="7" t="s">
        <v>12</v>
      </c>
      <c r="G142" s="2">
        <v>944</v>
      </c>
      <c r="H142" s="2">
        <v>260</v>
      </c>
      <c r="I142" s="6">
        <v>13.22</v>
      </c>
      <c r="J142" s="4">
        <f>(H142-32)/(G142-32)</f>
        <v>0.25</v>
      </c>
      <c r="K142" s="10">
        <v>82</v>
      </c>
      <c r="N142" s="2">
        <v>345</v>
      </c>
      <c r="O142" s="2">
        <v>344</v>
      </c>
      <c r="P142" s="2">
        <v>161</v>
      </c>
      <c r="Q142" s="3">
        <v>3.14</v>
      </c>
      <c r="R142" s="4">
        <f>(P142-32)/(O142-32)</f>
        <v>0.41346153846153844</v>
      </c>
      <c r="S142" s="10">
        <v>151</v>
      </c>
      <c r="U142" s="10"/>
      <c r="V142" s="4"/>
      <c r="W142" s="2">
        <v>345</v>
      </c>
      <c r="X142" s="2">
        <v>772</v>
      </c>
      <c r="Y142" s="2">
        <v>190</v>
      </c>
      <c r="Z142" s="6">
        <v>4.54</v>
      </c>
      <c r="AA142" s="4">
        <f>(Y142-32)/(X142-32)</f>
        <v>0.21351351351351353</v>
      </c>
    </row>
    <row r="143" spans="1:27" x14ac:dyDescent="0.25">
      <c r="A143" t="s">
        <v>46</v>
      </c>
      <c r="B143" s="1" t="s">
        <v>0</v>
      </c>
      <c r="C143">
        <v>63</v>
      </c>
      <c r="D143" s="2">
        <v>346</v>
      </c>
      <c r="E143" s="2">
        <v>32</v>
      </c>
      <c r="F143" s="7" t="s">
        <v>30</v>
      </c>
      <c r="G143" s="2"/>
      <c r="H143" s="2"/>
      <c r="I143" s="6">
        <v>16.420000000000002</v>
      </c>
      <c r="K143" s="10">
        <v>83</v>
      </c>
      <c r="N143" s="2">
        <v>346</v>
      </c>
      <c r="P143" s="2"/>
      <c r="Q143" s="3">
        <v>3.1</v>
      </c>
      <c r="S143" s="10">
        <v>147</v>
      </c>
      <c r="U143" s="10"/>
      <c r="V143" s="4"/>
      <c r="W143" s="2">
        <v>346</v>
      </c>
      <c r="X143" s="2"/>
      <c r="Y143" s="2"/>
      <c r="Z143" s="6">
        <v>4.92</v>
      </c>
    </row>
    <row r="144" spans="1:27" x14ac:dyDescent="0.25">
      <c r="A144" t="s">
        <v>46</v>
      </c>
      <c r="B144" s="1" t="s">
        <v>0</v>
      </c>
      <c r="C144">
        <v>63</v>
      </c>
      <c r="D144" s="2">
        <v>347</v>
      </c>
      <c r="E144" s="2">
        <v>25</v>
      </c>
      <c r="F144" s="7" t="s">
        <v>8</v>
      </c>
      <c r="G144" s="2"/>
      <c r="H144" s="2"/>
      <c r="I144" s="6">
        <v>16.52</v>
      </c>
      <c r="K144" s="10">
        <v>85</v>
      </c>
      <c r="N144" s="2">
        <v>347</v>
      </c>
      <c r="P144" s="2"/>
      <c r="Q144" s="3">
        <v>3.42</v>
      </c>
      <c r="S144" s="10">
        <v>149</v>
      </c>
      <c r="U144" s="10"/>
      <c r="V144" s="4"/>
      <c r="W144" s="2">
        <v>347</v>
      </c>
      <c r="X144" s="2"/>
      <c r="Y144" s="2"/>
      <c r="Z144" s="6">
        <v>5.5</v>
      </c>
    </row>
    <row r="145" spans="1:28" x14ac:dyDescent="0.25">
      <c r="A145" t="s">
        <v>46</v>
      </c>
      <c r="B145" s="1" t="s">
        <v>0</v>
      </c>
      <c r="C145">
        <v>63</v>
      </c>
      <c r="D145" s="2">
        <v>348</v>
      </c>
      <c r="E145" s="2">
        <v>5</v>
      </c>
      <c r="F145" t="s">
        <v>5</v>
      </c>
      <c r="G145" s="2"/>
      <c r="H145" s="2"/>
      <c r="I145" s="6">
        <v>14.28</v>
      </c>
      <c r="K145" s="10">
        <v>83</v>
      </c>
      <c r="N145" s="2">
        <v>348</v>
      </c>
      <c r="P145" s="2"/>
      <c r="Q145" s="3">
        <v>3.12</v>
      </c>
      <c r="S145" s="10">
        <v>167</v>
      </c>
      <c r="U145" s="10"/>
      <c r="V145" s="4"/>
      <c r="W145" s="2">
        <v>348</v>
      </c>
      <c r="X145" s="2"/>
      <c r="Y145" s="2"/>
      <c r="Z145" s="6">
        <v>4.66</v>
      </c>
      <c r="AB145" s="2">
        <v>70</v>
      </c>
    </row>
    <row r="146" spans="1:28" x14ac:dyDescent="0.25">
      <c r="A146" t="s">
        <v>46</v>
      </c>
      <c r="B146" s="1" t="s">
        <v>0</v>
      </c>
      <c r="C146">
        <v>63</v>
      </c>
      <c r="D146" s="2">
        <v>401</v>
      </c>
      <c r="E146" s="2">
        <v>4</v>
      </c>
      <c r="F146" t="s">
        <v>2</v>
      </c>
      <c r="G146" s="2">
        <v>817</v>
      </c>
      <c r="H146" s="2">
        <v>261</v>
      </c>
      <c r="I146" s="6">
        <v>8.82</v>
      </c>
      <c r="J146" s="4">
        <f>(H146-32)/(G146-32)</f>
        <v>0.29171974522292993</v>
      </c>
      <c r="N146" s="2">
        <v>401</v>
      </c>
      <c r="P146" s="2"/>
      <c r="U146" s="10"/>
      <c r="V146" s="4"/>
      <c r="W146" s="2">
        <v>401</v>
      </c>
      <c r="X146" s="2">
        <v>750</v>
      </c>
      <c r="Y146" s="2">
        <v>170</v>
      </c>
      <c r="Z146" s="6">
        <v>4.24</v>
      </c>
      <c r="AA146" s="4">
        <f>(Y146-32)/(X146-32)</f>
        <v>0.19220055710306408</v>
      </c>
    </row>
    <row r="147" spans="1:28" x14ac:dyDescent="0.25">
      <c r="A147" t="s">
        <v>46</v>
      </c>
      <c r="B147" s="1" t="s">
        <v>0</v>
      </c>
      <c r="C147">
        <v>63</v>
      </c>
      <c r="D147" s="2">
        <v>402</v>
      </c>
      <c r="E147" s="2">
        <v>5</v>
      </c>
      <c r="F147" t="s">
        <v>5</v>
      </c>
      <c r="G147" s="2"/>
      <c r="H147" s="2"/>
      <c r="I147" s="6">
        <v>8.82</v>
      </c>
      <c r="N147" s="2">
        <v>402</v>
      </c>
      <c r="P147" s="2"/>
      <c r="U147" s="10"/>
      <c r="V147" s="4"/>
      <c r="W147" s="2">
        <v>402</v>
      </c>
      <c r="X147" s="2"/>
      <c r="Y147" s="2"/>
      <c r="Z147" s="6">
        <v>4.5</v>
      </c>
    </row>
    <row r="148" spans="1:28" x14ac:dyDescent="0.25">
      <c r="A148" t="s">
        <v>46</v>
      </c>
      <c r="B148" s="1" t="s">
        <v>0</v>
      </c>
      <c r="C148">
        <v>63</v>
      </c>
      <c r="D148" s="2">
        <v>403</v>
      </c>
      <c r="E148" s="2">
        <v>3</v>
      </c>
      <c r="F148" t="s">
        <v>3</v>
      </c>
      <c r="G148" s="2"/>
      <c r="H148" s="2"/>
      <c r="I148" s="6">
        <v>10.64</v>
      </c>
      <c r="N148" s="2">
        <v>403</v>
      </c>
      <c r="P148" s="2"/>
      <c r="U148" s="10"/>
      <c r="V148" s="4"/>
      <c r="W148" s="2">
        <v>403</v>
      </c>
      <c r="X148" s="2"/>
      <c r="Y148" s="2"/>
      <c r="Z148" s="6">
        <v>4.62</v>
      </c>
    </row>
    <row r="149" spans="1:28" x14ac:dyDescent="0.25">
      <c r="A149" t="s">
        <v>46</v>
      </c>
      <c r="B149" s="1" t="s">
        <v>0</v>
      </c>
      <c r="C149">
        <v>63</v>
      </c>
      <c r="D149" s="2">
        <v>404</v>
      </c>
      <c r="E149" s="2">
        <v>2</v>
      </c>
      <c r="F149" t="s">
        <v>4</v>
      </c>
      <c r="G149" s="2"/>
      <c r="H149" s="2"/>
      <c r="I149" s="6">
        <v>10.82</v>
      </c>
      <c r="N149" s="2">
        <v>404</v>
      </c>
      <c r="P149" s="2"/>
      <c r="U149" s="10"/>
      <c r="V149" s="4"/>
      <c r="W149" s="2">
        <v>404</v>
      </c>
      <c r="X149" s="2"/>
      <c r="Y149" s="2"/>
      <c r="Z149" s="6">
        <v>5.26</v>
      </c>
    </row>
    <row r="150" spans="1:28" x14ac:dyDescent="0.25">
      <c r="A150" t="s">
        <v>46</v>
      </c>
      <c r="B150" s="1" t="s">
        <v>0</v>
      </c>
      <c r="C150">
        <v>63</v>
      </c>
      <c r="D150" s="2">
        <v>405</v>
      </c>
      <c r="E150" s="2">
        <v>4</v>
      </c>
      <c r="F150" t="s">
        <v>2</v>
      </c>
      <c r="G150" s="2">
        <v>672</v>
      </c>
      <c r="H150" s="2">
        <v>212</v>
      </c>
      <c r="I150" s="6">
        <v>10.08</v>
      </c>
      <c r="J150" s="4">
        <f>(H150-32)/(G150-32)</f>
        <v>0.28125</v>
      </c>
      <c r="N150" s="2">
        <v>405</v>
      </c>
      <c r="P150" s="2"/>
      <c r="U150" s="10"/>
      <c r="V150" s="4"/>
      <c r="W150" s="2">
        <v>405</v>
      </c>
      <c r="X150" s="2">
        <v>897</v>
      </c>
      <c r="Y150" s="2">
        <v>194</v>
      </c>
      <c r="Z150" s="6">
        <v>4.5</v>
      </c>
      <c r="AA150" s="4">
        <f>(Y150-32)/(X150-32)</f>
        <v>0.18728323699421964</v>
      </c>
    </row>
    <row r="151" spans="1:28" x14ac:dyDescent="0.25">
      <c r="A151" t="s">
        <v>46</v>
      </c>
      <c r="B151" s="1" t="s">
        <v>0</v>
      </c>
      <c r="C151">
        <v>63</v>
      </c>
      <c r="D151" s="2">
        <v>406</v>
      </c>
      <c r="E151" s="2">
        <v>2</v>
      </c>
      <c r="F151" t="s">
        <v>4</v>
      </c>
      <c r="G151" s="2"/>
      <c r="H151" s="2"/>
      <c r="I151" s="6">
        <v>11.5</v>
      </c>
      <c r="N151" s="2">
        <v>406</v>
      </c>
      <c r="P151" s="2"/>
      <c r="U151" s="10"/>
      <c r="V151" s="4"/>
      <c r="W151" s="2">
        <v>406</v>
      </c>
      <c r="X151" s="2"/>
      <c r="Y151" s="2"/>
      <c r="Z151" s="6">
        <v>5</v>
      </c>
    </row>
    <row r="152" spans="1:28" x14ac:dyDescent="0.25">
      <c r="A152" t="s">
        <v>46</v>
      </c>
      <c r="B152" s="1" t="s">
        <v>0</v>
      </c>
      <c r="C152">
        <v>63</v>
      </c>
      <c r="D152" s="2">
        <v>407</v>
      </c>
      <c r="E152" s="2">
        <v>5</v>
      </c>
      <c r="F152" t="s">
        <v>5</v>
      </c>
      <c r="G152" s="2"/>
      <c r="H152" s="2"/>
      <c r="I152" s="6">
        <v>8.9600000000000009</v>
      </c>
      <c r="N152" s="2">
        <v>407</v>
      </c>
      <c r="P152" s="2"/>
      <c r="U152" s="10"/>
      <c r="V152" s="4"/>
      <c r="W152" s="2">
        <v>407</v>
      </c>
      <c r="X152" s="2"/>
      <c r="Y152" s="2"/>
      <c r="Z152" s="6">
        <v>3.86</v>
      </c>
    </row>
    <row r="153" spans="1:28" x14ac:dyDescent="0.25">
      <c r="A153" t="s">
        <v>46</v>
      </c>
      <c r="B153" s="1" t="s">
        <v>0</v>
      </c>
      <c r="C153">
        <v>63</v>
      </c>
      <c r="D153" s="2">
        <v>408</v>
      </c>
      <c r="E153" s="2">
        <v>6</v>
      </c>
      <c r="F153" t="s">
        <v>1</v>
      </c>
      <c r="G153" s="2"/>
      <c r="H153" s="2"/>
      <c r="I153" s="6">
        <v>8.44</v>
      </c>
      <c r="N153" s="2">
        <v>408</v>
      </c>
      <c r="P153" s="2"/>
      <c r="U153" s="10"/>
      <c r="V153" s="4"/>
      <c r="W153" s="2">
        <v>408</v>
      </c>
      <c r="X153" s="2"/>
      <c r="Y153" s="2"/>
      <c r="Z153" s="6">
        <v>3.56</v>
      </c>
    </row>
    <row r="154" spans="1:28" x14ac:dyDescent="0.25">
      <c r="A154" t="s">
        <v>46</v>
      </c>
      <c r="B154" s="1" t="s">
        <v>0</v>
      </c>
      <c r="C154">
        <v>63</v>
      </c>
      <c r="D154" s="2">
        <v>409</v>
      </c>
      <c r="E154" s="2">
        <v>1</v>
      </c>
      <c r="F154" t="s">
        <v>6</v>
      </c>
      <c r="G154" s="2">
        <v>753</v>
      </c>
      <c r="H154" s="2">
        <v>238</v>
      </c>
      <c r="I154" s="6">
        <v>10.3</v>
      </c>
      <c r="J154" s="4">
        <f>(H154-32)/(G154-32)</f>
        <v>0.2857142857142857</v>
      </c>
      <c r="N154" s="2">
        <v>409</v>
      </c>
      <c r="P154" s="2"/>
      <c r="U154" s="10"/>
      <c r="V154" s="4"/>
      <c r="W154" s="2">
        <v>409</v>
      </c>
      <c r="X154" s="2">
        <v>828</v>
      </c>
      <c r="Y154" s="2">
        <v>191</v>
      </c>
      <c r="Z154" s="6">
        <v>5.0199999999999996</v>
      </c>
      <c r="AA154" s="4">
        <f>(Y154-32)/(X154-32)</f>
        <v>0.19974874371859297</v>
      </c>
    </row>
    <row r="155" spans="1:28" x14ac:dyDescent="0.25">
      <c r="A155" t="s">
        <v>46</v>
      </c>
      <c r="B155" s="1" t="s">
        <v>0</v>
      </c>
      <c r="C155">
        <v>63</v>
      </c>
      <c r="D155" s="2">
        <v>410</v>
      </c>
      <c r="E155" s="2">
        <v>3</v>
      </c>
      <c r="F155" t="s">
        <v>3</v>
      </c>
      <c r="G155" s="2"/>
      <c r="H155" s="2"/>
      <c r="I155" s="6">
        <v>10.82</v>
      </c>
      <c r="N155" s="2">
        <v>410</v>
      </c>
      <c r="P155" s="2"/>
      <c r="U155" s="10"/>
      <c r="V155" s="4"/>
      <c r="W155" s="2">
        <v>410</v>
      </c>
      <c r="X155" s="2"/>
      <c r="Y155" s="2"/>
      <c r="Z155" s="6">
        <v>4.4800000000000004</v>
      </c>
    </row>
    <row r="156" spans="1:28" x14ac:dyDescent="0.25">
      <c r="A156" t="s">
        <v>46</v>
      </c>
      <c r="B156" s="1" t="s">
        <v>0</v>
      </c>
      <c r="C156">
        <v>63</v>
      </c>
      <c r="D156" s="2">
        <v>411</v>
      </c>
      <c r="E156" s="2">
        <v>6</v>
      </c>
      <c r="F156" t="s">
        <v>1</v>
      </c>
      <c r="G156" s="2"/>
      <c r="H156" s="2"/>
      <c r="I156" s="6">
        <v>8.6999999999999993</v>
      </c>
      <c r="N156" s="2">
        <v>411</v>
      </c>
      <c r="P156" s="2"/>
      <c r="U156" s="10"/>
      <c r="V156" s="4"/>
      <c r="W156" s="2">
        <v>411</v>
      </c>
      <c r="X156" s="2"/>
      <c r="Y156" s="2"/>
      <c r="Z156" s="6">
        <v>3.5</v>
      </c>
    </row>
    <row r="157" spans="1:28" x14ac:dyDescent="0.25">
      <c r="A157" t="s">
        <v>46</v>
      </c>
      <c r="B157" s="1" t="s">
        <v>0</v>
      </c>
      <c r="C157">
        <v>63</v>
      </c>
      <c r="D157" s="2">
        <v>412</v>
      </c>
      <c r="E157" s="2">
        <v>1</v>
      </c>
      <c r="F157" t="s">
        <v>6</v>
      </c>
      <c r="G157" s="2"/>
      <c r="H157" s="2"/>
      <c r="I157" s="6">
        <v>10.34</v>
      </c>
      <c r="N157" s="2">
        <v>412</v>
      </c>
      <c r="P157" s="2"/>
      <c r="U157" s="10"/>
      <c r="V157" s="4"/>
      <c r="W157" s="2">
        <v>412</v>
      </c>
      <c r="X157" s="2"/>
      <c r="Y157" s="2"/>
      <c r="Z157" s="6">
        <v>3.76</v>
      </c>
    </row>
    <row r="158" spans="1:28" x14ac:dyDescent="0.25">
      <c r="A158" t="s">
        <v>46</v>
      </c>
      <c r="B158" s="1" t="s">
        <v>0</v>
      </c>
      <c r="C158">
        <v>63</v>
      </c>
      <c r="D158" s="2">
        <v>413</v>
      </c>
      <c r="E158" s="2">
        <v>6</v>
      </c>
      <c r="F158" t="s">
        <v>1</v>
      </c>
      <c r="G158" s="2">
        <v>841</v>
      </c>
      <c r="H158" s="2">
        <v>245</v>
      </c>
      <c r="I158" s="6">
        <v>10.1</v>
      </c>
      <c r="J158" s="4">
        <f>(H158-32)/(G158-32)</f>
        <v>0.26328800988875156</v>
      </c>
      <c r="N158" s="2">
        <v>413</v>
      </c>
      <c r="O158" s="2">
        <v>527</v>
      </c>
      <c r="P158" s="2">
        <v>233</v>
      </c>
      <c r="Q158" s="3">
        <v>2.1800000000000002</v>
      </c>
      <c r="R158" s="4">
        <f>(P158-32)/(O158-32)</f>
        <v>0.40606060606060607</v>
      </c>
      <c r="U158" s="10"/>
      <c r="V158" s="4"/>
      <c r="W158" s="2">
        <v>413</v>
      </c>
      <c r="X158" s="2">
        <v>904</v>
      </c>
      <c r="Y158" s="2">
        <v>212</v>
      </c>
      <c r="Z158" s="6">
        <v>3.4</v>
      </c>
      <c r="AA158" s="4">
        <f>(Y158-32)/(X158-32)</f>
        <v>0.20642201834862386</v>
      </c>
    </row>
    <row r="159" spans="1:28" x14ac:dyDescent="0.25">
      <c r="A159" t="s">
        <v>46</v>
      </c>
      <c r="B159" s="1" t="s">
        <v>0</v>
      </c>
      <c r="C159">
        <v>63</v>
      </c>
      <c r="D159" s="2">
        <v>414</v>
      </c>
      <c r="E159" s="2">
        <v>29</v>
      </c>
      <c r="F159" t="s">
        <v>11</v>
      </c>
      <c r="G159" s="2"/>
      <c r="H159" s="2"/>
      <c r="I159" s="6">
        <v>9.42</v>
      </c>
      <c r="N159" s="2">
        <v>414</v>
      </c>
      <c r="P159" s="2"/>
      <c r="Q159" s="3">
        <v>2.1</v>
      </c>
      <c r="U159" s="10"/>
      <c r="V159" s="4"/>
      <c r="W159" s="2">
        <v>414</v>
      </c>
      <c r="X159" s="2"/>
      <c r="Y159" s="2"/>
      <c r="Z159" s="6">
        <v>3.42</v>
      </c>
    </row>
    <row r="160" spans="1:28" x14ac:dyDescent="0.25">
      <c r="A160" t="s">
        <v>46</v>
      </c>
      <c r="B160" s="1" t="s">
        <v>0</v>
      </c>
      <c r="C160">
        <v>63</v>
      </c>
      <c r="D160" s="2">
        <v>415</v>
      </c>
      <c r="E160" s="2">
        <v>5</v>
      </c>
      <c r="F160" t="s">
        <v>5</v>
      </c>
      <c r="G160" s="2"/>
      <c r="H160" s="2"/>
      <c r="I160" s="6">
        <v>9.6</v>
      </c>
      <c r="N160" s="2">
        <v>415</v>
      </c>
      <c r="P160" s="2"/>
      <c r="Q160" s="3">
        <v>2.42</v>
      </c>
      <c r="U160" s="10"/>
      <c r="V160" s="4"/>
      <c r="W160" s="2">
        <v>415</v>
      </c>
      <c r="X160" s="2"/>
      <c r="Y160" s="2"/>
      <c r="Z160" s="6">
        <v>3.84</v>
      </c>
    </row>
    <row r="161" spans="1:27" x14ac:dyDescent="0.25">
      <c r="A161" t="s">
        <v>46</v>
      </c>
      <c r="B161" s="1" t="s">
        <v>0</v>
      </c>
      <c r="C161">
        <v>63</v>
      </c>
      <c r="D161" s="2">
        <v>416</v>
      </c>
      <c r="E161" s="2">
        <v>17</v>
      </c>
      <c r="F161" t="s">
        <v>17</v>
      </c>
      <c r="G161" s="2"/>
      <c r="H161" s="2"/>
      <c r="I161" s="6">
        <v>9.14</v>
      </c>
      <c r="N161" s="2">
        <v>416</v>
      </c>
      <c r="P161" s="2"/>
      <c r="Q161" s="3">
        <v>2.16</v>
      </c>
      <c r="U161" s="10"/>
      <c r="V161" s="4"/>
      <c r="W161" s="2">
        <v>416</v>
      </c>
      <c r="X161" s="2"/>
      <c r="Y161" s="2"/>
      <c r="Z161" s="6">
        <v>3.22</v>
      </c>
    </row>
    <row r="162" spans="1:27" x14ac:dyDescent="0.25">
      <c r="A162" t="s">
        <v>46</v>
      </c>
      <c r="B162" s="1" t="s">
        <v>0</v>
      </c>
      <c r="C162">
        <v>63</v>
      </c>
      <c r="D162" s="2">
        <v>417</v>
      </c>
      <c r="E162" s="2">
        <v>24</v>
      </c>
      <c r="F162" t="s">
        <v>32</v>
      </c>
      <c r="G162" s="2">
        <v>875</v>
      </c>
      <c r="H162" s="2">
        <v>278</v>
      </c>
      <c r="I162" s="6">
        <v>9.9</v>
      </c>
      <c r="J162" s="4">
        <f>(H162-32)/(G162-32)</f>
        <v>0.29181494661921709</v>
      </c>
      <c r="N162" s="2">
        <v>417</v>
      </c>
      <c r="O162" s="2">
        <v>608</v>
      </c>
      <c r="P162" s="2">
        <v>271</v>
      </c>
      <c r="Q162" s="3">
        <v>2.06</v>
      </c>
      <c r="R162" s="4">
        <f>(P162-32)/(O162-32)</f>
        <v>0.41493055555555558</v>
      </c>
      <c r="U162" s="10"/>
      <c r="V162" s="4"/>
      <c r="W162" s="2">
        <v>417</v>
      </c>
      <c r="X162" s="2">
        <v>791</v>
      </c>
      <c r="Y162" s="2">
        <v>190</v>
      </c>
      <c r="Z162" s="6">
        <v>3.84</v>
      </c>
      <c r="AA162" s="4">
        <f>(Y162-32)/(X162-32)</f>
        <v>0.20816864295125165</v>
      </c>
    </row>
    <row r="163" spans="1:27" x14ac:dyDescent="0.25">
      <c r="A163" t="s">
        <v>46</v>
      </c>
      <c r="B163" s="1" t="s">
        <v>0</v>
      </c>
      <c r="C163">
        <v>63</v>
      </c>
      <c r="D163" s="2">
        <v>418</v>
      </c>
      <c r="E163" s="2">
        <v>27</v>
      </c>
      <c r="F163" t="s">
        <v>14</v>
      </c>
      <c r="G163" s="2"/>
      <c r="H163" s="2"/>
      <c r="I163" s="6">
        <v>8.3800000000000008</v>
      </c>
      <c r="N163" s="2">
        <v>418</v>
      </c>
      <c r="P163" s="2"/>
      <c r="Q163" s="3">
        <v>1.84</v>
      </c>
      <c r="U163" s="10"/>
      <c r="V163" s="4"/>
      <c r="W163" s="2">
        <v>418</v>
      </c>
      <c r="X163" s="2"/>
      <c r="Y163" s="2"/>
      <c r="Z163" s="6">
        <v>3.78</v>
      </c>
    </row>
    <row r="164" spans="1:27" x14ac:dyDescent="0.25">
      <c r="A164" t="s">
        <v>46</v>
      </c>
      <c r="B164" s="1" t="s">
        <v>0</v>
      </c>
      <c r="C164">
        <v>63</v>
      </c>
      <c r="D164" s="2">
        <v>419</v>
      </c>
      <c r="E164" s="2">
        <v>7</v>
      </c>
      <c r="F164" t="s">
        <v>16</v>
      </c>
      <c r="G164" s="2"/>
      <c r="H164" s="2"/>
      <c r="I164" s="6">
        <v>11.04</v>
      </c>
      <c r="N164" s="2">
        <v>419</v>
      </c>
      <c r="P164" s="2"/>
      <c r="Q164" s="3">
        <v>2.44</v>
      </c>
      <c r="U164" s="10"/>
      <c r="V164" s="4"/>
      <c r="W164" s="2">
        <v>419</v>
      </c>
      <c r="X164" s="2"/>
      <c r="Y164" s="2"/>
      <c r="Z164" s="6">
        <v>3.44</v>
      </c>
    </row>
    <row r="165" spans="1:27" x14ac:dyDescent="0.25">
      <c r="A165" t="s">
        <v>46</v>
      </c>
      <c r="B165" s="1" t="s">
        <v>0</v>
      </c>
      <c r="C165">
        <v>63</v>
      </c>
      <c r="D165" s="2">
        <v>420</v>
      </c>
      <c r="E165" s="2">
        <v>18</v>
      </c>
      <c r="F165" t="s">
        <v>18</v>
      </c>
      <c r="G165" s="2"/>
      <c r="H165" s="2"/>
      <c r="I165" s="6">
        <v>11.16</v>
      </c>
      <c r="N165" s="2">
        <v>420</v>
      </c>
      <c r="P165" s="2"/>
      <c r="Q165" s="3">
        <v>2.36</v>
      </c>
      <c r="U165" s="10"/>
      <c r="V165" s="4"/>
      <c r="W165" s="2">
        <v>420</v>
      </c>
      <c r="X165" s="2"/>
      <c r="Y165" s="2"/>
      <c r="Z165" s="6">
        <v>4.4400000000000004</v>
      </c>
    </row>
    <row r="166" spans="1:27" x14ac:dyDescent="0.25">
      <c r="A166" t="s">
        <v>46</v>
      </c>
      <c r="B166" s="1" t="s">
        <v>0</v>
      </c>
      <c r="C166">
        <v>63</v>
      </c>
      <c r="D166" s="2">
        <v>421</v>
      </c>
      <c r="E166" s="2">
        <v>34</v>
      </c>
      <c r="F166" s="7" t="s">
        <v>34</v>
      </c>
      <c r="G166" s="2">
        <v>754</v>
      </c>
      <c r="H166" s="2">
        <v>221</v>
      </c>
      <c r="I166" s="6">
        <v>12.08</v>
      </c>
      <c r="J166" s="4">
        <f>(H166-32)/(G166-32)</f>
        <v>0.26177285318559557</v>
      </c>
      <c r="N166" s="2">
        <v>421</v>
      </c>
      <c r="O166" s="2">
        <v>590</v>
      </c>
      <c r="P166" s="2">
        <v>246</v>
      </c>
      <c r="Q166" s="3">
        <v>3.2</v>
      </c>
      <c r="R166" s="4">
        <f>(P166-32)/(O166-32)</f>
        <v>0.38351254480286739</v>
      </c>
      <c r="U166" s="10"/>
      <c r="V166" s="4"/>
      <c r="W166" s="2">
        <v>421</v>
      </c>
      <c r="X166" s="2">
        <v>926</v>
      </c>
      <c r="Y166" s="2">
        <v>224</v>
      </c>
      <c r="Z166" s="6">
        <v>4.84</v>
      </c>
      <c r="AA166" s="4">
        <f>(Y166-32)/(X166-32)</f>
        <v>0.21476510067114093</v>
      </c>
    </row>
    <row r="167" spans="1:27" x14ac:dyDescent="0.25">
      <c r="A167" t="s">
        <v>46</v>
      </c>
      <c r="B167" s="1" t="s">
        <v>0</v>
      </c>
      <c r="C167">
        <v>63</v>
      </c>
      <c r="D167" s="2">
        <v>422</v>
      </c>
      <c r="E167" s="2">
        <v>31</v>
      </c>
      <c r="F167" t="s">
        <v>29</v>
      </c>
      <c r="G167" s="2"/>
      <c r="H167" s="2"/>
      <c r="I167" s="6">
        <v>11.42</v>
      </c>
      <c r="N167" s="2">
        <v>422</v>
      </c>
      <c r="P167" s="2"/>
      <c r="Q167" s="3">
        <v>3.04</v>
      </c>
      <c r="U167" s="10"/>
      <c r="V167" s="4"/>
      <c r="W167" s="2">
        <v>422</v>
      </c>
      <c r="X167" s="2"/>
      <c r="Y167" s="2"/>
      <c r="Z167" s="6">
        <v>4.34</v>
      </c>
    </row>
    <row r="168" spans="1:27" x14ac:dyDescent="0.25">
      <c r="A168" t="s">
        <v>46</v>
      </c>
      <c r="B168" s="1" t="s">
        <v>0</v>
      </c>
      <c r="C168">
        <v>63</v>
      </c>
      <c r="D168" s="2">
        <v>423</v>
      </c>
      <c r="E168" s="2">
        <v>10</v>
      </c>
      <c r="F168" t="s">
        <v>35</v>
      </c>
      <c r="G168" s="2"/>
      <c r="H168" s="2"/>
      <c r="I168" s="6">
        <v>12.24</v>
      </c>
      <c r="N168" s="2">
        <v>423</v>
      </c>
      <c r="P168" s="2"/>
      <c r="Q168" s="3">
        <v>3.32</v>
      </c>
      <c r="U168" s="10"/>
      <c r="V168" s="4"/>
      <c r="W168" s="2">
        <v>423</v>
      </c>
      <c r="X168" s="2"/>
      <c r="Y168" s="2"/>
      <c r="Z168" s="6">
        <v>4.6399999999999997</v>
      </c>
    </row>
    <row r="169" spans="1:27" x14ac:dyDescent="0.25">
      <c r="A169" t="s">
        <v>46</v>
      </c>
      <c r="B169" s="1" t="s">
        <v>0</v>
      </c>
      <c r="C169">
        <v>63</v>
      </c>
      <c r="D169" s="2">
        <v>424</v>
      </c>
      <c r="E169" s="2">
        <v>36</v>
      </c>
      <c r="F169" t="s">
        <v>27</v>
      </c>
      <c r="G169" s="2"/>
      <c r="H169" s="2"/>
      <c r="I169" s="6">
        <v>14.8</v>
      </c>
      <c r="N169" s="2">
        <v>424</v>
      </c>
      <c r="P169" s="2"/>
      <c r="Q169" s="3">
        <v>3</v>
      </c>
      <c r="U169" s="10"/>
      <c r="V169" s="4"/>
      <c r="W169" s="2">
        <v>424</v>
      </c>
      <c r="X169" s="2"/>
      <c r="Y169" s="2"/>
      <c r="Z169" s="6">
        <v>4.8</v>
      </c>
    </row>
    <row r="170" spans="1:27" x14ac:dyDescent="0.25">
      <c r="A170" t="s">
        <v>46</v>
      </c>
      <c r="B170" s="1" t="s">
        <v>0</v>
      </c>
      <c r="C170">
        <v>63</v>
      </c>
      <c r="D170" s="2">
        <v>425</v>
      </c>
      <c r="E170" s="2">
        <v>11</v>
      </c>
      <c r="F170" t="s">
        <v>15</v>
      </c>
      <c r="G170" s="2">
        <v>957</v>
      </c>
      <c r="H170" s="2">
        <v>276</v>
      </c>
      <c r="I170" s="6">
        <v>12.42</v>
      </c>
      <c r="J170" s="4">
        <f>(H170-32)/(G170-32)</f>
        <v>0.26378378378378381</v>
      </c>
      <c r="N170" s="2">
        <v>425</v>
      </c>
      <c r="O170" s="2">
        <v>606</v>
      </c>
      <c r="P170" s="2">
        <v>242</v>
      </c>
      <c r="Q170" s="3">
        <v>2.3199999999999998</v>
      </c>
      <c r="R170" s="4">
        <f>(P170-32)/(O170-32)</f>
        <v>0.36585365853658536</v>
      </c>
      <c r="U170" s="10"/>
      <c r="V170" s="4"/>
      <c r="W170" s="2">
        <v>425</v>
      </c>
      <c r="X170" s="2">
        <v>704</v>
      </c>
      <c r="Y170" s="2">
        <v>178</v>
      </c>
      <c r="Z170" s="6">
        <v>4.74</v>
      </c>
      <c r="AA170" s="4">
        <f>(Y170-32)/(X170-32)</f>
        <v>0.21726190476190477</v>
      </c>
    </row>
    <row r="171" spans="1:27" x14ac:dyDescent="0.25">
      <c r="A171" t="s">
        <v>46</v>
      </c>
      <c r="B171" s="1" t="s">
        <v>0</v>
      </c>
      <c r="C171">
        <v>63</v>
      </c>
      <c r="D171" s="2">
        <v>426</v>
      </c>
      <c r="E171" s="2">
        <v>4</v>
      </c>
      <c r="F171" t="s">
        <v>2</v>
      </c>
      <c r="G171" s="2"/>
      <c r="H171" s="2"/>
      <c r="I171" s="6">
        <v>10.36</v>
      </c>
      <c r="N171" s="2">
        <v>426</v>
      </c>
      <c r="P171" s="2"/>
      <c r="Q171" s="3">
        <v>1.54</v>
      </c>
      <c r="U171" s="10"/>
      <c r="V171" s="4"/>
      <c r="W171" s="2">
        <v>426</v>
      </c>
      <c r="X171" s="2"/>
      <c r="Y171" s="2"/>
      <c r="Z171" s="6">
        <v>3.84</v>
      </c>
    </row>
    <row r="172" spans="1:27" x14ac:dyDescent="0.25">
      <c r="A172" t="s">
        <v>46</v>
      </c>
      <c r="B172" s="1" t="s">
        <v>0</v>
      </c>
      <c r="C172">
        <v>63</v>
      </c>
      <c r="D172" s="2">
        <v>427</v>
      </c>
      <c r="E172" s="2">
        <v>30</v>
      </c>
      <c r="F172" s="7" t="s">
        <v>9</v>
      </c>
      <c r="G172" s="2"/>
      <c r="H172" s="2"/>
      <c r="I172" s="6">
        <v>10.46</v>
      </c>
      <c r="N172" s="2">
        <v>427</v>
      </c>
      <c r="P172" s="2"/>
      <c r="Q172" s="3">
        <v>2.08</v>
      </c>
      <c r="U172" s="10"/>
      <c r="V172" s="4"/>
      <c r="W172" s="2">
        <v>427</v>
      </c>
      <c r="X172" s="2"/>
      <c r="Y172" s="2"/>
      <c r="Z172" s="6">
        <v>3.44</v>
      </c>
    </row>
    <row r="173" spans="1:27" x14ac:dyDescent="0.25">
      <c r="A173" t="s">
        <v>46</v>
      </c>
      <c r="B173" s="1" t="s">
        <v>0</v>
      </c>
      <c r="C173">
        <v>63</v>
      </c>
      <c r="D173" s="2">
        <v>428</v>
      </c>
      <c r="E173" s="2">
        <v>22</v>
      </c>
      <c r="F173" t="s">
        <v>7</v>
      </c>
      <c r="G173" s="2"/>
      <c r="H173" s="2"/>
      <c r="I173" s="6">
        <v>11.6</v>
      </c>
      <c r="N173" s="2">
        <v>428</v>
      </c>
      <c r="P173" s="2"/>
      <c r="Q173" s="3">
        <v>2.6</v>
      </c>
      <c r="U173" s="10"/>
      <c r="V173" s="4"/>
      <c r="W173" s="2">
        <v>428</v>
      </c>
      <c r="X173" s="2"/>
      <c r="Y173" s="2"/>
      <c r="Z173" s="6">
        <v>3.32</v>
      </c>
    </row>
    <row r="174" spans="1:27" x14ac:dyDescent="0.25">
      <c r="A174" t="s">
        <v>46</v>
      </c>
      <c r="B174" s="1" t="s">
        <v>0</v>
      </c>
      <c r="C174">
        <v>63</v>
      </c>
      <c r="D174" s="2">
        <v>429</v>
      </c>
      <c r="E174" s="2">
        <v>35</v>
      </c>
      <c r="F174" s="7" t="s">
        <v>26</v>
      </c>
      <c r="G174" s="2">
        <v>866</v>
      </c>
      <c r="H174" s="2">
        <v>243</v>
      </c>
      <c r="I174" s="6">
        <v>12.66</v>
      </c>
      <c r="J174" s="4">
        <f>(H174-32)/(G174-32)</f>
        <v>0.25299760191846521</v>
      </c>
      <c r="N174" s="2">
        <v>429</v>
      </c>
      <c r="O174" s="2">
        <v>705</v>
      </c>
      <c r="P174" s="2">
        <v>253</v>
      </c>
      <c r="Q174" s="3">
        <v>1.88</v>
      </c>
      <c r="R174" s="4">
        <f>(P174-32)/(O174-32)</f>
        <v>0.32838038632986627</v>
      </c>
      <c r="U174" s="10"/>
      <c r="V174" s="4"/>
      <c r="W174" s="2">
        <v>429</v>
      </c>
      <c r="X174" s="2">
        <v>612</v>
      </c>
      <c r="Y174" s="2">
        <v>168</v>
      </c>
      <c r="Z174" s="6">
        <v>3.9</v>
      </c>
      <c r="AA174" s="4">
        <f>(Y174-32)/(X174-32)</f>
        <v>0.23448275862068965</v>
      </c>
    </row>
    <row r="175" spans="1:27" x14ac:dyDescent="0.25">
      <c r="A175" t="s">
        <v>46</v>
      </c>
      <c r="B175" s="1" t="s">
        <v>0</v>
      </c>
      <c r="C175">
        <v>63</v>
      </c>
      <c r="D175" s="2">
        <v>430</v>
      </c>
      <c r="E175" s="2">
        <v>20</v>
      </c>
      <c r="F175" s="7" t="s">
        <v>28</v>
      </c>
      <c r="G175" s="2"/>
      <c r="H175" s="2"/>
      <c r="I175" s="6">
        <v>13.06</v>
      </c>
      <c r="N175" s="2">
        <v>430</v>
      </c>
      <c r="P175" s="2"/>
      <c r="Q175" s="3">
        <v>5.16</v>
      </c>
      <c r="U175" s="10"/>
      <c r="V175" s="4"/>
      <c r="W175" s="2">
        <v>430</v>
      </c>
      <c r="X175" s="2"/>
      <c r="Y175" s="2"/>
      <c r="Z175" s="6">
        <v>4.2</v>
      </c>
    </row>
    <row r="176" spans="1:27" x14ac:dyDescent="0.25">
      <c r="A176" t="s">
        <v>46</v>
      </c>
      <c r="B176" s="1" t="s">
        <v>0</v>
      </c>
      <c r="C176">
        <v>63</v>
      </c>
      <c r="D176" s="2">
        <v>431</v>
      </c>
      <c r="E176" s="2">
        <v>26</v>
      </c>
      <c r="F176" t="s">
        <v>21</v>
      </c>
      <c r="G176" s="2"/>
      <c r="H176" s="2"/>
      <c r="I176" s="6">
        <v>14.02</v>
      </c>
      <c r="N176" s="2">
        <v>431</v>
      </c>
      <c r="P176" s="2"/>
      <c r="Q176" s="3">
        <v>4.2</v>
      </c>
      <c r="U176" s="10"/>
      <c r="V176" s="4"/>
      <c r="W176" s="2">
        <v>431</v>
      </c>
      <c r="X176" s="2"/>
      <c r="Y176" s="2"/>
      <c r="Z176" s="6">
        <v>4.7</v>
      </c>
    </row>
    <row r="177" spans="1:27" x14ac:dyDescent="0.25">
      <c r="A177" t="s">
        <v>46</v>
      </c>
      <c r="B177" s="1" t="s">
        <v>0</v>
      </c>
      <c r="C177">
        <v>63</v>
      </c>
      <c r="D177" s="2">
        <v>432</v>
      </c>
      <c r="E177" s="2">
        <v>9</v>
      </c>
      <c r="F177" t="s">
        <v>19</v>
      </c>
      <c r="G177" s="2"/>
      <c r="H177" s="2"/>
      <c r="I177" s="6">
        <v>12.7</v>
      </c>
      <c r="N177" s="2">
        <v>432</v>
      </c>
      <c r="P177" s="2"/>
      <c r="Q177" s="3">
        <v>4.5999999999999996</v>
      </c>
      <c r="U177" s="10"/>
      <c r="V177" s="4"/>
      <c r="W177" s="2">
        <v>432</v>
      </c>
      <c r="X177" s="2"/>
      <c r="Y177" s="2"/>
      <c r="Z177" s="6">
        <v>4.3600000000000003</v>
      </c>
    </row>
    <row r="178" spans="1:27" x14ac:dyDescent="0.25">
      <c r="A178" t="s">
        <v>46</v>
      </c>
      <c r="B178" s="1" t="s">
        <v>0</v>
      </c>
      <c r="C178">
        <v>63</v>
      </c>
      <c r="D178" s="2">
        <v>433</v>
      </c>
      <c r="E178" s="2">
        <v>16</v>
      </c>
      <c r="F178" s="7" t="s">
        <v>12</v>
      </c>
      <c r="G178" s="2">
        <v>922</v>
      </c>
      <c r="H178" s="2">
        <v>259</v>
      </c>
      <c r="I178" s="6">
        <v>11.22</v>
      </c>
      <c r="J178" s="4">
        <f>(H178-32)/(G178-32)</f>
        <v>0.25505617977528089</v>
      </c>
      <c r="N178" s="2">
        <v>433</v>
      </c>
      <c r="O178" s="2">
        <v>772</v>
      </c>
      <c r="P178" s="2">
        <v>269</v>
      </c>
      <c r="Q178" s="3">
        <v>4.74</v>
      </c>
      <c r="R178" s="4">
        <f>(P178-32)/(O178-32)</f>
        <v>0.32027027027027027</v>
      </c>
      <c r="U178" s="10"/>
      <c r="V178" s="4"/>
      <c r="W178" s="2">
        <v>433</v>
      </c>
      <c r="X178" s="2">
        <v>820</v>
      </c>
      <c r="Y178" s="2">
        <v>208</v>
      </c>
      <c r="Z178" s="6">
        <v>3.58</v>
      </c>
      <c r="AA178" s="4">
        <f>(Y178-32)/(X178-32)</f>
        <v>0.2233502538071066</v>
      </c>
    </row>
    <row r="179" spans="1:27" x14ac:dyDescent="0.25">
      <c r="A179" t="s">
        <v>46</v>
      </c>
      <c r="B179" s="1" t="s">
        <v>0</v>
      </c>
      <c r="C179">
        <v>63</v>
      </c>
      <c r="D179" s="2">
        <v>434</v>
      </c>
      <c r="E179" s="2">
        <v>21</v>
      </c>
      <c r="F179" t="s">
        <v>22</v>
      </c>
      <c r="G179" s="2"/>
      <c r="H179" s="2"/>
      <c r="I179" s="6">
        <v>11.56</v>
      </c>
      <c r="N179" s="2">
        <v>434</v>
      </c>
      <c r="P179" s="2"/>
      <c r="Q179" s="3">
        <v>4.22</v>
      </c>
      <c r="U179" s="10"/>
      <c r="V179" s="4"/>
      <c r="W179" s="2">
        <v>434</v>
      </c>
      <c r="X179" s="2"/>
      <c r="Y179" s="2"/>
      <c r="Z179" s="6">
        <v>4.16</v>
      </c>
    </row>
    <row r="180" spans="1:27" x14ac:dyDescent="0.25">
      <c r="A180" t="s">
        <v>46</v>
      </c>
      <c r="B180" s="1" t="s">
        <v>0</v>
      </c>
      <c r="C180">
        <v>63</v>
      </c>
      <c r="D180" s="2">
        <v>435</v>
      </c>
      <c r="E180" s="2">
        <v>25</v>
      </c>
      <c r="F180" s="7" t="s">
        <v>8</v>
      </c>
      <c r="G180" s="2"/>
      <c r="H180" s="2"/>
      <c r="I180" s="6">
        <v>12.8</v>
      </c>
      <c r="N180" s="2">
        <v>435</v>
      </c>
      <c r="P180" s="2"/>
      <c r="Q180" s="3">
        <v>4.0999999999999996</v>
      </c>
      <c r="U180" s="10"/>
      <c r="V180" s="4"/>
      <c r="W180" s="2">
        <v>435</v>
      </c>
      <c r="X180" s="2"/>
      <c r="Y180" s="2"/>
      <c r="Z180" s="6">
        <v>3.76</v>
      </c>
    </row>
    <row r="181" spans="1:27" x14ac:dyDescent="0.25">
      <c r="A181" t="s">
        <v>46</v>
      </c>
      <c r="B181" s="1" t="s">
        <v>0</v>
      </c>
      <c r="C181">
        <v>63</v>
      </c>
      <c r="D181" s="2">
        <v>436</v>
      </c>
      <c r="E181" s="2">
        <v>14</v>
      </c>
      <c r="F181" t="s">
        <v>25</v>
      </c>
      <c r="G181" s="2"/>
      <c r="H181" s="2"/>
      <c r="I181" s="6">
        <v>12.92</v>
      </c>
      <c r="N181" s="2">
        <v>436</v>
      </c>
      <c r="P181" s="2"/>
      <c r="Q181" s="3">
        <v>2.84</v>
      </c>
      <c r="U181" s="10"/>
      <c r="V181" s="4"/>
      <c r="W181" s="2">
        <v>436</v>
      </c>
      <c r="X181" s="2"/>
      <c r="Y181" s="2"/>
      <c r="Z181" s="6">
        <v>4.38</v>
      </c>
    </row>
    <row r="182" spans="1:27" x14ac:dyDescent="0.25">
      <c r="A182" t="s">
        <v>46</v>
      </c>
      <c r="B182" s="1" t="s">
        <v>0</v>
      </c>
      <c r="C182">
        <v>63</v>
      </c>
      <c r="D182" s="2">
        <v>437</v>
      </c>
      <c r="E182" s="2">
        <v>33</v>
      </c>
      <c r="F182" t="s">
        <v>23</v>
      </c>
      <c r="G182" s="2">
        <v>731</v>
      </c>
      <c r="H182" s="2">
        <v>220</v>
      </c>
      <c r="I182" s="6">
        <v>13.86</v>
      </c>
      <c r="J182" s="4">
        <f>(H182-32)/(G182-32)</f>
        <v>0.26895565092989987</v>
      </c>
      <c r="N182" s="2">
        <v>437</v>
      </c>
      <c r="O182" s="2">
        <v>638</v>
      </c>
      <c r="P182" s="2">
        <v>260</v>
      </c>
      <c r="Q182" s="3">
        <v>3.96</v>
      </c>
      <c r="R182" s="4">
        <f>(P182-32)/(O182-32)</f>
        <v>0.37623762376237624</v>
      </c>
      <c r="U182" s="10"/>
      <c r="V182" s="4"/>
      <c r="W182" s="2">
        <v>437</v>
      </c>
      <c r="X182" s="2">
        <v>800</v>
      </c>
      <c r="Y182" s="2">
        <v>205</v>
      </c>
      <c r="Z182" s="6">
        <v>5.14</v>
      </c>
      <c r="AA182" s="4">
        <f>(Y182-32)/(X182-32)</f>
        <v>0.22526041666666666</v>
      </c>
    </row>
    <row r="183" spans="1:27" x14ac:dyDescent="0.25">
      <c r="A183" t="s">
        <v>46</v>
      </c>
      <c r="B183" s="1" t="s">
        <v>0</v>
      </c>
      <c r="C183">
        <v>63</v>
      </c>
      <c r="D183" s="2">
        <v>438</v>
      </c>
      <c r="E183" s="2">
        <v>2</v>
      </c>
      <c r="F183" t="s">
        <v>4</v>
      </c>
      <c r="G183" s="2"/>
      <c r="H183" s="2"/>
      <c r="I183" s="6">
        <v>12.04</v>
      </c>
      <c r="N183" s="2">
        <v>438</v>
      </c>
      <c r="P183" s="2"/>
      <c r="Q183" s="3">
        <v>4.22</v>
      </c>
      <c r="U183" s="10"/>
      <c r="V183" s="4"/>
      <c r="W183" s="2">
        <v>438</v>
      </c>
      <c r="X183" s="2"/>
      <c r="Y183" s="2"/>
      <c r="Z183" s="6">
        <v>5.46</v>
      </c>
    </row>
    <row r="184" spans="1:27" x14ac:dyDescent="0.25">
      <c r="A184" t="s">
        <v>46</v>
      </c>
      <c r="B184" s="1" t="s">
        <v>0</v>
      </c>
      <c r="C184">
        <v>63</v>
      </c>
      <c r="D184" s="2">
        <v>439</v>
      </c>
      <c r="E184" s="2">
        <v>23</v>
      </c>
      <c r="F184" t="s">
        <v>36</v>
      </c>
      <c r="G184" s="2"/>
      <c r="H184" s="2"/>
      <c r="I184" s="6">
        <v>10.68</v>
      </c>
      <c r="N184" s="2">
        <v>439</v>
      </c>
      <c r="P184" s="2"/>
      <c r="Q184" s="3">
        <v>3.48</v>
      </c>
      <c r="U184" s="10"/>
      <c r="V184" s="4"/>
      <c r="W184" s="2">
        <v>439</v>
      </c>
      <c r="X184" s="2"/>
      <c r="Y184" s="2"/>
      <c r="Z184" s="6">
        <v>4.62</v>
      </c>
    </row>
    <row r="185" spans="1:27" x14ac:dyDescent="0.25">
      <c r="A185" t="s">
        <v>46</v>
      </c>
      <c r="B185" s="1" t="s">
        <v>0</v>
      </c>
      <c r="C185">
        <v>63</v>
      </c>
      <c r="D185" s="2">
        <v>440</v>
      </c>
      <c r="E185" s="2">
        <v>13</v>
      </c>
      <c r="F185" t="s">
        <v>24</v>
      </c>
      <c r="G185" s="2"/>
      <c r="H185" s="2"/>
      <c r="I185" s="6">
        <v>12.08</v>
      </c>
      <c r="N185" s="2">
        <v>440</v>
      </c>
      <c r="P185" s="2"/>
      <c r="Q185" s="3">
        <v>4.1399999999999997</v>
      </c>
      <c r="U185" s="10"/>
      <c r="V185" s="4"/>
      <c r="W185" s="2">
        <v>440</v>
      </c>
      <c r="X185" s="2"/>
      <c r="Y185" s="2"/>
      <c r="Z185" s="6">
        <v>4.28</v>
      </c>
    </row>
    <row r="186" spans="1:27" x14ac:dyDescent="0.25">
      <c r="A186" t="s">
        <v>46</v>
      </c>
      <c r="B186" s="1" t="s">
        <v>0</v>
      </c>
      <c r="C186">
        <v>63</v>
      </c>
      <c r="D186" s="2">
        <v>441</v>
      </c>
      <c r="E186" s="2">
        <v>28</v>
      </c>
      <c r="F186" t="s">
        <v>13</v>
      </c>
      <c r="G186" s="2">
        <v>679</v>
      </c>
      <c r="H186" s="2">
        <v>201</v>
      </c>
      <c r="I186" s="6">
        <v>13.66</v>
      </c>
      <c r="J186" s="4">
        <f>(H186-32)/(G186-32)</f>
        <v>0.26120556414219476</v>
      </c>
      <c r="N186" s="2">
        <v>441</v>
      </c>
      <c r="O186" s="2">
        <v>577</v>
      </c>
      <c r="P186" s="2">
        <v>235</v>
      </c>
      <c r="Q186" s="3">
        <v>4.18</v>
      </c>
      <c r="R186" s="4">
        <f>(P186-32)/(O186-32)</f>
        <v>0.37247706422018351</v>
      </c>
      <c r="U186" s="10"/>
      <c r="V186" s="4"/>
      <c r="W186" s="2">
        <v>441</v>
      </c>
      <c r="X186" s="2">
        <v>714</v>
      </c>
      <c r="Y186" s="2">
        <v>195</v>
      </c>
      <c r="Z186" s="6">
        <v>5.0199999999999996</v>
      </c>
      <c r="AA186" s="4">
        <f>(Y186-32)/(X186-32)</f>
        <v>0.23900293255131966</v>
      </c>
    </row>
    <row r="187" spans="1:27" x14ac:dyDescent="0.25">
      <c r="A187" t="s">
        <v>46</v>
      </c>
      <c r="B187" s="1" t="s">
        <v>0</v>
      </c>
      <c r="C187">
        <v>63</v>
      </c>
      <c r="D187" s="2">
        <v>442</v>
      </c>
      <c r="E187" s="2">
        <v>3</v>
      </c>
      <c r="F187" t="s">
        <v>3</v>
      </c>
      <c r="G187" s="2"/>
      <c r="H187" s="2"/>
      <c r="I187" s="6">
        <v>14.22</v>
      </c>
      <c r="N187" s="2">
        <v>442</v>
      </c>
      <c r="P187" s="2"/>
      <c r="Q187" s="3">
        <v>4.7</v>
      </c>
      <c r="U187" s="10"/>
      <c r="V187" s="4"/>
      <c r="W187" s="2">
        <v>442</v>
      </c>
      <c r="X187" s="2"/>
      <c r="Y187" s="2"/>
      <c r="Z187" s="6">
        <v>4.68</v>
      </c>
    </row>
    <row r="188" spans="1:27" x14ac:dyDescent="0.25">
      <c r="A188" t="s">
        <v>46</v>
      </c>
      <c r="B188" s="1" t="s">
        <v>0</v>
      </c>
      <c r="C188">
        <v>63</v>
      </c>
      <c r="D188" s="2">
        <v>443</v>
      </c>
      <c r="E188" s="2">
        <v>1</v>
      </c>
      <c r="F188" t="s">
        <v>6</v>
      </c>
      <c r="G188" s="2"/>
      <c r="H188" s="2"/>
      <c r="I188" s="6">
        <v>12.56</v>
      </c>
      <c r="N188" s="2">
        <v>443</v>
      </c>
      <c r="P188" s="2"/>
      <c r="Q188" s="3">
        <v>5.28</v>
      </c>
      <c r="U188" s="10"/>
      <c r="V188" s="4"/>
      <c r="W188" s="2">
        <v>443</v>
      </c>
      <c r="X188" s="2"/>
      <c r="Y188" s="2"/>
      <c r="Z188" s="6">
        <v>5.08</v>
      </c>
    </row>
    <row r="189" spans="1:27" x14ac:dyDescent="0.25">
      <c r="A189" t="s">
        <v>46</v>
      </c>
      <c r="B189" s="1" t="s">
        <v>0</v>
      </c>
      <c r="C189">
        <v>63</v>
      </c>
      <c r="D189" s="2">
        <v>444</v>
      </c>
      <c r="E189" s="2">
        <v>32</v>
      </c>
      <c r="F189" s="7" t="s">
        <v>30</v>
      </c>
      <c r="G189" s="2"/>
      <c r="H189" s="2"/>
      <c r="I189" s="6">
        <v>13.5</v>
      </c>
      <c r="N189" s="2">
        <v>444</v>
      </c>
      <c r="P189" s="2"/>
      <c r="Q189" s="3">
        <v>4.9400000000000004</v>
      </c>
      <c r="U189" s="10"/>
      <c r="V189" s="4"/>
      <c r="W189" s="2">
        <v>444</v>
      </c>
      <c r="X189" s="2"/>
      <c r="Y189" s="2"/>
      <c r="Z189" s="6">
        <v>5.58</v>
      </c>
    </row>
    <row r="190" spans="1:27" x14ac:dyDescent="0.25">
      <c r="A190" t="s">
        <v>46</v>
      </c>
      <c r="B190" s="1" t="s">
        <v>0</v>
      </c>
      <c r="C190">
        <v>63</v>
      </c>
      <c r="D190" s="2">
        <v>445</v>
      </c>
      <c r="E190" s="2">
        <v>15</v>
      </c>
      <c r="F190" t="s">
        <v>20</v>
      </c>
      <c r="G190" s="2">
        <v>760</v>
      </c>
      <c r="H190" s="2">
        <v>211</v>
      </c>
      <c r="I190" s="6">
        <v>12.1</v>
      </c>
      <c r="J190" s="4">
        <f>(H190-32)/(G190-32)</f>
        <v>0.24587912087912087</v>
      </c>
      <c r="N190" s="2">
        <v>445</v>
      </c>
      <c r="O190" s="2">
        <v>684</v>
      </c>
      <c r="P190" s="2">
        <v>281</v>
      </c>
      <c r="Q190" s="3">
        <v>4.32</v>
      </c>
      <c r="R190" s="4">
        <f>(P190-32)/(O190-32)</f>
        <v>0.38190184049079756</v>
      </c>
      <c r="U190" s="10"/>
      <c r="V190" s="4"/>
      <c r="W190" s="2">
        <v>445</v>
      </c>
      <c r="X190" s="2">
        <v>847</v>
      </c>
      <c r="Y190" s="2">
        <v>211</v>
      </c>
      <c r="Z190" s="6">
        <v>5.8</v>
      </c>
      <c r="AA190" s="4">
        <f>(Y190-32)/(X190-32)</f>
        <v>0.21963190184049081</v>
      </c>
    </row>
    <row r="191" spans="1:27" x14ac:dyDescent="0.25">
      <c r="A191" t="s">
        <v>46</v>
      </c>
      <c r="B191" s="1" t="s">
        <v>0</v>
      </c>
      <c r="C191">
        <v>63</v>
      </c>
      <c r="D191" s="2">
        <v>446</v>
      </c>
      <c r="E191" s="2">
        <v>12</v>
      </c>
      <c r="F191" t="s">
        <v>33</v>
      </c>
      <c r="G191" s="2"/>
      <c r="H191" s="2"/>
      <c r="I191" s="6">
        <v>15.22</v>
      </c>
      <c r="N191" s="2">
        <v>446</v>
      </c>
      <c r="P191" s="2"/>
      <c r="Q191" s="3">
        <v>4.82</v>
      </c>
      <c r="U191" s="10"/>
      <c r="V191" s="4"/>
      <c r="W191" s="2">
        <v>446</v>
      </c>
      <c r="X191" s="2"/>
      <c r="Y191" s="2"/>
      <c r="Z191" s="6">
        <v>6.8</v>
      </c>
    </row>
    <row r="192" spans="1:27" x14ac:dyDescent="0.25">
      <c r="A192" t="s">
        <v>46</v>
      </c>
      <c r="B192" s="1" t="s">
        <v>0</v>
      </c>
      <c r="C192">
        <v>63</v>
      </c>
      <c r="D192" s="2">
        <v>447</v>
      </c>
      <c r="E192" s="2">
        <v>8</v>
      </c>
      <c r="F192" t="s">
        <v>31</v>
      </c>
      <c r="G192" s="2"/>
      <c r="H192" s="2"/>
      <c r="I192" s="6">
        <v>15.96</v>
      </c>
      <c r="N192" s="2">
        <v>447</v>
      </c>
      <c r="P192" s="2"/>
      <c r="Q192" s="3">
        <v>5.2</v>
      </c>
      <c r="U192" s="10"/>
      <c r="V192" s="4"/>
      <c r="W192" s="2">
        <v>447</v>
      </c>
      <c r="X192" s="2"/>
      <c r="Y192" s="2"/>
      <c r="Z192" s="6">
        <v>7.14</v>
      </c>
    </row>
    <row r="193" spans="1:27" x14ac:dyDescent="0.25">
      <c r="A193" t="s">
        <v>46</v>
      </c>
      <c r="B193" s="1" t="s">
        <v>0</v>
      </c>
      <c r="C193">
        <v>63</v>
      </c>
      <c r="D193" s="2">
        <v>448</v>
      </c>
      <c r="E193" s="2">
        <v>19</v>
      </c>
      <c r="F193" s="7" t="s">
        <v>10</v>
      </c>
      <c r="G193" s="2"/>
      <c r="H193" s="2"/>
      <c r="I193" s="6">
        <v>16.98</v>
      </c>
      <c r="N193" s="2">
        <v>448</v>
      </c>
      <c r="P193" s="2"/>
      <c r="Q193" s="3">
        <v>4.8600000000000003</v>
      </c>
      <c r="U193" s="10"/>
      <c r="V193" s="4"/>
      <c r="W193" s="2">
        <v>448</v>
      </c>
      <c r="X193" s="2"/>
      <c r="Y193" s="2"/>
      <c r="Z193" s="6">
        <v>7.54</v>
      </c>
    </row>
    <row r="194" spans="1:27" x14ac:dyDescent="0.25">
      <c r="A194" t="s">
        <v>47</v>
      </c>
      <c r="B194" s="1" t="s">
        <v>0</v>
      </c>
      <c r="C194">
        <v>64</v>
      </c>
      <c r="D194" s="2">
        <v>101</v>
      </c>
      <c r="E194" s="2">
        <v>10</v>
      </c>
      <c r="F194" t="s">
        <v>35</v>
      </c>
      <c r="G194" s="2">
        <v>741</v>
      </c>
      <c r="H194" s="2">
        <v>191</v>
      </c>
      <c r="I194" s="6">
        <v>14.9</v>
      </c>
      <c r="J194" s="4">
        <f>(H194-32)/(G194-32)</f>
        <v>0.22425952045133993</v>
      </c>
      <c r="N194" s="2">
        <v>101</v>
      </c>
      <c r="O194" s="5"/>
      <c r="P194" s="5"/>
      <c r="Q194" s="8"/>
      <c r="U194" s="10"/>
      <c r="V194" s="4"/>
      <c r="W194" s="2">
        <v>101</v>
      </c>
      <c r="X194" s="2">
        <v>766</v>
      </c>
      <c r="Y194" s="2">
        <v>205</v>
      </c>
      <c r="Z194" s="6">
        <v>13.3</v>
      </c>
      <c r="AA194" s="4">
        <f>(Y194-32)/(X194-32)</f>
        <v>0.23569482288828339</v>
      </c>
    </row>
    <row r="195" spans="1:27" x14ac:dyDescent="0.25">
      <c r="A195" t="s">
        <v>47</v>
      </c>
      <c r="B195" s="1" t="s">
        <v>0</v>
      </c>
      <c r="C195">
        <v>64</v>
      </c>
      <c r="D195" s="2">
        <v>102</v>
      </c>
      <c r="E195" s="2">
        <v>9</v>
      </c>
      <c r="F195" t="s">
        <v>19</v>
      </c>
      <c r="G195" s="2"/>
      <c r="H195" s="2"/>
      <c r="I195" s="6">
        <v>15.48</v>
      </c>
      <c r="N195" s="2">
        <v>102</v>
      </c>
      <c r="O195" s="5"/>
      <c r="P195" s="5"/>
      <c r="Q195" s="8"/>
      <c r="U195" s="10"/>
      <c r="V195" s="4"/>
      <c r="W195" s="2">
        <v>102</v>
      </c>
      <c r="X195" s="2"/>
      <c r="Y195" s="2"/>
      <c r="Z195" s="6">
        <v>15</v>
      </c>
    </row>
    <row r="196" spans="1:27" x14ac:dyDescent="0.25">
      <c r="A196" t="s">
        <v>47</v>
      </c>
      <c r="B196" s="1" t="s">
        <v>0</v>
      </c>
      <c r="C196">
        <v>64</v>
      </c>
      <c r="D196" s="2">
        <v>103</v>
      </c>
      <c r="E196" s="2">
        <v>7</v>
      </c>
      <c r="F196" t="s">
        <v>16</v>
      </c>
      <c r="G196" s="2"/>
      <c r="H196" s="2"/>
      <c r="I196" s="6">
        <v>16.5</v>
      </c>
      <c r="N196" s="2">
        <v>103</v>
      </c>
      <c r="O196" s="5"/>
      <c r="P196" s="5"/>
      <c r="Q196" s="8"/>
      <c r="U196" s="10"/>
      <c r="V196" s="4"/>
      <c r="W196" s="2">
        <v>103</v>
      </c>
      <c r="X196" s="2"/>
      <c r="Y196" s="2"/>
      <c r="Z196" s="6">
        <v>11.46</v>
      </c>
    </row>
    <row r="197" spans="1:27" x14ac:dyDescent="0.25">
      <c r="A197" t="s">
        <v>47</v>
      </c>
      <c r="B197" s="1" t="s">
        <v>0</v>
      </c>
      <c r="C197">
        <v>64</v>
      </c>
      <c r="D197" s="2">
        <v>104</v>
      </c>
      <c r="E197" s="2">
        <v>12</v>
      </c>
      <c r="F197" t="s">
        <v>33</v>
      </c>
      <c r="G197" s="2"/>
      <c r="H197" s="2"/>
      <c r="I197" s="6">
        <v>15.7</v>
      </c>
      <c r="N197" s="2">
        <v>104</v>
      </c>
      <c r="O197" s="5"/>
      <c r="P197" s="5"/>
      <c r="Q197" s="8"/>
      <c r="U197" s="10"/>
      <c r="V197" s="4"/>
      <c r="W197" s="2">
        <v>104</v>
      </c>
      <c r="X197" s="2"/>
      <c r="Y197" s="2"/>
      <c r="Z197" s="6">
        <v>12.04</v>
      </c>
    </row>
    <row r="198" spans="1:27" x14ac:dyDescent="0.25">
      <c r="A198" t="s">
        <v>47</v>
      </c>
      <c r="B198" s="1" t="s">
        <v>0</v>
      </c>
      <c r="C198">
        <v>64</v>
      </c>
      <c r="D198" s="2">
        <v>105</v>
      </c>
      <c r="E198" s="2">
        <v>9</v>
      </c>
      <c r="F198" t="s">
        <v>19</v>
      </c>
      <c r="G198" s="2">
        <v>762</v>
      </c>
      <c r="H198" s="2">
        <v>193</v>
      </c>
      <c r="I198" s="6">
        <v>16.68</v>
      </c>
      <c r="J198" s="4">
        <f>(H198-32)/(G198-32)</f>
        <v>0.22054794520547946</v>
      </c>
      <c r="N198" s="2">
        <v>105</v>
      </c>
      <c r="O198" s="5"/>
      <c r="P198" s="5"/>
      <c r="Q198" s="8"/>
      <c r="U198" s="10"/>
      <c r="V198" s="4"/>
      <c r="W198" s="2">
        <v>105</v>
      </c>
      <c r="X198" s="2">
        <v>807</v>
      </c>
      <c r="Y198" s="2">
        <v>218</v>
      </c>
      <c r="Z198" s="6">
        <v>10.78</v>
      </c>
      <c r="AA198" s="4">
        <f>(Y198-32)/(X198-32)</f>
        <v>0.24</v>
      </c>
    </row>
    <row r="199" spans="1:27" x14ac:dyDescent="0.25">
      <c r="A199" t="s">
        <v>47</v>
      </c>
      <c r="B199" s="1" t="s">
        <v>0</v>
      </c>
      <c r="C199">
        <v>64</v>
      </c>
      <c r="D199" s="2">
        <v>106</v>
      </c>
      <c r="E199" s="2">
        <v>11</v>
      </c>
      <c r="F199" t="s">
        <v>15</v>
      </c>
      <c r="G199" s="2"/>
      <c r="H199" s="2"/>
      <c r="I199" s="6">
        <v>18</v>
      </c>
      <c r="N199" s="2">
        <v>106</v>
      </c>
      <c r="O199" s="5"/>
      <c r="P199" s="5"/>
      <c r="Q199" s="8"/>
      <c r="U199" s="10"/>
      <c r="V199" s="4"/>
      <c r="W199" s="2">
        <v>106</v>
      </c>
      <c r="X199" s="2"/>
      <c r="Y199" s="2"/>
      <c r="Z199" s="6">
        <v>14.42</v>
      </c>
    </row>
    <row r="200" spans="1:27" x14ac:dyDescent="0.25">
      <c r="A200" t="s">
        <v>47</v>
      </c>
      <c r="B200" s="1" t="s">
        <v>0</v>
      </c>
      <c r="C200">
        <v>64</v>
      </c>
      <c r="D200" s="2">
        <v>107</v>
      </c>
      <c r="E200" s="2">
        <v>7</v>
      </c>
      <c r="F200" t="s">
        <v>16</v>
      </c>
      <c r="G200" s="2"/>
      <c r="H200" s="2"/>
      <c r="I200" s="6">
        <v>15</v>
      </c>
      <c r="N200" s="2">
        <v>107</v>
      </c>
      <c r="O200" s="5"/>
      <c r="P200" s="5"/>
      <c r="Q200" s="8"/>
      <c r="U200" s="10"/>
      <c r="V200" s="4"/>
      <c r="W200" s="2">
        <v>107</v>
      </c>
      <c r="X200" s="2"/>
      <c r="Y200" s="2"/>
      <c r="Z200" s="6">
        <v>10.64</v>
      </c>
    </row>
    <row r="201" spans="1:27" x14ac:dyDescent="0.25">
      <c r="A201" t="s">
        <v>47</v>
      </c>
      <c r="B201" s="1" t="s">
        <v>0</v>
      </c>
      <c r="C201">
        <v>64</v>
      </c>
      <c r="D201" s="2">
        <v>108</v>
      </c>
      <c r="E201" s="2">
        <v>12</v>
      </c>
      <c r="F201" t="s">
        <v>33</v>
      </c>
      <c r="G201" s="2"/>
      <c r="H201" s="2"/>
      <c r="I201" s="6">
        <v>17.72</v>
      </c>
      <c r="N201" s="2">
        <v>108</v>
      </c>
      <c r="O201" s="5"/>
      <c r="P201" s="5"/>
      <c r="Q201" s="8"/>
      <c r="U201" s="10"/>
      <c r="V201" s="4"/>
      <c r="W201" s="2">
        <v>108</v>
      </c>
      <c r="X201" s="2"/>
      <c r="Y201" s="2"/>
      <c r="Z201" s="6">
        <v>12.16</v>
      </c>
    </row>
    <row r="202" spans="1:27" x14ac:dyDescent="0.25">
      <c r="A202" t="s">
        <v>47</v>
      </c>
      <c r="B202" s="1" t="s">
        <v>0</v>
      </c>
      <c r="C202">
        <v>64</v>
      </c>
      <c r="D202" s="2">
        <v>109</v>
      </c>
      <c r="E202" s="2">
        <v>8</v>
      </c>
      <c r="F202" t="s">
        <v>31</v>
      </c>
      <c r="G202" s="2">
        <v>808</v>
      </c>
      <c r="H202" s="2">
        <v>194</v>
      </c>
      <c r="I202" s="6">
        <v>18.559999999999999</v>
      </c>
      <c r="J202" s="4">
        <f>(H202-32)/(G202-32)</f>
        <v>0.20876288659793815</v>
      </c>
      <c r="N202" s="2">
        <v>109</v>
      </c>
      <c r="O202" s="5"/>
      <c r="P202" s="5"/>
      <c r="Q202" s="8"/>
      <c r="U202" s="10"/>
      <c r="V202" s="4"/>
      <c r="W202" s="2">
        <v>109</v>
      </c>
      <c r="X202" s="2">
        <v>581</v>
      </c>
      <c r="Y202" s="2">
        <v>180</v>
      </c>
      <c r="Z202" s="6">
        <v>10.220000000000001</v>
      </c>
      <c r="AA202" s="4">
        <f>(Y202-32)/(X202-32)</f>
        <v>0.26958105646630237</v>
      </c>
    </row>
    <row r="203" spans="1:27" x14ac:dyDescent="0.25">
      <c r="A203" t="s">
        <v>47</v>
      </c>
      <c r="B203" s="1" t="s">
        <v>0</v>
      </c>
      <c r="C203">
        <v>64</v>
      </c>
      <c r="D203" s="2">
        <v>110</v>
      </c>
      <c r="E203" s="2">
        <v>10</v>
      </c>
      <c r="F203" t="s">
        <v>35</v>
      </c>
      <c r="G203" s="2"/>
      <c r="H203" s="2"/>
      <c r="I203" s="6">
        <v>16.36</v>
      </c>
      <c r="N203" s="2">
        <v>110</v>
      </c>
      <c r="O203" s="5"/>
      <c r="P203" s="5"/>
      <c r="Q203" s="8"/>
      <c r="U203" s="10"/>
      <c r="V203" s="4"/>
      <c r="W203" s="2">
        <v>110</v>
      </c>
      <c r="X203" s="2"/>
      <c r="Y203" s="2"/>
      <c r="Z203" s="6">
        <v>10.24</v>
      </c>
    </row>
    <row r="204" spans="1:27" x14ac:dyDescent="0.25">
      <c r="A204" t="s">
        <v>47</v>
      </c>
      <c r="B204" s="1" t="s">
        <v>0</v>
      </c>
      <c r="C204">
        <v>64</v>
      </c>
      <c r="D204" s="2">
        <v>111</v>
      </c>
      <c r="E204" s="2">
        <v>11</v>
      </c>
      <c r="F204" t="s">
        <v>15</v>
      </c>
      <c r="G204" s="2"/>
      <c r="H204" s="2"/>
      <c r="I204" s="6">
        <v>19.02</v>
      </c>
      <c r="N204" s="2">
        <v>111</v>
      </c>
      <c r="O204" s="5"/>
      <c r="P204" s="5"/>
      <c r="Q204" s="8"/>
      <c r="U204" s="10"/>
      <c r="V204" s="4"/>
      <c r="W204" s="2">
        <v>111</v>
      </c>
      <c r="X204" s="2"/>
      <c r="Y204" s="2"/>
      <c r="Z204" s="6">
        <v>14.62</v>
      </c>
    </row>
    <row r="205" spans="1:27" x14ac:dyDescent="0.25">
      <c r="A205" t="s">
        <v>47</v>
      </c>
      <c r="B205" s="1" t="s">
        <v>0</v>
      </c>
      <c r="C205">
        <v>64</v>
      </c>
      <c r="D205" s="2">
        <v>112</v>
      </c>
      <c r="E205" s="2">
        <v>8</v>
      </c>
      <c r="F205" t="s">
        <v>31</v>
      </c>
      <c r="G205" s="2"/>
      <c r="H205" s="2"/>
      <c r="I205" s="6">
        <v>18.079999999999998</v>
      </c>
      <c r="N205" s="2">
        <v>112</v>
      </c>
      <c r="O205" s="5"/>
      <c r="P205" s="5"/>
      <c r="Q205" s="8"/>
      <c r="U205" s="10"/>
      <c r="V205" s="4"/>
      <c r="W205" s="2">
        <v>112</v>
      </c>
      <c r="X205" s="2"/>
      <c r="Y205" s="2"/>
      <c r="Z205" s="6">
        <v>9.64</v>
      </c>
    </row>
    <row r="206" spans="1:27" x14ac:dyDescent="0.25">
      <c r="A206" t="s">
        <v>47</v>
      </c>
      <c r="B206" s="1" t="s">
        <v>0</v>
      </c>
      <c r="C206">
        <v>64</v>
      </c>
      <c r="D206" s="2">
        <v>113</v>
      </c>
      <c r="E206" s="2">
        <v>10</v>
      </c>
      <c r="F206" t="s">
        <v>35</v>
      </c>
      <c r="G206" s="2">
        <v>839</v>
      </c>
      <c r="H206" s="2">
        <v>211</v>
      </c>
      <c r="I206" s="6">
        <v>18.559999999999999</v>
      </c>
      <c r="J206" s="4">
        <f>(H206-32)/(G206-32)</f>
        <v>0.22180916976456011</v>
      </c>
      <c r="N206" s="2">
        <v>113</v>
      </c>
      <c r="O206" s="5">
        <v>602</v>
      </c>
      <c r="P206" s="2">
        <v>174</v>
      </c>
      <c r="Q206" s="3">
        <v>15</v>
      </c>
      <c r="R206" s="4">
        <f>(P206-32)/(O206-32)</f>
        <v>0.24912280701754386</v>
      </c>
      <c r="U206" s="10"/>
      <c r="V206" s="4"/>
      <c r="W206" s="2">
        <v>113</v>
      </c>
      <c r="X206" s="2">
        <v>688</v>
      </c>
      <c r="Y206" s="2">
        <v>177</v>
      </c>
      <c r="Z206" s="6">
        <v>12.4</v>
      </c>
      <c r="AA206" s="4">
        <f>(Y206-32)/(X206-32)</f>
        <v>0.22103658536585366</v>
      </c>
    </row>
    <row r="207" spans="1:27" x14ac:dyDescent="0.25">
      <c r="A207" t="s">
        <v>47</v>
      </c>
      <c r="B207" s="1" t="s">
        <v>0</v>
      </c>
      <c r="C207">
        <v>64</v>
      </c>
      <c r="D207" s="2">
        <v>114</v>
      </c>
      <c r="E207" s="2">
        <v>14</v>
      </c>
      <c r="F207" t="s">
        <v>25</v>
      </c>
      <c r="G207" s="2"/>
      <c r="H207" s="2"/>
      <c r="I207" s="6">
        <v>18.899999999999999</v>
      </c>
      <c r="N207" s="2">
        <v>114</v>
      </c>
      <c r="P207" s="2"/>
      <c r="Q207" s="3">
        <v>13.66</v>
      </c>
      <c r="U207" s="10"/>
      <c r="V207" s="4"/>
      <c r="W207" s="2">
        <v>114</v>
      </c>
      <c r="X207" s="2"/>
      <c r="Y207" s="2"/>
      <c r="Z207" s="6">
        <v>11.42</v>
      </c>
    </row>
    <row r="208" spans="1:27" x14ac:dyDescent="0.25">
      <c r="A208" t="s">
        <v>47</v>
      </c>
      <c r="B208" s="1" t="s">
        <v>0</v>
      </c>
      <c r="C208">
        <v>64</v>
      </c>
      <c r="D208" s="2">
        <v>115</v>
      </c>
      <c r="E208" s="2">
        <v>31</v>
      </c>
      <c r="F208" t="s">
        <v>29</v>
      </c>
      <c r="G208" s="2"/>
      <c r="H208" s="2"/>
      <c r="I208" s="6">
        <v>20.260000000000002</v>
      </c>
      <c r="N208" s="2">
        <v>115</v>
      </c>
      <c r="P208" s="2"/>
      <c r="Q208" s="3">
        <v>15.22</v>
      </c>
      <c r="U208" s="10"/>
      <c r="V208" s="4"/>
      <c r="W208" s="2">
        <v>115</v>
      </c>
      <c r="X208" s="2"/>
      <c r="Y208" s="2"/>
      <c r="Z208" s="6">
        <v>13.84</v>
      </c>
    </row>
    <row r="209" spans="1:27" x14ac:dyDescent="0.25">
      <c r="A209" t="s">
        <v>47</v>
      </c>
      <c r="B209" s="1" t="s">
        <v>0</v>
      </c>
      <c r="C209">
        <v>64</v>
      </c>
      <c r="D209" s="2">
        <v>116</v>
      </c>
      <c r="E209" s="2">
        <v>30</v>
      </c>
      <c r="F209" s="7" t="s">
        <v>9</v>
      </c>
      <c r="G209" s="2"/>
      <c r="H209" s="2"/>
      <c r="I209" s="6">
        <v>17.899999999999999</v>
      </c>
      <c r="N209" s="2">
        <v>116</v>
      </c>
      <c r="P209" s="2"/>
      <c r="Q209" s="3">
        <v>15.2</v>
      </c>
      <c r="U209" s="10"/>
      <c r="V209" s="4"/>
      <c r="W209" s="2">
        <v>116</v>
      </c>
      <c r="X209" s="2"/>
      <c r="Y209" s="2"/>
      <c r="Z209" s="6">
        <v>12.04</v>
      </c>
    </row>
    <row r="210" spans="1:27" x14ac:dyDescent="0.25">
      <c r="A210" t="s">
        <v>47</v>
      </c>
      <c r="B210" s="1" t="s">
        <v>0</v>
      </c>
      <c r="C210">
        <v>64</v>
      </c>
      <c r="D210" s="2">
        <v>117</v>
      </c>
      <c r="E210" s="2">
        <v>7</v>
      </c>
      <c r="F210" t="s">
        <v>16</v>
      </c>
      <c r="G210" s="2">
        <v>804</v>
      </c>
      <c r="H210" s="2">
        <v>206</v>
      </c>
      <c r="I210" s="6">
        <v>16.899999999999999</v>
      </c>
      <c r="J210" s="4">
        <f>(H210-32)/(G210-32)</f>
        <v>0.22538860103626943</v>
      </c>
      <c r="N210" s="2">
        <v>117</v>
      </c>
      <c r="O210" s="5">
        <v>784</v>
      </c>
      <c r="P210" s="2">
        <v>222</v>
      </c>
      <c r="Q210" s="3">
        <v>14.16</v>
      </c>
      <c r="R210" s="4">
        <f>(P210-32)/(O210-32)</f>
        <v>0.25265957446808512</v>
      </c>
      <c r="U210" s="10"/>
      <c r="V210" s="4"/>
      <c r="W210" s="2">
        <v>117</v>
      </c>
      <c r="X210" s="2">
        <v>587</v>
      </c>
      <c r="Y210" s="2">
        <v>157</v>
      </c>
      <c r="Z210" s="6">
        <v>11.78</v>
      </c>
      <c r="AA210" s="4">
        <f>(Y210-32)/(X210-32)</f>
        <v>0.22522522522522523</v>
      </c>
    </row>
    <row r="211" spans="1:27" x14ac:dyDescent="0.25">
      <c r="A211" t="s">
        <v>47</v>
      </c>
      <c r="B211" s="1" t="s">
        <v>0</v>
      </c>
      <c r="C211">
        <v>64</v>
      </c>
      <c r="D211" s="2">
        <v>118</v>
      </c>
      <c r="E211" s="2">
        <v>29</v>
      </c>
      <c r="F211" t="s">
        <v>11</v>
      </c>
      <c r="G211" s="2"/>
      <c r="H211" s="2"/>
      <c r="I211" s="6">
        <v>15.68</v>
      </c>
      <c r="N211" s="2">
        <v>118</v>
      </c>
      <c r="P211" s="2"/>
      <c r="Q211" s="3">
        <v>14.54</v>
      </c>
      <c r="U211" s="10"/>
      <c r="V211" s="4"/>
      <c r="W211" s="2">
        <v>118</v>
      </c>
      <c r="X211" s="2"/>
      <c r="Y211" s="2"/>
      <c r="Z211" s="6">
        <v>9.64</v>
      </c>
    </row>
    <row r="212" spans="1:27" x14ac:dyDescent="0.25">
      <c r="A212" t="s">
        <v>47</v>
      </c>
      <c r="B212" s="1" t="s">
        <v>0</v>
      </c>
      <c r="C212">
        <v>64</v>
      </c>
      <c r="D212" s="2">
        <v>119</v>
      </c>
      <c r="E212" s="2">
        <v>3</v>
      </c>
      <c r="F212" t="s">
        <v>3</v>
      </c>
      <c r="G212" s="2"/>
      <c r="H212" s="2"/>
      <c r="I212" s="6">
        <v>18.98</v>
      </c>
      <c r="N212" s="2">
        <v>119</v>
      </c>
      <c r="P212" s="2"/>
      <c r="Q212" s="12">
        <v>12.76</v>
      </c>
      <c r="U212" s="10"/>
      <c r="V212" s="4"/>
      <c r="W212" s="2">
        <v>119</v>
      </c>
      <c r="X212" s="2"/>
      <c r="Y212" s="2"/>
      <c r="Z212" s="6">
        <v>10.76</v>
      </c>
    </row>
    <row r="213" spans="1:27" x14ac:dyDescent="0.25">
      <c r="A213" t="s">
        <v>47</v>
      </c>
      <c r="B213" s="1" t="s">
        <v>0</v>
      </c>
      <c r="C213">
        <v>64</v>
      </c>
      <c r="D213" s="2">
        <v>120</v>
      </c>
      <c r="E213" s="2">
        <v>26</v>
      </c>
      <c r="F213" t="s">
        <v>21</v>
      </c>
      <c r="G213" s="2"/>
      <c r="H213" s="2"/>
      <c r="I213" s="6">
        <v>18.72</v>
      </c>
      <c r="N213" s="2">
        <v>120</v>
      </c>
      <c r="P213" s="2"/>
      <c r="Q213" s="12">
        <v>12.7</v>
      </c>
      <c r="U213" s="10"/>
      <c r="V213" s="4"/>
      <c r="W213" s="2">
        <v>120</v>
      </c>
      <c r="X213" s="2"/>
      <c r="Y213" s="2"/>
      <c r="Z213" s="6">
        <v>11.66</v>
      </c>
    </row>
    <row r="214" spans="1:27" x14ac:dyDescent="0.25">
      <c r="A214" t="s">
        <v>47</v>
      </c>
      <c r="B214" s="1" t="s">
        <v>0</v>
      </c>
      <c r="C214">
        <v>64</v>
      </c>
      <c r="D214" s="2">
        <v>121</v>
      </c>
      <c r="E214" s="2">
        <v>6</v>
      </c>
      <c r="F214" t="s">
        <v>1</v>
      </c>
      <c r="G214" s="2">
        <v>730</v>
      </c>
      <c r="H214" s="2">
        <v>184</v>
      </c>
      <c r="I214" s="6">
        <v>16.62</v>
      </c>
      <c r="J214" s="4">
        <f>(H214-32)/(G214-32)</f>
        <v>0.2177650429799427</v>
      </c>
      <c r="N214" s="2">
        <v>121</v>
      </c>
      <c r="O214" s="5">
        <v>659</v>
      </c>
      <c r="P214" s="2">
        <v>187</v>
      </c>
      <c r="Q214" s="3">
        <v>14.44</v>
      </c>
      <c r="R214" s="4">
        <f>(P214-32)/(O214-32)</f>
        <v>0.24720893141945774</v>
      </c>
      <c r="U214" s="10"/>
      <c r="V214" s="4"/>
      <c r="W214" s="2">
        <v>121</v>
      </c>
      <c r="X214" s="2">
        <v>780</v>
      </c>
      <c r="Y214" s="2">
        <v>203</v>
      </c>
      <c r="Z214" s="6">
        <v>10.48</v>
      </c>
      <c r="AA214" s="4">
        <f>(Y214-32)/(X214-32)</f>
        <v>0.2286096256684492</v>
      </c>
    </row>
    <row r="215" spans="1:27" x14ac:dyDescent="0.25">
      <c r="A215" t="s">
        <v>47</v>
      </c>
      <c r="B215" s="1" t="s">
        <v>0</v>
      </c>
      <c r="C215">
        <v>64</v>
      </c>
      <c r="D215" s="2">
        <v>122</v>
      </c>
      <c r="E215" s="2">
        <v>24</v>
      </c>
      <c r="F215" t="s">
        <v>32</v>
      </c>
      <c r="G215" s="2"/>
      <c r="H215" s="2"/>
      <c r="I215" s="6">
        <v>18.88</v>
      </c>
      <c r="N215" s="2">
        <v>122</v>
      </c>
      <c r="P215" s="2"/>
      <c r="Q215" s="3">
        <v>15.78</v>
      </c>
      <c r="U215" s="10"/>
      <c r="V215" s="4"/>
      <c r="W215" s="2">
        <v>122</v>
      </c>
      <c r="X215" s="2"/>
      <c r="Y215" s="2"/>
      <c r="Z215" s="6">
        <v>12.08</v>
      </c>
    </row>
    <row r="216" spans="1:27" x14ac:dyDescent="0.25">
      <c r="A216" t="s">
        <v>47</v>
      </c>
      <c r="B216" s="1" t="s">
        <v>0</v>
      </c>
      <c r="C216">
        <v>64</v>
      </c>
      <c r="D216" s="2">
        <v>123</v>
      </c>
      <c r="E216" s="2">
        <v>32</v>
      </c>
      <c r="F216" s="7" t="s">
        <v>30</v>
      </c>
      <c r="G216" s="2"/>
      <c r="H216" s="2"/>
      <c r="I216" s="6">
        <v>14.18</v>
      </c>
      <c r="N216" s="2">
        <v>123</v>
      </c>
      <c r="P216" s="2"/>
      <c r="Q216" s="3">
        <v>13.08</v>
      </c>
      <c r="U216" s="10"/>
      <c r="V216" s="4"/>
      <c r="W216" s="2">
        <v>123</v>
      </c>
      <c r="X216" s="2"/>
      <c r="Y216" s="2"/>
      <c r="Z216" s="6">
        <v>9.6199999999999992</v>
      </c>
    </row>
    <row r="217" spans="1:27" x14ac:dyDescent="0.25">
      <c r="A217" t="s">
        <v>47</v>
      </c>
      <c r="B217" s="1" t="s">
        <v>0</v>
      </c>
      <c r="C217">
        <v>64</v>
      </c>
      <c r="D217" s="2">
        <v>124</v>
      </c>
      <c r="E217" s="2">
        <v>18</v>
      </c>
      <c r="F217" t="s">
        <v>18</v>
      </c>
      <c r="G217" s="2"/>
      <c r="H217" s="2"/>
      <c r="I217" s="6">
        <v>17.72</v>
      </c>
      <c r="N217" s="2">
        <v>124</v>
      </c>
      <c r="P217" s="2"/>
      <c r="Q217" s="3">
        <v>14.54</v>
      </c>
      <c r="U217" s="10"/>
      <c r="V217" s="4"/>
      <c r="W217" s="2">
        <v>124</v>
      </c>
      <c r="X217" s="2"/>
      <c r="Y217" s="2"/>
      <c r="Z217" s="6">
        <v>12.5</v>
      </c>
    </row>
    <row r="218" spans="1:27" x14ac:dyDescent="0.25">
      <c r="A218" t="s">
        <v>47</v>
      </c>
      <c r="B218" s="1" t="s">
        <v>0</v>
      </c>
      <c r="C218">
        <v>64</v>
      </c>
      <c r="D218" s="2">
        <v>125</v>
      </c>
      <c r="E218" s="2">
        <v>34</v>
      </c>
      <c r="F218" s="7" t="s">
        <v>34</v>
      </c>
      <c r="G218" s="2">
        <v>589</v>
      </c>
      <c r="H218" s="2">
        <v>153</v>
      </c>
      <c r="I218" s="6">
        <v>19.440000000000001</v>
      </c>
      <c r="J218" s="4">
        <f>(H218-32)/(G218-32)</f>
        <v>0.21723518850987433</v>
      </c>
      <c r="N218" s="2">
        <v>125</v>
      </c>
      <c r="O218">
        <v>833</v>
      </c>
      <c r="P218" s="2">
        <v>219</v>
      </c>
      <c r="Q218" s="3">
        <v>16</v>
      </c>
      <c r="R218" s="4">
        <f>(P218-32)/(O218-32)</f>
        <v>0.23345817727840198</v>
      </c>
      <c r="U218" s="10"/>
      <c r="V218" s="4"/>
      <c r="W218" s="2">
        <v>125</v>
      </c>
      <c r="X218" s="2">
        <v>827</v>
      </c>
      <c r="Y218" s="2">
        <v>215</v>
      </c>
      <c r="Z218" s="6">
        <v>11.72</v>
      </c>
      <c r="AA218" s="4">
        <f>(Y218-32)/(X218-32)</f>
        <v>0.23018867924528302</v>
      </c>
    </row>
    <row r="219" spans="1:27" x14ac:dyDescent="0.25">
      <c r="A219" t="s">
        <v>47</v>
      </c>
      <c r="B219" s="1" t="s">
        <v>0</v>
      </c>
      <c r="C219">
        <v>64</v>
      </c>
      <c r="D219" s="2">
        <v>126</v>
      </c>
      <c r="E219" s="2">
        <v>23</v>
      </c>
      <c r="F219" t="s">
        <v>36</v>
      </c>
      <c r="G219" s="2"/>
      <c r="H219" s="2"/>
      <c r="I219" s="6">
        <v>15.32</v>
      </c>
      <c r="N219" s="2">
        <v>126</v>
      </c>
      <c r="P219" s="2"/>
      <c r="Q219" s="3">
        <v>13.08</v>
      </c>
      <c r="U219" s="10"/>
      <c r="V219" s="4"/>
      <c r="W219" s="2">
        <v>126</v>
      </c>
      <c r="X219" s="2"/>
      <c r="Y219" s="2"/>
      <c r="Z219" s="6">
        <v>10.36</v>
      </c>
    </row>
    <row r="220" spans="1:27" x14ac:dyDescent="0.25">
      <c r="A220" t="s">
        <v>47</v>
      </c>
      <c r="B220" s="1" t="s">
        <v>0</v>
      </c>
      <c r="C220">
        <v>64</v>
      </c>
      <c r="D220" s="2">
        <v>127</v>
      </c>
      <c r="E220" s="2">
        <v>5</v>
      </c>
      <c r="F220" t="s">
        <v>5</v>
      </c>
      <c r="G220" s="2"/>
      <c r="H220" s="2"/>
      <c r="I220" s="6">
        <v>15.58</v>
      </c>
      <c r="N220" s="2">
        <v>127</v>
      </c>
      <c r="P220" s="2"/>
      <c r="Q220" s="3">
        <v>14.52</v>
      </c>
      <c r="U220" s="10"/>
      <c r="V220" s="4"/>
      <c r="W220" s="2">
        <v>127</v>
      </c>
      <c r="X220" s="2"/>
      <c r="Y220" s="2"/>
      <c r="Z220" s="6">
        <v>9.8800000000000008</v>
      </c>
    </row>
    <row r="221" spans="1:27" x14ac:dyDescent="0.25">
      <c r="A221" t="s">
        <v>47</v>
      </c>
      <c r="B221" s="1" t="s">
        <v>0</v>
      </c>
      <c r="C221">
        <v>64</v>
      </c>
      <c r="D221" s="2">
        <v>128</v>
      </c>
      <c r="E221" s="2">
        <v>35</v>
      </c>
      <c r="F221" s="7" t="s">
        <v>26</v>
      </c>
      <c r="G221" s="2"/>
      <c r="H221" s="2"/>
      <c r="I221" s="6">
        <v>16.98</v>
      </c>
      <c r="N221" s="2">
        <v>128</v>
      </c>
      <c r="P221" s="2"/>
      <c r="Q221" s="3">
        <v>14.64</v>
      </c>
      <c r="U221" s="10"/>
      <c r="V221" s="4"/>
      <c r="W221" s="2">
        <v>128</v>
      </c>
      <c r="X221" s="2"/>
      <c r="Y221" s="2"/>
      <c r="Z221" s="6">
        <v>11.26</v>
      </c>
    </row>
    <row r="222" spans="1:27" x14ac:dyDescent="0.25">
      <c r="A222" t="s">
        <v>47</v>
      </c>
      <c r="B222" s="1" t="s">
        <v>0</v>
      </c>
      <c r="C222">
        <v>64</v>
      </c>
      <c r="D222" s="2">
        <v>129</v>
      </c>
      <c r="E222" s="2">
        <v>1</v>
      </c>
      <c r="F222" t="s">
        <v>6</v>
      </c>
      <c r="G222" s="2">
        <v>772</v>
      </c>
      <c r="H222" s="2">
        <v>202</v>
      </c>
      <c r="I222" s="6">
        <v>14.98</v>
      </c>
      <c r="J222" s="4">
        <f>(H222-32)/(G222-32)</f>
        <v>0.22972972972972974</v>
      </c>
      <c r="N222" s="2">
        <v>129</v>
      </c>
      <c r="O222">
        <v>774</v>
      </c>
      <c r="P222" s="2">
        <v>218</v>
      </c>
      <c r="Q222" s="3">
        <v>13.6</v>
      </c>
      <c r="R222" s="4">
        <f>(P222-32)/(O222-32)</f>
        <v>0.25067385444743934</v>
      </c>
      <c r="U222" s="10"/>
      <c r="V222" s="4"/>
      <c r="W222" s="2">
        <v>129</v>
      </c>
      <c r="X222" s="2">
        <v>898</v>
      </c>
      <c r="Y222" s="2">
        <v>238</v>
      </c>
      <c r="Z222" s="6">
        <v>11.02</v>
      </c>
      <c r="AA222" s="4">
        <f>(Y222-32)/(X222-32)</f>
        <v>0.23787528868360278</v>
      </c>
    </row>
    <row r="223" spans="1:27" x14ac:dyDescent="0.25">
      <c r="A223" t="s">
        <v>47</v>
      </c>
      <c r="B223" s="1" t="s">
        <v>0</v>
      </c>
      <c r="C223">
        <v>64</v>
      </c>
      <c r="D223" s="2">
        <v>130</v>
      </c>
      <c r="E223" s="2">
        <v>25</v>
      </c>
      <c r="F223" s="7" t="s">
        <v>8</v>
      </c>
      <c r="G223" s="2"/>
      <c r="H223" s="2"/>
      <c r="I223" s="6">
        <v>13.88</v>
      </c>
      <c r="N223" s="2">
        <v>130</v>
      </c>
      <c r="P223" s="2"/>
      <c r="Q223" s="3">
        <v>13.64</v>
      </c>
      <c r="U223" s="10"/>
      <c r="V223" s="4"/>
      <c r="W223" s="2">
        <v>130</v>
      </c>
      <c r="X223" s="2"/>
      <c r="Y223" s="2"/>
      <c r="Z223" s="6">
        <v>9.44</v>
      </c>
    </row>
    <row r="224" spans="1:27" x14ac:dyDescent="0.25">
      <c r="A224" t="s">
        <v>47</v>
      </c>
      <c r="B224" s="1" t="s">
        <v>0</v>
      </c>
      <c r="C224">
        <v>64</v>
      </c>
      <c r="D224" s="2">
        <v>131</v>
      </c>
      <c r="E224" s="2">
        <v>11</v>
      </c>
      <c r="F224" t="s">
        <v>15</v>
      </c>
      <c r="G224" s="2"/>
      <c r="H224" s="2"/>
      <c r="I224" s="6">
        <v>16.66</v>
      </c>
      <c r="N224" s="2">
        <v>131</v>
      </c>
      <c r="P224" s="2"/>
      <c r="Q224" s="3">
        <v>15.04</v>
      </c>
      <c r="U224" s="10"/>
      <c r="V224" s="4"/>
      <c r="W224" s="2">
        <v>131</v>
      </c>
      <c r="X224" s="2"/>
      <c r="Y224" s="2"/>
      <c r="Z224" s="6">
        <v>11.4</v>
      </c>
    </row>
    <row r="225" spans="1:27" x14ac:dyDescent="0.25">
      <c r="A225" t="s">
        <v>47</v>
      </c>
      <c r="B225" s="1" t="s">
        <v>0</v>
      </c>
      <c r="C225">
        <v>64</v>
      </c>
      <c r="D225" s="2">
        <v>132</v>
      </c>
      <c r="E225" s="2">
        <v>4</v>
      </c>
      <c r="F225" t="s">
        <v>2</v>
      </c>
      <c r="G225" s="2"/>
      <c r="H225" s="2"/>
      <c r="I225" s="6">
        <v>14.9</v>
      </c>
      <c r="N225" s="2">
        <v>132</v>
      </c>
      <c r="P225" s="2"/>
      <c r="Q225" s="3">
        <v>11.56</v>
      </c>
      <c r="U225" s="10"/>
      <c r="V225" s="4"/>
      <c r="W225" s="2">
        <v>132</v>
      </c>
      <c r="X225" s="2"/>
      <c r="Y225" s="2"/>
      <c r="Z225" s="6">
        <v>9.74</v>
      </c>
    </row>
    <row r="226" spans="1:27" x14ac:dyDescent="0.25">
      <c r="A226" t="s">
        <v>47</v>
      </c>
      <c r="B226" s="1" t="s">
        <v>0</v>
      </c>
      <c r="C226">
        <v>64</v>
      </c>
      <c r="D226" s="2">
        <v>133</v>
      </c>
      <c r="E226" s="2">
        <v>20</v>
      </c>
      <c r="F226" s="7" t="s">
        <v>28</v>
      </c>
      <c r="G226" s="2">
        <v>844</v>
      </c>
      <c r="H226" s="2">
        <v>210</v>
      </c>
      <c r="I226" s="6">
        <v>14.9</v>
      </c>
      <c r="J226" s="4">
        <f>(H226-32)/(G226-32)</f>
        <v>0.21921182266009853</v>
      </c>
      <c r="N226" s="2">
        <v>133</v>
      </c>
      <c r="O226">
        <v>881</v>
      </c>
      <c r="P226" s="2">
        <v>252</v>
      </c>
      <c r="Q226" s="3">
        <v>13.54</v>
      </c>
      <c r="R226" s="4">
        <f>(P226-32)/(O226-32)</f>
        <v>0.25912838633686691</v>
      </c>
      <c r="U226" s="10"/>
      <c r="V226" s="4"/>
      <c r="W226" s="2">
        <v>133</v>
      </c>
      <c r="X226" s="2">
        <v>601</v>
      </c>
      <c r="Y226" s="2">
        <v>171</v>
      </c>
      <c r="Z226" s="6">
        <v>9.56</v>
      </c>
      <c r="AA226" s="4">
        <f>(Y226-32)/(X226-32)</f>
        <v>0.24428822495606328</v>
      </c>
    </row>
    <row r="227" spans="1:27" x14ac:dyDescent="0.25">
      <c r="A227" t="s">
        <v>47</v>
      </c>
      <c r="B227" s="1" t="s">
        <v>0</v>
      </c>
      <c r="C227">
        <v>64</v>
      </c>
      <c r="D227" s="2">
        <v>134</v>
      </c>
      <c r="E227" s="2">
        <v>21</v>
      </c>
      <c r="F227" t="s">
        <v>22</v>
      </c>
      <c r="G227" s="2"/>
      <c r="H227" s="2"/>
      <c r="I227" s="6">
        <v>18.22</v>
      </c>
      <c r="N227" s="2">
        <v>134</v>
      </c>
      <c r="P227" s="2"/>
      <c r="Q227" s="3">
        <v>13.86</v>
      </c>
      <c r="U227" s="10"/>
      <c r="V227" s="4"/>
      <c r="W227" s="2">
        <v>134</v>
      </c>
      <c r="X227" s="2"/>
      <c r="Y227" s="2"/>
      <c r="Z227" s="6">
        <v>12.16</v>
      </c>
    </row>
    <row r="228" spans="1:27" x14ac:dyDescent="0.25">
      <c r="A228" t="s">
        <v>47</v>
      </c>
      <c r="B228" s="1" t="s">
        <v>0</v>
      </c>
      <c r="C228">
        <v>64</v>
      </c>
      <c r="D228" s="2">
        <v>135</v>
      </c>
      <c r="E228" s="2">
        <v>9</v>
      </c>
      <c r="F228" t="s">
        <v>19</v>
      </c>
      <c r="G228" s="2"/>
      <c r="H228" s="2"/>
      <c r="I228" s="6">
        <v>15.72</v>
      </c>
      <c r="N228" s="2">
        <v>135</v>
      </c>
      <c r="P228" s="2"/>
      <c r="Q228" s="3">
        <v>12.22</v>
      </c>
      <c r="U228" s="10"/>
      <c r="V228" s="4"/>
      <c r="W228" s="2">
        <v>135</v>
      </c>
      <c r="X228" s="2"/>
      <c r="Y228" s="2"/>
      <c r="Z228" s="6">
        <v>9.36</v>
      </c>
    </row>
    <row r="229" spans="1:27" x14ac:dyDescent="0.25">
      <c r="A229" t="s">
        <v>47</v>
      </c>
      <c r="B229" s="1" t="s">
        <v>0</v>
      </c>
      <c r="C229">
        <v>64</v>
      </c>
      <c r="D229" s="2">
        <v>136</v>
      </c>
      <c r="E229" s="2">
        <v>27</v>
      </c>
      <c r="F229" t="s">
        <v>14</v>
      </c>
      <c r="G229" s="2"/>
      <c r="H229" s="2"/>
      <c r="I229" s="6">
        <v>17.3</v>
      </c>
      <c r="N229" s="2">
        <v>136</v>
      </c>
      <c r="P229" s="2"/>
      <c r="Q229" s="3">
        <v>13.92</v>
      </c>
      <c r="U229" s="10"/>
      <c r="V229" s="4"/>
      <c r="W229" s="2">
        <v>136</v>
      </c>
      <c r="X229" s="2"/>
      <c r="Y229" s="2"/>
      <c r="Z229" s="6">
        <v>11.2</v>
      </c>
    </row>
    <row r="230" spans="1:27" x14ac:dyDescent="0.25">
      <c r="A230" t="s">
        <v>47</v>
      </c>
      <c r="B230" s="1" t="s">
        <v>0</v>
      </c>
      <c r="C230">
        <v>64</v>
      </c>
      <c r="D230" s="2">
        <v>137</v>
      </c>
      <c r="E230" s="2">
        <v>36</v>
      </c>
      <c r="F230" t="s">
        <v>27</v>
      </c>
      <c r="G230" s="2">
        <v>840</v>
      </c>
      <c r="H230" s="2">
        <v>222</v>
      </c>
      <c r="I230" s="6">
        <v>17.82</v>
      </c>
      <c r="J230" s="4">
        <f>(H230-32)/(G230-32)</f>
        <v>0.23514851485148514</v>
      </c>
      <c r="N230" s="2">
        <v>137</v>
      </c>
      <c r="O230">
        <v>829</v>
      </c>
      <c r="P230" s="2">
        <v>248</v>
      </c>
      <c r="Q230" s="3">
        <v>13.52</v>
      </c>
      <c r="R230" s="4">
        <f>(P230-32)/(O230-32)</f>
        <v>0.2710163111668758</v>
      </c>
      <c r="U230" s="10"/>
      <c r="V230" s="4"/>
      <c r="W230" s="2">
        <v>137</v>
      </c>
      <c r="X230" s="2">
        <v>668</v>
      </c>
      <c r="Y230" s="2">
        <v>184</v>
      </c>
      <c r="Z230" s="6">
        <v>11.06</v>
      </c>
      <c r="AA230" s="4">
        <f>(Y230-32)/(X230-32)</f>
        <v>0.2389937106918239</v>
      </c>
    </row>
    <row r="231" spans="1:27" x14ac:dyDescent="0.25">
      <c r="A231" t="s">
        <v>47</v>
      </c>
      <c r="B231" s="1" t="s">
        <v>0</v>
      </c>
      <c r="C231">
        <v>64</v>
      </c>
      <c r="D231" s="2">
        <v>138</v>
      </c>
      <c r="E231" s="2">
        <v>19</v>
      </c>
      <c r="F231" s="7" t="s">
        <v>10</v>
      </c>
      <c r="G231" s="2"/>
      <c r="H231" s="2"/>
      <c r="I231" s="6">
        <v>17.899999999999999</v>
      </c>
      <c r="N231" s="2">
        <v>138</v>
      </c>
      <c r="P231" s="2"/>
      <c r="Q231" s="3">
        <v>14.3</v>
      </c>
      <c r="U231" s="10"/>
      <c r="V231" s="4"/>
      <c r="W231" s="2">
        <v>138</v>
      </c>
      <c r="X231" s="2"/>
      <c r="Y231" s="2"/>
      <c r="Z231" s="6">
        <v>10.18</v>
      </c>
    </row>
    <row r="232" spans="1:27" x14ac:dyDescent="0.25">
      <c r="A232" t="s">
        <v>47</v>
      </c>
      <c r="B232" s="1" t="s">
        <v>0</v>
      </c>
      <c r="C232">
        <v>64</v>
      </c>
      <c r="D232" s="2">
        <v>139</v>
      </c>
      <c r="E232" s="2">
        <v>12</v>
      </c>
      <c r="F232" t="s">
        <v>33</v>
      </c>
      <c r="G232" s="2"/>
      <c r="H232" s="2"/>
      <c r="I232" s="6">
        <v>17.48</v>
      </c>
      <c r="N232" s="2">
        <v>139</v>
      </c>
      <c r="P232" s="2"/>
      <c r="Q232" s="3">
        <v>13.54</v>
      </c>
      <c r="U232" s="10"/>
      <c r="V232" s="4"/>
      <c r="W232" s="2">
        <v>139</v>
      </c>
      <c r="X232" s="2"/>
      <c r="Y232" s="2"/>
      <c r="Z232" s="6">
        <v>10.14</v>
      </c>
    </row>
    <row r="233" spans="1:27" x14ac:dyDescent="0.25">
      <c r="A233" t="s">
        <v>47</v>
      </c>
      <c r="B233" s="1" t="s">
        <v>0</v>
      </c>
      <c r="C233">
        <v>64</v>
      </c>
      <c r="D233" s="2">
        <v>140</v>
      </c>
      <c r="E233" s="2">
        <v>28</v>
      </c>
      <c r="F233" t="s">
        <v>13</v>
      </c>
      <c r="G233" s="2"/>
      <c r="H233" s="2"/>
      <c r="I233" s="6">
        <v>17.7</v>
      </c>
      <c r="N233" s="2">
        <v>140</v>
      </c>
      <c r="P233" s="2"/>
      <c r="Q233" s="3">
        <v>13.3</v>
      </c>
      <c r="U233" s="10"/>
      <c r="V233" s="4"/>
      <c r="W233" s="2">
        <v>140</v>
      </c>
      <c r="X233" s="2"/>
      <c r="Y233" s="2"/>
      <c r="Z233" s="6">
        <v>10.78</v>
      </c>
    </row>
    <row r="234" spans="1:27" x14ac:dyDescent="0.25">
      <c r="A234" t="s">
        <v>47</v>
      </c>
      <c r="B234" s="1" t="s">
        <v>0</v>
      </c>
      <c r="C234">
        <v>64</v>
      </c>
      <c r="D234" s="2">
        <v>141</v>
      </c>
      <c r="E234" s="2">
        <v>16</v>
      </c>
      <c r="F234" s="7" t="s">
        <v>12</v>
      </c>
      <c r="G234" s="2">
        <v>547</v>
      </c>
      <c r="H234" s="2">
        <v>145</v>
      </c>
      <c r="I234" s="6">
        <v>14.46</v>
      </c>
      <c r="J234" s="4">
        <f>(H234-32)/(G234-32)</f>
        <v>0.21941747572815534</v>
      </c>
      <c r="N234" s="2">
        <v>141</v>
      </c>
      <c r="O234">
        <v>699</v>
      </c>
      <c r="P234" s="2">
        <v>198</v>
      </c>
      <c r="Q234" s="3">
        <v>13.02</v>
      </c>
      <c r="R234" s="4">
        <f>(P234-32)/(O234-32)</f>
        <v>0.24887556221889057</v>
      </c>
      <c r="U234" s="10"/>
      <c r="V234" s="4"/>
      <c r="W234" s="2">
        <v>141</v>
      </c>
      <c r="X234" s="2">
        <v>709</v>
      </c>
      <c r="Y234" s="2">
        <v>192</v>
      </c>
      <c r="Z234" s="6">
        <v>8.68</v>
      </c>
      <c r="AA234" s="4">
        <f>(Y234-32)/(X234-32)</f>
        <v>0.2363367799113737</v>
      </c>
    </row>
    <row r="235" spans="1:27" x14ac:dyDescent="0.25">
      <c r="A235" t="s">
        <v>47</v>
      </c>
      <c r="B235" s="1" t="s">
        <v>0</v>
      </c>
      <c r="C235">
        <v>64</v>
      </c>
      <c r="D235" s="2">
        <v>142</v>
      </c>
      <c r="E235" s="2">
        <v>8</v>
      </c>
      <c r="F235" t="s">
        <v>31</v>
      </c>
      <c r="G235" s="2"/>
      <c r="H235" s="2"/>
      <c r="I235" s="6">
        <v>16.420000000000002</v>
      </c>
      <c r="N235" s="2">
        <v>142</v>
      </c>
      <c r="P235" s="2"/>
      <c r="Q235" s="3">
        <v>13.36</v>
      </c>
      <c r="U235" s="10"/>
      <c r="V235" s="4"/>
      <c r="W235" s="2">
        <v>142</v>
      </c>
      <c r="X235" s="2"/>
      <c r="Y235" s="2"/>
      <c r="Z235" s="6">
        <v>9.56</v>
      </c>
    </row>
    <row r="236" spans="1:27" x14ac:dyDescent="0.25">
      <c r="A236" t="s">
        <v>47</v>
      </c>
      <c r="B236" s="1" t="s">
        <v>0</v>
      </c>
      <c r="C236">
        <v>64</v>
      </c>
      <c r="D236" s="2">
        <v>143</v>
      </c>
      <c r="E236" s="2">
        <v>33</v>
      </c>
      <c r="F236" t="s">
        <v>23</v>
      </c>
      <c r="G236" s="2"/>
      <c r="H236" s="2"/>
      <c r="I236" s="6">
        <v>17.8</v>
      </c>
      <c r="N236" s="2">
        <v>143</v>
      </c>
      <c r="P236" s="2"/>
      <c r="Q236" s="3">
        <v>14.88</v>
      </c>
      <c r="U236" s="10"/>
      <c r="V236" s="4"/>
      <c r="W236" s="2">
        <v>143</v>
      </c>
      <c r="X236" s="2"/>
      <c r="Y236" s="2"/>
      <c r="Z236" s="6">
        <v>10.1</v>
      </c>
    </row>
    <row r="237" spans="1:27" x14ac:dyDescent="0.25">
      <c r="A237" t="s">
        <v>47</v>
      </c>
      <c r="B237" s="1" t="s">
        <v>0</v>
      </c>
      <c r="C237">
        <v>64</v>
      </c>
      <c r="D237" s="2">
        <v>144</v>
      </c>
      <c r="E237" s="2">
        <v>13</v>
      </c>
      <c r="F237" t="s">
        <v>24</v>
      </c>
      <c r="G237" s="2"/>
      <c r="H237" s="2"/>
      <c r="I237" s="6">
        <v>15.26</v>
      </c>
      <c r="N237" s="2">
        <v>144</v>
      </c>
      <c r="P237" s="2"/>
      <c r="Q237" s="3">
        <v>14.28</v>
      </c>
      <c r="U237" s="10"/>
      <c r="V237" s="4"/>
      <c r="W237" s="2">
        <v>144</v>
      </c>
      <c r="X237" s="2"/>
      <c r="Y237" s="2"/>
      <c r="Z237" s="6">
        <v>9.74</v>
      </c>
    </row>
    <row r="238" spans="1:27" x14ac:dyDescent="0.25">
      <c r="A238" t="s">
        <v>47</v>
      </c>
      <c r="B238" s="1" t="s">
        <v>0</v>
      </c>
      <c r="C238">
        <v>64</v>
      </c>
      <c r="D238" s="2">
        <v>145</v>
      </c>
      <c r="E238" s="2">
        <v>15</v>
      </c>
      <c r="F238" t="s">
        <v>20</v>
      </c>
      <c r="G238" s="2">
        <v>668</v>
      </c>
      <c r="H238" s="2">
        <v>174</v>
      </c>
      <c r="I238" s="6">
        <v>14.8</v>
      </c>
      <c r="J238" s="4">
        <f>(H238-32)/(G238-32)</f>
        <v>0.22327044025157233</v>
      </c>
      <c r="N238" s="2">
        <v>145</v>
      </c>
      <c r="O238">
        <v>611</v>
      </c>
      <c r="P238" s="2">
        <v>175</v>
      </c>
      <c r="Q238" s="3">
        <v>14.08</v>
      </c>
      <c r="R238" s="4">
        <f>(P238-32)/(O238-32)</f>
        <v>0.24697754749568221</v>
      </c>
      <c r="U238" s="10"/>
      <c r="V238" s="4"/>
      <c r="W238" s="2">
        <v>145</v>
      </c>
      <c r="X238" s="2">
        <v>690</v>
      </c>
      <c r="Y238" s="2">
        <v>183</v>
      </c>
      <c r="Z238" s="6">
        <v>9.2799999999999994</v>
      </c>
      <c r="AA238" s="4">
        <f>(Y238-32)/(X238-32)</f>
        <v>0.22948328267477203</v>
      </c>
    </row>
    <row r="239" spans="1:27" x14ac:dyDescent="0.25">
      <c r="A239" t="s">
        <v>47</v>
      </c>
      <c r="B239" s="1" t="s">
        <v>0</v>
      </c>
      <c r="C239">
        <v>64</v>
      </c>
      <c r="D239" s="2">
        <v>146</v>
      </c>
      <c r="E239" s="2">
        <v>22</v>
      </c>
      <c r="F239" t="s">
        <v>7</v>
      </c>
      <c r="G239" s="2"/>
      <c r="H239" s="2"/>
      <c r="I239" s="6">
        <v>17.3</v>
      </c>
      <c r="N239" s="2">
        <v>146</v>
      </c>
      <c r="P239" s="2"/>
      <c r="Q239" s="3">
        <v>15.48</v>
      </c>
      <c r="U239" s="10"/>
      <c r="V239" s="4"/>
      <c r="W239" s="2">
        <v>146</v>
      </c>
      <c r="X239" s="2"/>
      <c r="Y239" s="2"/>
      <c r="Z239" s="6">
        <v>10.64</v>
      </c>
    </row>
    <row r="240" spans="1:27" x14ac:dyDescent="0.25">
      <c r="A240" t="s">
        <v>47</v>
      </c>
      <c r="B240" s="1" t="s">
        <v>0</v>
      </c>
      <c r="C240">
        <v>64</v>
      </c>
      <c r="D240" s="2">
        <v>147</v>
      </c>
      <c r="E240" s="2">
        <v>17</v>
      </c>
      <c r="F240" t="s">
        <v>17</v>
      </c>
      <c r="G240" s="2"/>
      <c r="H240" s="2"/>
      <c r="I240" s="6">
        <v>12.7</v>
      </c>
      <c r="N240" s="2">
        <v>147</v>
      </c>
      <c r="P240" s="2"/>
      <c r="Q240" s="3">
        <v>14.16</v>
      </c>
      <c r="U240" s="10"/>
      <c r="V240" s="4"/>
      <c r="W240" s="2">
        <v>147</v>
      </c>
      <c r="X240" s="2"/>
      <c r="Y240" s="2"/>
      <c r="Z240" s="6">
        <v>8.68</v>
      </c>
    </row>
    <row r="241" spans="1:27" x14ac:dyDescent="0.25">
      <c r="A241" t="s">
        <v>47</v>
      </c>
      <c r="B241" s="1" t="s">
        <v>0</v>
      </c>
      <c r="C241">
        <v>64</v>
      </c>
      <c r="D241" s="2">
        <v>148</v>
      </c>
      <c r="E241" s="2">
        <v>2</v>
      </c>
      <c r="F241" t="s">
        <v>4</v>
      </c>
      <c r="G241" s="2"/>
      <c r="H241" s="2"/>
      <c r="I241" s="6">
        <v>19.600000000000001</v>
      </c>
      <c r="N241" s="2">
        <v>148</v>
      </c>
      <c r="P241" s="2"/>
      <c r="Q241" s="3">
        <v>16.46</v>
      </c>
      <c r="U241" s="10"/>
      <c r="V241" s="4"/>
      <c r="W241" s="2">
        <v>148</v>
      </c>
      <c r="X241" s="2"/>
      <c r="Y241" s="2"/>
      <c r="Z241" s="6">
        <v>11.18</v>
      </c>
    </row>
    <row r="242" spans="1:27" x14ac:dyDescent="0.25">
      <c r="A242" t="s">
        <v>47</v>
      </c>
      <c r="B242" s="1" t="s">
        <v>0</v>
      </c>
      <c r="C242">
        <v>64</v>
      </c>
      <c r="D242" s="2">
        <v>201</v>
      </c>
      <c r="E242" s="2">
        <v>10</v>
      </c>
      <c r="F242" t="s">
        <v>35</v>
      </c>
      <c r="G242" s="2">
        <v>651</v>
      </c>
      <c r="H242" s="2">
        <v>169</v>
      </c>
      <c r="I242" s="6">
        <v>13.82</v>
      </c>
      <c r="J242" s="4">
        <f>(H242-32)/(G242-32)</f>
        <v>0.22132471728594508</v>
      </c>
      <c r="K242" s="10">
        <v>102</v>
      </c>
      <c r="N242" s="2">
        <v>201</v>
      </c>
      <c r="O242" s="5"/>
      <c r="P242" s="5"/>
      <c r="Q242" s="8"/>
      <c r="U242" s="10"/>
      <c r="V242" s="4"/>
      <c r="W242" s="2">
        <v>201</v>
      </c>
      <c r="X242" s="2">
        <v>847</v>
      </c>
      <c r="Y242" s="2">
        <v>222</v>
      </c>
      <c r="Z242" s="6">
        <v>11.54</v>
      </c>
      <c r="AA242" s="4">
        <f>(Y242-32)/(X242-32)</f>
        <v>0.23312883435582821</v>
      </c>
    </row>
    <row r="243" spans="1:27" x14ac:dyDescent="0.25">
      <c r="A243" t="s">
        <v>47</v>
      </c>
      <c r="B243" s="1" t="s">
        <v>0</v>
      </c>
      <c r="C243">
        <v>64</v>
      </c>
      <c r="D243" s="2">
        <v>202</v>
      </c>
      <c r="E243" s="2">
        <v>9</v>
      </c>
      <c r="F243" t="s">
        <v>19</v>
      </c>
      <c r="G243" s="2"/>
      <c r="H243" s="2"/>
      <c r="I243" s="6">
        <v>16.14</v>
      </c>
      <c r="K243" s="10">
        <v>120</v>
      </c>
      <c r="N243" s="2">
        <v>202</v>
      </c>
      <c r="O243" s="5"/>
      <c r="P243" s="5"/>
      <c r="Q243" s="8"/>
      <c r="U243" s="10"/>
      <c r="V243" s="4"/>
      <c r="W243" s="2">
        <v>202</v>
      </c>
      <c r="X243" s="2"/>
      <c r="Y243" s="2"/>
      <c r="Z243" s="6">
        <v>11.78</v>
      </c>
    </row>
    <row r="244" spans="1:27" x14ac:dyDescent="0.25">
      <c r="A244" t="s">
        <v>47</v>
      </c>
      <c r="B244" s="1" t="s">
        <v>0</v>
      </c>
      <c r="C244">
        <v>64</v>
      </c>
      <c r="D244" s="2">
        <v>203</v>
      </c>
      <c r="E244" s="2">
        <v>12</v>
      </c>
      <c r="F244" t="s">
        <v>33</v>
      </c>
      <c r="G244" s="2"/>
      <c r="H244" s="2"/>
      <c r="I244" s="6">
        <v>16.68</v>
      </c>
      <c r="K244" s="10">
        <v>161</v>
      </c>
      <c r="N244" s="2">
        <v>203</v>
      </c>
      <c r="O244" s="5"/>
      <c r="P244" s="5"/>
      <c r="Q244" s="8"/>
      <c r="U244" s="10"/>
      <c r="V244" s="4"/>
      <c r="W244" s="2">
        <v>203</v>
      </c>
      <c r="X244" s="2"/>
      <c r="Y244" s="2"/>
      <c r="Z244" s="6">
        <v>11.32</v>
      </c>
    </row>
    <row r="245" spans="1:27" x14ac:dyDescent="0.25">
      <c r="A245" t="s">
        <v>47</v>
      </c>
      <c r="B245" s="1" t="s">
        <v>0</v>
      </c>
      <c r="C245">
        <v>64</v>
      </c>
      <c r="D245" s="2">
        <v>204</v>
      </c>
      <c r="E245" s="2">
        <v>8</v>
      </c>
      <c r="F245" t="s">
        <v>31</v>
      </c>
      <c r="G245" s="2"/>
      <c r="H245" s="2"/>
      <c r="I245" s="6">
        <v>16.440000000000001</v>
      </c>
      <c r="K245" s="10">
        <v>144</v>
      </c>
      <c r="N245" s="2">
        <v>204</v>
      </c>
      <c r="O245" s="5"/>
      <c r="P245" s="5"/>
      <c r="Q245" s="8"/>
      <c r="U245" s="10"/>
      <c r="V245" s="4"/>
      <c r="W245" s="2">
        <v>204</v>
      </c>
      <c r="X245" s="2"/>
      <c r="Y245" s="2"/>
      <c r="Z245" s="6">
        <v>10.36</v>
      </c>
    </row>
    <row r="246" spans="1:27" x14ac:dyDescent="0.25">
      <c r="A246" t="s">
        <v>47</v>
      </c>
      <c r="B246" s="1" t="s">
        <v>0</v>
      </c>
      <c r="C246">
        <v>64</v>
      </c>
      <c r="D246" s="2">
        <v>205</v>
      </c>
      <c r="E246" s="2">
        <v>11</v>
      </c>
      <c r="F246" t="s">
        <v>15</v>
      </c>
      <c r="G246" s="2">
        <v>692</v>
      </c>
      <c r="H246" s="2">
        <v>182</v>
      </c>
      <c r="I246" s="6">
        <v>15.26</v>
      </c>
      <c r="J246" s="4">
        <f>(H246-32)/(G246-32)</f>
        <v>0.22727272727272727</v>
      </c>
      <c r="K246" s="10">
        <v>144</v>
      </c>
      <c r="N246" s="2">
        <v>205</v>
      </c>
      <c r="O246" s="5"/>
      <c r="P246" s="5"/>
      <c r="Q246" s="8"/>
      <c r="U246" s="10"/>
      <c r="V246" s="4"/>
      <c r="W246" s="2">
        <v>205</v>
      </c>
      <c r="X246" s="2">
        <v>762</v>
      </c>
      <c r="Y246" s="2">
        <v>213</v>
      </c>
      <c r="Z246" s="6">
        <v>11.98</v>
      </c>
      <c r="AA246" s="4">
        <f>(Y246-32)/(X246-32)</f>
        <v>0.24794520547945206</v>
      </c>
    </row>
    <row r="247" spans="1:27" x14ac:dyDescent="0.25">
      <c r="A247" t="s">
        <v>47</v>
      </c>
      <c r="B247" s="1" t="s">
        <v>0</v>
      </c>
      <c r="C247">
        <v>64</v>
      </c>
      <c r="D247" s="2">
        <v>206</v>
      </c>
      <c r="E247" s="2">
        <v>7</v>
      </c>
      <c r="F247" t="s">
        <v>16</v>
      </c>
      <c r="G247" s="2"/>
      <c r="H247" s="2"/>
      <c r="I247" s="6">
        <v>14.36</v>
      </c>
      <c r="K247" s="10">
        <v>157</v>
      </c>
      <c r="N247" s="2">
        <v>206</v>
      </c>
      <c r="O247" s="5"/>
      <c r="P247" s="5"/>
      <c r="Q247" s="8"/>
      <c r="U247" s="10"/>
      <c r="V247" s="4"/>
      <c r="W247" s="2">
        <v>206</v>
      </c>
      <c r="X247" s="2"/>
      <c r="Y247" s="2"/>
      <c r="Z247" s="6">
        <v>10.4</v>
      </c>
    </row>
    <row r="248" spans="1:27" x14ac:dyDescent="0.25">
      <c r="A248" t="s">
        <v>47</v>
      </c>
      <c r="B248" s="1" t="s">
        <v>0</v>
      </c>
      <c r="C248">
        <v>64</v>
      </c>
      <c r="D248" s="2">
        <v>207</v>
      </c>
      <c r="E248" s="2">
        <v>12</v>
      </c>
      <c r="F248" t="s">
        <v>33</v>
      </c>
      <c r="G248" s="2"/>
      <c r="H248" s="2"/>
      <c r="I248" s="6">
        <v>16.7</v>
      </c>
      <c r="K248" s="10">
        <v>100</v>
      </c>
      <c r="N248" s="2">
        <v>207</v>
      </c>
      <c r="O248" s="5"/>
      <c r="P248" s="5"/>
      <c r="Q248" s="8"/>
      <c r="U248" s="10"/>
      <c r="V248" s="4"/>
      <c r="W248" s="2">
        <v>207</v>
      </c>
      <c r="X248" s="2"/>
      <c r="Y248" s="2"/>
      <c r="Z248" s="6">
        <v>10.38</v>
      </c>
    </row>
    <row r="249" spans="1:27" x14ac:dyDescent="0.25">
      <c r="A249" t="s">
        <v>47</v>
      </c>
      <c r="B249" s="1" t="s">
        <v>0</v>
      </c>
      <c r="C249">
        <v>64</v>
      </c>
      <c r="D249" s="2">
        <v>208</v>
      </c>
      <c r="E249" s="2">
        <v>9</v>
      </c>
      <c r="F249" t="s">
        <v>19</v>
      </c>
      <c r="G249" s="2"/>
      <c r="H249" s="2"/>
      <c r="I249" s="6">
        <v>13.88</v>
      </c>
      <c r="K249" s="10">
        <v>119</v>
      </c>
      <c r="N249" s="2">
        <v>208</v>
      </c>
      <c r="O249" s="5"/>
      <c r="P249" s="5"/>
      <c r="Q249" s="8"/>
      <c r="U249" s="10"/>
      <c r="V249" s="4"/>
      <c r="W249" s="2">
        <v>208</v>
      </c>
      <c r="X249" s="2"/>
      <c r="Y249" s="2"/>
      <c r="Z249" s="6">
        <v>11.2</v>
      </c>
    </row>
    <row r="250" spans="1:27" x14ac:dyDescent="0.25">
      <c r="A250" t="s">
        <v>47</v>
      </c>
      <c r="B250" s="1" t="s">
        <v>0</v>
      </c>
      <c r="C250">
        <v>64</v>
      </c>
      <c r="D250" s="2">
        <v>209</v>
      </c>
      <c r="E250" s="2">
        <v>11</v>
      </c>
      <c r="F250" t="s">
        <v>15</v>
      </c>
      <c r="G250" s="2">
        <v>705</v>
      </c>
      <c r="H250" s="2">
        <v>185</v>
      </c>
      <c r="I250" s="6">
        <v>16.66</v>
      </c>
      <c r="J250" s="4">
        <f>(H250-32)/(G250-32)</f>
        <v>0.22734026745913818</v>
      </c>
      <c r="K250" s="10">
        <v>161</v>
      </c>
      <c r="N250" s="2">
        <v>209</v>
      </c>
      <c r="O250" s="5"/>
      <c r="P250" s="5"/>
      <c r="Q250" s="8"/>
      <c r="U250" s="10"/>
      <c r="V250" s="4"/>
      <c r="W250" s="2">
        <v>209</v>
      </c>
      <c r="X250" s="2">
        <v>581</v>
      </c>
      <c r="Y250" s="2">
        <v>164</v>
      </c>
      <c r="Z250" s="6">
        <v>12.56</v>
      </c>
      <c r="AA250" s="4">
        <f>(Y250-32)/(X250-32)</f>
        <v>0.24043715846994534</v>
      </c>
    </row>
    <row r="251" spans="1:27" x14ac:dyDescent="0.25">
      <c r="A251" t="s">
        <v>47</v>
      </c>
      <c r="B251" s="1" t="s">
        <v>0</v>
      </c>
      <c r="C251">
        <v>64</v>
      </c>
      <c r="D251" s="2">
        <v>210</v>
      </c>
      <c r="E251" s="2">
        <v>8</v>
      </c>
      <c r="F251" t="s">
        <v>31</v>
      </c>
      <c r="G251" s="2"/>
      <c r="H251" s="2"/>
      <c r="I251" s="6">
        <v>16.36</v>
      </c>
      <c r="K251" s="10">
        <v>138</v>
      </c>
      <c r="N251" s="2">
        <v>210</v>
      </c>
      <c r="O251" s="5"/>
      <c r="P251" s="5"/>
      <c r="Q251" s="8"/>
      <c r="U251" s="10"/>
      <c r="V251" s="4"/>
      <c r="W251" s="2">
        <v>210</v>
      </c>
      <c r="X251" s="2"/>
      <c r="Y251" s="2"/>
      <c r="Z251" s="6">
        <v>11.12</v>
      </c>
    </row>
    <row r="252" spans="1:27" x14ac:dyDescent="0.25">
      <c r="A252" t="s">
        <v>47</v>
      </c>
      <c r="B252" s="1" t="s">
        <v>0</v>
      </c>
      <c r="C252">
        <v>64</v>
      </c>
      <c r="D252" s="2">
        <v>211</v>
      </c>
      <c r="E252" s="2">
        <v>7</v>
      </c>
      <c r="F252" t="s">
        <v>16</v>
      </c>
      <c r="G252" s="2"/>
      <c r="H252" s="2"/>
      <c r="I252" s="6">
        <v>16.420000000000002</v>
      </c>
      <c r="K252" s="10">
        <v>87</v>
      </c>
      <c r="N252" s="2">
        <v>211</v>
      </c>
      <c r="O252" s="5"/>
      <c r="P252" s="5"/>
      <c r="Q252" s="8"/>
      <c r="U252" s="10"/>
      <c r="V252" s="4"/>
      <c r="W252" s="2">
        <v>211</v>
      </c>
      <c r="X252" s="2"/>
      <c r="Y252" s="2"/>
      <c r="Z252" s="6">
        <v>11.1</v>
      </c>
    </row>
    <row r="253" spans="1:27" x14ac:dyDescent="0.25">
      <c r="A253" t="s">
        <v>47</v>
      </c>
      <c r="B253" s="1" t="s">
        <v>0</v>
      </c>
      <c r="C253">
        <v>64</v>
      </c>
      <c r="D253" s="2">
        <v>212</v>
      </c>
      <c r="E253" s="2">
        <v>10</v>
      </c>
      <c r="F253" t="s">
        <v>35</v>
      </c>
      <c r="G253" s="2"/>
      <c r="H253" s="2"/>
      <c r="I253" s="6">
        <v>16.04</v>
      </c>
      <c r="K253" s="10">
        <v>143</v>
      </c>
      <c r="N253" s="2">
        <v>212</v>
      </c>
      <c r="O253" s="5"/>
      <c r="P253" s="5"/>
      <c r="Q253" s="8"/>
      <c r="U253" s="10"/>
      <c r="V253" s="4"/>
      <c r="W253" s="2">
        <v>212</v>
      </c>
      <c r="X253" s="2"/>
      <c r="Y253" s="2"/>
      <c r="Z253" s="6">
        <v>10.28</v>
      </c>
    </row>
    <row r="254" spans="1:27" x14ac:dyDescent="0.25">
      <c r="A254" t="s">
        <v>47</v>
      </c>
      <c r="B254" s="1" t="s">
        <v>0</v>
      </c>
      <c r="C254">
        <v>64</v>
      </c>
      <c r="D254" s="2">
        <v>213</v>
      </c>
      <c r="E254" s="2">
        <v>6</v>
      </c>
      <c r="F254" t="s">
        <v>1</v>
      </c>
      <c r="G254" s="2">
        <v>520</v>
      </c>
      <c r="H254" s="2">
        <v>144</v>
      </c>
      <c r="I254" s="6">
        <v>15.28</v>
      </c>
      <c r="J254" s="4">
        <f>(H254-32)/(G254-32)</f>
        <v>0.22950819672131148</v>
      </c>
      <c r="K254" s="10">
        <v>132</v>
      </c>
      <c r="N254" s="2">
        <v>213</v>
      </c>
      <c r="O254">
        <v>571</v>
      </c>
      <c r="P254">
        <v>162</v>
      </c>
      <c r="Q254" s="6">
        <v>13.98</v>
      </c>
      <c r="R254" s="4">
        <f>(P254-32)/(O254-32)</f>
        <v>0.24118738404452691</v>
      </c>
      <c r="S254" s="10">
        <v>124</v>
      </c>
      <c r="V254" s="4"/>
      <c r="W254" s="2">
        <v>213</v>
      </c>
      <c r="X254" s="2">
        <v>800</v>
      </c>
      <c r="Y254" s="2">
        <v>211</v>
      </c>
      <c r="Z254" s="6">
        <v>10.52</v>
      </c>
      <c r="AA254" s="4">
        <f>(Y254-32)/(X254-32)</f>
        <v>0.23307291666666666</v>
      </c>
    </row>
    <row r="255" spans="1:27" x14ac:dyDescent="0.25">
      <c r="A255" t="s">
        <v>47</v>
      </c>
      <c r="B255" s="1" t="s">
        <v>0</v>
      </c>
      <c r="C255">
        <v>64</v>
      </c>
      <c r="D255" s="2">
        <v>214</v>
      </c>
      <c r="E255" s="2">
        <v>18</v>
      </c>
      <c r="F255" t="s">
        <v>18</v>
      </c>
      <c r="G255" s="2"/>
      <c r="H255" s="2"/>
      <c r="I255" s="6">
        <v>18.52</v>
      </c>
      <c r="K255" s="10">
        <v>103</v>
      </c>
      <c r="N255" s="2">
        <v>214</v>
      </c>
      <c r="Q255" s="6">
        <v>14.74</v>
      </c>
      <c r="S255" s="10">
        <v>123</v>
      </c>
      <c r="V255" s="4"/>
      <c r="W255" s="2">
        <v>214</v>
      </c>
      <c r="X255" s="2"/>
      <c r="Y255" s="2"/>
      <c r="Z255" s="6">
        <v>12.62</v>
      </c>
    </row>
    <row r="256" spans="1:27" x14ac:dyDescent="0.25">
      <c r="A256" t="s">
        <v>47</v>
      </c>
      <c r="B256" s="1" t="s">
        <v>0</v>
      </c>
      <c r="C256">
        <v>64</v>
      </c>
      <c r="D256" s="2">
        <v>215</v>
      </c>
      <c r="E256" s="2">
        <v>27</v>
      </c>
      <c r="F256" t="s">
        <v>14</v>
      </c>
      <c r="G256" s="2"/>
      <c r="H256" s="2"/>
      <c r="I256" s="6">
        <v>17.5</v>
      </c>
      <c r="K256" s="10">
        <v>112</v>
      </c>
      <c r="N256" s="2">
        <v>215</v>
      </c>
      <c r="Q256" s="6">
        <v>14.6</v>
      </c>
      <c r="S256" s="10">
        <v>133</v>
      </c>
      <c r="V256" s="4"/>
      <c r="W256" s="2">
        <v>215</v>
      </c>
      <c r="X256" s="2"/>
      <c r="Y256" s="2"/>
      <c r="Z256" s="6">
        <v>11.62</v>
      </c>
    </row>
    <row r="257" spans="1:28" x14ac:dyDescent="0.25">
      <c r="A257" t="s">
        <v>47</v>
      </c>
      <c r="B257" s="1" t="s">
        <v>0</v>
      </c>
      <c r="C257">
        <v>64</v>
      </c>
      <c r="D257" s="2">
        <v>216</v>
      </c>
      <c r="E257" s="2">
        <v>16</v>
      </c>
      <c r="F257" s="7" t="s">
        <v>12</v>
      </c>
      <c r="G257" s="2"/>
      <c r="H257" s="2"/>
      <c r="I257" s="6">
        <v>14.84</v>
      </c>
      <c r="K257" s="10">
        <v>76</v>
      </c>
      <c r="N257" s="2">
        <v>216</v>
      </c>
      <c r="Q257" s="6">
        <v>14.34</v>
      </c>
      <c r="S257" s="10">
        <v>99</v>
      </c>
      <c r="V257" s="4"/>
      <c r="W257" s="2">
        <v>216</v>
      </c>
      <c r="X257" s="2"/>
      <c r="Y257" s="2"/>
      <c r="Z257" s="6">
        <v>9.76</v>
      </c>
    </row>
    <row r="258" spans="1:28" x14ac:dyDescent="0.25">
      <c r="A258" t="s">
        <v>47</v>
      </c>
      <c r="B258" s="1" t="s">
        <v>0</v>
      </c>
      <c r="C258">
        <v>64</v>
      </c>
      <c r="D258" s="2">
        <v>217</v>
      </c>
      <c r="E258" s="2">
        <v>22</v>
      </c>
      <c r="F258" t="s">
        <v>7</v>
      </c>
      <c r="G258" s="2">
        <v>750</v>
      </c>
      <c r="H258" s="2">
        <v>194</v>
      </c>
      <c r="I258" s="6">
        <v>18.86</v>
      </c>
      <c r="J258" s="4">
        <f>(H258-32)/(G258-32)</f>
        <v>0.22562674094707522</v>
      </c>
      <c r="K258" s="10">
        <v>159</v>
      </c>
      <c r="N258" s="2">
        <v>217</v>
      </c>
      <c r="O258">
        <v>831</v>
      </c>
      <c r="P258">
        <v>226</v>
      </c>
      <c r="Q258" s="6">
        <v>15.62</v>
      </c>
      <c r="R258" s="4">
        <f>(P258-32)/(O258-32)</f>
        <v>0.2428035043804756</v>
      </c>
      <c r="S258" s="10">
        <v>151</v>
      </c>
      <c r="V258" s="4"/>
      <c r="W258" s="2">
        <v>217</v>
      </c>
      <c r="X258" s="2">
        <v>643</v>
      </c>
      <c r="Y258" s="2">
        <v>175</v>
      </c>
      <c r="Z258" s="6">
        <v>12.42</v>
      </c>
      <c r="AA258" s="4">
        <f>(Y258-32)/(X258-32)</f>
        <v>0.23404255319148937</v>
      </c>
    </row>
    <row r="259" spans="1:28" x14ac:dyDescent="0.25">
      <c r="A259" t="s">
        <v>47</v>
      </c>
      <c r="B259" s="1" t="s">
        <v>0</v>
      </c>
      <c r="C259">
        <v>64</v>
      </c>
      <c r="D259" s="2">
        <v>218</v>
      </c>
      <c r="E259" s="2">
        <v>1</v>
      </c>
      <c r="F259" t="s">
        <v>6</v>
      </c>
      <c r="G259" s="2"/>
      <c r="H259" s="2"/>
      <c r="I259" s="6">
        <v>17.5</v>
      </c>
      <c r="K259" s="10">
        <v>129</v>
      </c>
      <c r="N259" s="2">
        <v>218</v>
      </c>
      <c r="Q259" s="6">
        <v>15.66</v>
      </c>
      <c r="S259" s="10">
        <v>105</v>
      </c>
      <c r="V259" s="4"/>
      <c r="W259" s="2">
        <v>218</v>
      </c>
      <c r="X259" s="2"/>
      <c r="Y259" s="2"/>
      <c r="Z259" s="6">
        <v>12.78</v>
      </c>
    </row>
    <row r="260" spans="1:28" x14ac:dyDescent="0.25">
      <c r="A260" t="s">
        <v>47</v>
      </c>
      <c r="B260" s="1" t="s">
        <v>0</v>
      </c>
      <c r="C260">
        <v>64</v>
      </c>
      <c r="D260" s="2">
        <v>219</v>
      </c>
      <c r="E260" s="2">
        <v>14</v>
      </c>
      <c r="F260" t="s">
        <v>25</v>
      </c>
      <c r="G260" s="2"/>
      <c r="H260" s="2"/>
      <c r="I260" s="6">
        <v>16.84</v>
      </c>
      <c r="K260" s="10">
        <v>124</v>
      </c>
      <c r="N260" s="2">
        <v>219</v>
      </c>
      <c r="Q260" s="6">
        <v>11.74</v>
      </c>
      <c r="S260" s="10">
        <v>185</v>
      </c>
      <c r="V260" s="4"/>
      <c r="W260" s="2">
        <v>219</v>
      </c>
      <c r="X260" s="2"/>
      <c r="Y260" s="2"/>
      <c r="Z260" s="6">
        <v>11.16</v>
      </c>
    </row>
    <row r="261" spans="1:28" x14ac:dyDescent="0.25">
      <c r="A261" t="s">
        <v>47</v>
      </c>
      <c r="B261" s="1" t="s">
        <v>0</v>
      </c>
      <c r="C261">
        <v>64</v>
      </c>
      <c r="D261" s="2">
        <v>220</v>
      </c>
      <c r="E261" s="2">
        <v>21</v>
      </c>
      <c r="F261" t="s">
        <v>22</v>
      </c>
      <c r="G261" s="2"/>
      <c r="H261" s="2"/>
      <c r="I261" s="6">
        <v>19.079999999999998</v>
      </c>
      <c r="K261" s="10">
        <v>112</v>
      </c>
      <c r="N261" s="2">
        <v>220</v>
      </c>
      <c r="Q261" s="6">
        <v>16.16</v>
      </c>
      <c r="S261" s="10">
        <v>89</v>
      </c>
      <c r="V261" s="4"/>
      <c r="W261" s="2">
        <v>220</v>
      </c>
      <c r="X261" s="2"/>
      <c r="Y261" s="2"/>
      <c r="Z261" s="6">
        <v>14.34</v>
      </c>
    </row>
    <row r="262" spans="1:28" x14ac:dyDescent="0.25">
      <c r="A262" t="s">
        <v>47</v>
      </c>
      <c r="B262" s="1" t="s">
        <v>0</v>
      </c>
      <c r="C262">
        <v>64</v>
      </c>
      <c r="D262" s="2">
        <v>221</v>
      </c>
      <c r="E262" s="2">
        <v>11</v>
      </c>
      <c r="F262" t="s">
        <v>15</v>
      </c>
      <c r="G262" s="2">
        <v>772</v>
      </c>
      <c r="H262" s="2">
        <v>186</v>
      </c>
      <c r="I262" s="6">
        <v>17</v>
      </c>
      <c r="J262" s="4">
        <f>(H262-32)/(G262-32)</f>
        <v>0.20810810810810812</v>
      </c>
      <c r="K262" s="10">
        <v>122</v>
      </c>
      <c r="N262" s="2">
        <v>221</v>
      </c>
      <c r="O262">
        <v>753</v>
      </c>
      <c r="P262">
        <v>206</v>
      </c>
      <c r="Q262" s="6">
        <v>16.32</v>
      </c>
      <c r="R262" s="4">
        <f>(P262-32)/(O262-32)</f>
        <v>0.24133148404993066</v>
      </c>
      <c r="S262" s="10">
        <v>80</v>
      </c>
      <c r="V262" s="4"/>
      <c r="W262" s="2">
        <v>221</v>
      </c>
      <c r="X262" s="2">
        <v>446</v>
      </c>
      <c r="Y262" s="2">
        <v>129</v>
      </c>
      <c r="Z262" s="6">
        <v>10.5</v>
      </c>
      <c r="AA262" s="4">
        <f>(Y262-32)/(X262-32)</f>
        <v>0.23429951690821257</v>
      </c>
      <c r="AB262" s="2">
        <v>90</v>
      </c>
    </row>
    <row r="263" spans="1:28" x14ac:dyDescent="0.25">
      <c r="A263" t="s">
        <v>47</v>
      </c>
      <c r="B263" s="1" t="s">
        <v>0</v>
      </c>
      <c r="C263">
        <v>64</v>
      </c>
      <c r="D263" s="2">
        <v>222</v>
      </c>
      <c r="E263" s="2">
        <v>34</v>
      </c>
      <c r="F263" s="7" t="s">
        <v>34</v>
      </c>
      <c r="G263" s="2"/>
      <c r="H263" s="2"/>
      <c r="I263" s="6">
        <v>18.440000000000001</v>
      </c>
      <c r="K263" s="10">
        <v>122</v>
      </c>
      <c r="N263" s="2">
        <v>222</v>
      </c>
      <c r="Q263" s="6">
        <v>15.06</v>
      </c>
      <c r="S263" s="10">
        <v>166</v>
      </c>
      <c r="V263" s="4"/>
      <c r="W263" s="2">
        <v>222</v>
      </c>
      <c r="X263" s="2"/>
      <c r="Y263" s="2"/>
      <c r="Z263" s="6">
        <v>12.22</v>
      </c>
    </row>
    <row r="264" spans="1:28" x14ac:dyDescent="0.25">
      <c r="A264" t="s">
        <v>47</v>
      </c>
      <c r="B264" s="1" t="s">
        <v>0</v>
      </c>
      <c r="C264">
        <v>64</v>
      </c>
      <c r="D264" s="2">
        <v>223</v>
      </c>
      <c r="E264" s="2">
        <v>24</v>
      </c>
      <c r="F264" t="s">
        <v>32</v>
      </c>
      <c r="G264" s="2"/>
      <c r="H264" s="2"/>
      <c r="I264" s="6">
        <v>18.260000000000002</v>
      </c>
      <c r="K264" s="10">
        <v>151</v>
      </c>
      <c r="N264" s="2">
        <v>223</v>
      </c>
      <c r="Q264" s="6">
        <v>15.14</v>
      </c>
      <c r="S264" s="10">
        <v>115</v>
      </c>
      <c r="V264" s="4"/>
      <c r="W264" s="2">
        <v>223</v>
      </c>
      <c r="X264" s="2"/>
      <c r="Y264" s="2"/>
      <c r="Z264" s="6">
        <v>12.86</v>
      </c>
    </row>
    <row r="265" spans="1:28" x14ac:dyDescent="0.25">
      <c r="A265" t="s">
        <v>47</v>
      </c>
      <c r="B265" s="1" t="s">
        <v>0</v>
      </c>
      <c r="C265">
        <v>64</v>
      </c>
      <c r="D265" s="2">
        <v>224</v>
      </c>
      <c r="E265" s="2">
        <v>25</v>
      </c>
      <c r="F265" s="7" t="s">
        <v>8</v>
      </c>
      <c r="G265" s="2"/>
      <c r="H265" s="2"/>
      <c r="I265" s="6">
        <v>15.32</v>
      </c>
      <c r="K265" s="10">
        <v>89</v>
      </c>
      <c r="N265" s="2">
        <v>224</v>
      </c>
      <c r="Q265" s="6">
        <v>12.9</v>
      </c>
      <c r="S265" s="10">
        <v>159</v>
      </c>
      <c r="V265" s="4"/>
      <c r="W265" s="2">
        <v>224</v>
      </c>
      <c r="X265" s="2"/>
      <c r="Y265" s="2"/>
      <c r="Z265" s="6">
        <v>10</v>
      </c>
    </row>
    <row r="266" spans="1:28" x14ac:dyDescent="0.25">
      <c r="A266" t="s">
        <v>47</v>
      </c>
      <c r="B266" s="1" t="s">
        <v>0</v>
      </c>
      <c r="C266">
        <v>64</v>
      </c>
      <c r="D266" s="2">
        <v>225</v>
      </c>
      <c r="E266" s="2">
        <v>2</v>
      </c>
      <c r="F266" t="s">
        <v>4</v>
      </c>
      <c r="G266" s="2">
        <v>597</v>
      </c>
      <c r="H266" s="2">
        <v>152</v>
      </c>
      <c r="I266" s="6">
        <v>19.38</v>
      </c>
      <c r="J266" s="4">
        <f>(H266-32)/(G266-32)</f>
        <v>0.21238938053097345</v>
      </c>
      <c r="K266" s="10">
        <v>122</v>
      </c>
      <c r="N266" s="2">
        <v>225</v>
      </c>
      <c r="O266">
        <v>563</v>
      </c>
      <c r="P266">
        <v>163</v>
      </c>
      <c r="Q266" s="6">
        <v>14.12</v>
      </c>
      <c r="R266" s="4">
        <f>(P266-32)/(O266-32)</f>
        <v>0.24670433145009416</v>
      </c>
      <c r="S266" s="10">
        <v>145</v>
      </c>
      <c r="V266" s="4"/>
      <c r="W266" s="2">
        <v>225</v>
      </c>
      <c r="X266" s="2">
        <v>700</v>
      </c>
      <c r="Y266" s="2">
        <v>195</v>
      </c>
      <c r="Z266" s="6">
        <v>12.92</v>
      </c>
      <c r="AA266" s="4">
        <f>(Y266-32)/(X266-32)</f>
        <v>0.2440119760479042</v>
      </c>
    </row>
    <row r="267" spans="1:28" x14ac:dyDescent="0.25">
      <c r="A267" t="s">
        <v>47</v>
      </c>
      <c r="B267" s="1" t="s">
        <v>0</v>
      </c>
      <c r="C267">
        <v>64</v>
      </c>
      <c r="D267" s="2">
        <v>226</v>
      </c>
      <c r="E267" s="2">
        <v>20</v>
      </c>
      <c r="F267" s="7" t="s">
        <v>28</v>
      </c>
      <c r="G267" s="2"/>
      <c r="H267" s="2"/>
      <c r="I267" s="6">
        <v>14.3</v>
      </c>
      <c r="K267" s="10">
        <v>132</v>
      </c>
      <c r="N267" s="2">
        <v>226</v>
      </c>
      <c r="Q267" s="6">
        <v>12.2</v>
      </c>
      <c r="S267" s="10">
        <v>117</v>
      </c>
      <c r="V267" s="4"/>
      <c r="W267" s="2">
        <v>226</v>
      </c>
      <c r="X267" s="2"/>
      <c r="Y267" s="2"/>
      <c r="Z267" s="6">
        <v>9.5</v>
      </c>
    </row>
    <row r="268" spans="1:28" x14ac:dyDescent="0.25">
      <c r="A268" t="s">
        <v>47</v>
      </c>
      <c r="B268" s="1" t="s">
        <v>0</v>
      </c>
      <c r="C268">
        <v>64</v>
      </c>
      <c r="D268" s="2">
        <v>227</v>
      </c>
      <c r="E268" s="2">
        <v>13</v>
      </c>
      <c r="F268" t="s">
        <v>24</v>
      </c>
      <c r="G268" s="2"/>
      <c r="H268" s="2"/>
      <c r="I268" s="6">
        <v>17.079999999999998</v>
      </c>
      <c r="K268" s="10">
        <v>125</v>
      </c>
      <c r="N268" s="2">
        <v>227</v>
      </c>
      <c r="Q268" s="6">
        <v>13.88</v>
      </c>
      <c r="S268" s="10">
        <v>125</v>
      </c>
      <c r="V268" s="4"/>
      <c r="W268" s="2">
        <v>227</v>
      </c>
      <c r="X268" s="2"/>
      <c r="Y268" s="2"/>
      <c r="Z268" s="6">
        <v>10.24</v>
      </c>
    </row>
    <row r="269" spans="1:28" x14ac:dyDescent="0.25">
      <c r="A269" t="s">
        <v>47</v>
      </c>
      <c r="B269" s="1" t="s">
        <v>0</v>
      </c>
      <c r="C269">
        <v>64</v>
      </c>
      <c r="D269" s="2">
        <v>228</v>
      </c>
      <c r="E269" s="2">
        <v>32</v>
      </c>
      <c r="F269" s="7" t="s">
        <v>30</v>
      </c>
      <c r="G269" s="2"/>
      <c r="H269" s="2"/>
      <c r="I269" s="6">
        <v>13.58</v>
      </c>
      <c r="K269" s="10">
        <v>117</v>
      </c>
      <c r="N269" s="2">
        <v>228</v>
      </c>
      <c r="Q269" s="6">
        <v>11.44</v>
      </c>
      <c r="S269" s="10">
        <v>162</v>
      </c>
      <c r="V269" s="4"/>
      <c r="W269" s="2">
        <v>228</v>
      </c>
      <c r="X269" s="2"/>
      <c r="Y269" s="2"/>
      <c r="Z269" s="6">
        <v>8.8800000000000008</v>
      </c>
    </row>
    <row r="270" spans="1:28" x14ac:dyDescent="0.25">
      <c r="A270" t="s">
        <v>47</v>
      </c>
      <c r="B270" s="1" t="s">
        <v>0</v>
      </c>
      <c r="C270">
        <v>64</v>
      </c>
      <c r="D270" s="2">
        <v>229</v>
      </c>
      <c r="E270" s="2">
        <v>19</v>
      </c>
      <c r="F270" s="7" t="s">
        <v>10</v>
      </c>
      <c r="G270" s="2">
        <v>704</v>
      </c>
      <c r="H270" s="2">
        <v>166</v>
      </c>
      <c r="I270" s="6">
        <v>19.059999999999999</v>
      </c>
      <c r="J270" s="4">
        <f>(H270-32)/(G270-32)</f>
        <v>0.19940476190476192</v>
      </c>
      <c r="K270" s="10">
        <v>107</v>
      </c>
      <c r="N270" s="2">
        <v>229</v>
      </c>
      <c r="O270">
        <v>731</v>
      </c>
      <c r="P270">
        <v>208</v>
      </c>
      <c r="Q270" s="6">
        <v>15.12</v>
      </c>
      <c r="R270" s="4">
        <f>(P270-32)/(O270-32)</f>
        <v>0.25178826895565093</v>
      </c>
      <c r="S270" s="10">
        <v>127</v>
      </c>
      <c r="V270" s="4"/>
      <c r="W270" s="2">
        <v>229</v>
      </c>
      <c r="X270" s="2">
        <v>789</v>
      </c>
      <c r="Y270" s="2">
        <v>216</v>
      </c>
      <c r="Z270" s="6">
        <v>11.04</v>
      </c>
      <c r="AA270" s="4">
        <f>(Y270-32)/(X270-32)</f>
        <v>0.24306472919418759</v>
      </c>
    </row>
    <row r="271" spans="1:28" x14ac:dyDescent="0.25">
      <c r="A271" t="s">
        <v>47</v>
      </c>
      <c r="B271" s="1" t="s">
        <v>0</v>
      </c>
      <c r="C271">
        <v>64</v>
      </c>
      <c r="D271" s="2">
        <v>230</v>
      </c>
      <c r="E271" s="2">
        <v>23</v>
      </c>
      <c r="F271" t="s">
        <v>36</v>
      </c>
      <c r="G271" s="2"/>
      <c r="H271" s="2"/>
      <c r="I271" s="6">
        <v>15.76</v>
      </c>
      <c r="K271" s="10">
        <v>124</v>
      </c>
      <c r="N271" s="2">
        <v>230</v>
      </c>
      <c r="Q271" s="6">
        <v>12.16</v>
      </c>
      <c r="S271" s="10">
        <v>165</v>
      </c>
      <c r="V271" s="4"/>
      <c r="W271" s="2">
        <v>230</v>
      </c>
      <c r="X271" s="2"/>
      <c r="Y271" s="2"/>
      <c r="Z271" s="6">
        <v>10.82</v>
      </c>
    </row>
    <row r="272" spans="1:28" x14ac:dyDescent="0.25">
      <c r="A272" t="s">
        <v>47</v>
      </c>
      <c r="B272" s="1" t="s">
        <v>0</v>
      </c>
      <c r="C272">
        <v>64</v>
      </c>
      <c r="D272" s="2">
        <v>231</v>
      </c>
      <c r="E272" s="2">
        <v>7</v>
      </c>
      <c r="F272" t="s">
        <v>16</v>
      </c>
      <c r="G272" s="2"/>
      <c r="H272" s="2"/>
      <c r="I272" s="6">
        <v>15.74</v>
      </c>
      <c r="K272" s="10">
        <v>132</v>
      </c>
      <c r="N272" s="2">
        <v>231</v>
      </c>
      <c r="Q272" s="6">
        <v>13.12</v>
      </c>
      <c r="S272" s="10">
        <v>133</v>
      </c>
      <c r="V272" s="4"/>
      <c r="W272" s="2">
        <v>231</v>
      </c>
      <c r="X272" s="2"/>
      <c r="Y272" s="2"/>
      <c r="Z272" s="6">
        <v>9.9</v>
      </c>
      <c r="AB272" s="2">
        <v>84</v>
      </c>
    </row>
    <row r="273" spans="1:28" x14ac:dyDescent="0.25">
      <c r="A273" t="s">
        <v>47</v>
      </c>
      <c r="B273" s="1" t="s">
        <v>0</v>
      </c>
      <c r="C273">
        <v>64</v>
      </c>
      <c r="D273" s="2">
        <v>232</v>
      </c>
      <c r="E273" s="2">
        <v>35</v>
      </c>
      <c r="F273" s="7" t="s">
        <v>26</v>
      </c>
      <c r="G273" s="2"/>
      <c r="H273" s="2"/>
      <c r="I273" s="6">
        <v>18.5</v>
      </c>
      <c r="K273" s="10">
        <v>93</v>
      </c>
      <c r="N273" s="2">
        <v>232</v>
      </c>
      <c r="Q273" s="6">
        <v>14.26</v>
      </c>
      <c r="S273" s="10">
        <v>122</v>
      </c>
      <c r="V273" s="4"/>
      <c r="W273" s="2">
        <v>232</v>
      </c>
      <c r="X273" s="2"/>
      <c r="Y273" s="2"/>
      <c r="Z273" s="6">
        <v>11.72</v>
      </c>
    </row>
    <row r="274" spans="1:28" x14ac:dyDescent="0.25">
      <c r="A274" t="s">
        <v>47</v>
      </c>
      <c r="B274" s="1" t="s">
        <v>0</v>
      </c>
      <c r="C274">
        <v>64</v>
      </c>
      <c r="D274" s="2">
        <v>233</v>
      </c>
      <c r="E274" s="2">
        <v>9</v>
      </c>
      <c r="F274" t="s">
        <v>19</v>
      </c>
      <c r="G274" s="2">
        <v>870</v>
      </c>
      <c r="H274" s="2">
        <v>225</v>
      </c>
      <c r="I274" s="6">
        <v>16.54</v>
      </c>
      <c r="J274" s="4">
        <f>(H274-32)/(G274-32)</f>
        <v>0.23031026252983294</v>
      </c>
      <c r="K274" s="10">
        <v>117</v>
      </c>
      <c r="N274" s="2">
        <v>233</v>
      </c>
      <c r="O274">
        <v>795</v>
      </c>
      <c r="P274">
        <v>223</v>
      </c>
      <c r="Q274" s="6">
        <v>11.14</v>
      </c>
      <c r="R274" s="4">
        <f>(P274-32)/(O274-32)</f>
        <v>0.25032765399737877</v>
      </c>
      <c r="S274" s="10">
        <v>148</v>
      </c>
      <c r="V274" s="4"/>
      <c r="W274" s="2">
        <v>233</v>
      </c>
      <c r="X274" s="2">
        <v>748</v>
      </c>
      <c r="Y274" s="2">
        <v>204</v>
      </c>
      <c r="Z274" s="6">
        <v>9</v>
      </c>
      <c r="AA274" s="4">
        <f>(Y274-32)/(X274-32)</f>
        <v>0.24022346368715083</v>
      </c>
      <c r="AB274" s="2">
        <v>81</v>
      </c>
    </row>
    <row r="275" spans="1:28" x14ac:dyDescent="0.25">
      <c r="A275" t="s">
        <v>47</v>
      </c>
      <c r="B275" s="1" t="s">
        <v>0</v>
      </c>
      <c r="C275">
        <v>64</v>
      </c>
      <c r="D275" s="2">
        <v>234</v>
      </c>
      <c r="E275" s="2">
        <v>15</v>
      </c>
      <c r="F275" t="s">
        <v>20</v>
      </c>
      <c r="G275" s="2"/>
      <c r="H275" s="2"/>
      <c r="I275" s="6">
        <v>16.04</v>
      </c>
      <c r="K275" s="10">
        <v>114</v>
      </c>
      <c r="N275" s="2">
        <v>234</v>
      </c>
      <c r="Q275" s="6">
        <v>12.98</v>
      </c>
      <c r="S275" s="10">
        <v>93</v>
      </c>
      <c r="V275" s="4"/>
      <c r="W275" s="2">
        <v>234</v>
      </c>
      <c r="X275" s="2"/>
      <c r="Y275" s="2"/>
      <c r="Z275" s="6">
        <v>11.42</v>
      </c>
    </row>
    <row r="276" spans="1:28" x14ac:dyDescent="0.25">
      <c r="A276" t="s">
        <v>47</v>
      </c>
      <c r="B276" s="1" t="s">
        <v>0</v>
      </c>
      <c r="C276">
        <v>64</v>
      </c>
      <c r="D276" s="2">
        <v>235</v>
      </c>
      <c r="E276" s="2">
        <v>26</v>
      </c>
      <c r="F276" t="s">
        <v>21</v>
      </c>
      <c r="G276" s="2"/>
      <c r="H276" s="2"/>
      <c r="I276" s="6">
        <v>17.52</v>
      </c>
      <c r="K276" s="10">
        <v>127</v>
      </c>
      <c r="N276" s="2">
        <v>235</v>
      </c>
      <c r="Q276" s="6">
        <v>10.44</v>
      </c>
      <c r="S276" s="10">
        <v>141</v>
      </c>
      <c r="V276" s="4"/>
      <c r="W276" s="2">
        <v>235</v>
      </c>
      <c r="X276" s="2"/>
      <c r="Y276" s="2"/>
      <c r="Z276" s="6">
        <v>9.48</v>
      </c>
    </row>
    <row r="277" spans="1:28" x14ac:dyDescent="0.25">
      <c r="A277" t="s">
        <v>47</v>
      </c>
      <c r="B277" s="1" t="s">
        <v>0</v>
      </c>
      <c r="C277">
        <v>64</v>
      </c>
      <c r="D277" s="2">
        <v>236</v>
      </c>
      <c r="E277" s="2">
        <v>8</v>
      </c>
      <c r="F277" t="s">
        <v>31</v>
      </c>
      <c r="G277" s="2"/>
      <c r="H277" s="2"/>
      <c r="I277" s="6">
        <v>17.8</v>
      </c>
      <c r="K277" s="10">
        <v>119</v>
      </c>
      <c r="N277" s="2">
        <v>236</v>
      </c>
      <c r="Q277" s="6">
        <v>13.48</v>
      </c>
      <c r="S277" s="10">
        <v>112</v>
      </c>
      <c r="V277" s="4"/>
      <c r="W277" s="2">
        <v>236</v>
      </c>
      <c r="X277" s="2"/>
      <c r="Y277" s="2"/>
      <c r="Z277" s="6">
        <v>9.7799999999999994</v>
      </c>
      <c r="AB277" s="2">
        <v>83</v>
      </c>
    </row>
    <row r="278" spans="1:28" x14ac:dyDescent="0.25">
      <c r="A278" t="s">
        <v>47</v>
      </c>
      <c r="B278" s="1" t="s">
        <v>0</v>
      </c>
      <c r="C278">
        <v>64</v>
      </c>
      <c r="D278" s="2">
        <v>237</v>
      </c>
      <c r="E278" s="2">
        <v>33</v>
      </c>
      <c r="F278" t="s">
        <v>23</v>
      </c>
      <c r="G278" s="2">
        <v>753</v>
      </c>
      <c r="H278" s="2">
        <v>186</v>
      </c>
      <c r="I278" s="6">
        <v>18.82</v>
      </c>
      <c r="J278" s="4">
        <f>(H278-32)/(G278-32)</f>
        <v>0.21359223300970873</v>
      </c>
      <c r="K278" s="10">
        <v>128</v>
      </c>
      <c r="N278" s="2">
        <v>237</v>
      </c>
      <c r="O278">
        <v>852</v>
      </c>
      <c r="P278">
        <v>234</v>
      </c>
      <c r="Q278" s="6">
        <v>13.48</v>
      </c>
      <c r="R278" s="4">
        <f>(P278-32)/(O278-32)</f>
        <v>0.24634146341463414</v>
      </c>
      <c r="S278" s="10">
        <v>134</v>
      </c>
      <c r="V278" s="4"/>
      <c r="W278" s="2">
        <v>237</v>
      </c>
      <c r="X278" s="2">
        <v>631</v>
      </c>
      <c r="Y278" s="2">
        <v>174</v>
      </c>
      <c r="Z278" s="6">
        <v>10.46</v>
      </c>
      <c r="AA278" s="4">
        <f>(Y278-32)/(X278-32)</f>
        <v>0.23706176961602671</v>
      </c>
    </row>
    <row r="279" spans="1:28" x14ac:dyDescent="0.25">
      <c r="A279" t="s">
        <v>47</v>
      </c>
      <c r="B279" s="1" t="s">
        <v>0</v>
      </c>
      <c r="C279">
        <v>64</v>
      </c>
      <c r="D279" s="2">
        <v>238</v>
      </c>
      <c r="E279" s="2">
        <v>12</v>
      </c>
      <c r="F279" t="s">
        <v>33</v>
      </c>
      <c r="G279" s="2"/>
      <c r="H279" s="2"/>
      <c r="I279" s="6">
        <v>16.48</v>
      </c>
      <c r="K279" s="10">
        <v>172</v>
      </c>
      <c r="N279" s="2">
        <v>238</v>
      </c>
      <c r="Q279" s="6">
        <v>12.76</v>
      </c>
      <c r="S279" s="10">
        <v>142</v>
      </c>
      <c r="V279" s="4"/>
      <c r="W279" s="2">
        <v>238</v>
      </c>
      <c r="X279" s="2"/>
      <c r="Y279" s="2"/>
      <c r="Z279" s="6">
        <v>9.6199999999999992</v>
      </c>
      <c r="AB279" s="2">
        <v>83</v>
      </c>
    </row>
    <row r="280" spans="1:28" x14ac:dyDescent="0.25">
      <c r="A280" t="s">
        <v>47</v>
      </c>
      <c r="B280" s="1" t="s">
        <v>0</v>
      </c>
      <c r="C280">
        <v>64</v>
      </c>
      <c r="D280" s="2">
        <v>239</v>
      </c>
      <c r="E280" s="2">
        <v>3</v>
      </c>
      <c r="F280" t="s">
        <v>3</v>
      </c>
      <c r="G280" s="2"/>
      <c r="H280" s="2"/>
      <c r="I280" s="6">
        <v>13.1</v>
      </c>
      <c r="K280" s="10">
        <v>124</v>
      </c>
      <c r="N280" s="2">
        <v>239</v>
      </c>
      <c r="Q280" s="6">
        <v>9.6199999999999992</v>
      </c>
      <c r="S280" s="10">
        <v>131</v>
      </c>
      <c r="V280" s="4"/>
      <c r="W280" s="2">
        <v>239</v>
      </c>
      <c r="X280" s="2"/>
      <c r="Y280" s="2"/>
      <c r="Z280" s="6">
        <v>8.66</v>
      </c>
    </row>
    <row r="281" spans="1:28" x14ac:dyDescent="0.25">
      <c r="A281" t="s">
        <v>47</v>
      </c>
      <c r="B281" s="1" t="s">
        <v>0</v>
      </c>
      <c r="C281">
        <v>64</v>
      </c>
      <c r="D281" s="2">
        <v>240</v>
      </c>
      <c r="E281" s="2">
        <v>5</v>
      </c>
      <c r="F281" t="s">
        <v>5</v>
      </c>
      <c r="G281" s="2"/>
      <c r="H281" s="2"/>
      <c r="I281" s="6">
        <v>16.46</v>
      </c>
      <c r="K281" s="10">
        <v>102</v>
      </c>
      <c r="N281" s="2">
        <v>240</v>
      </c>
      <c r="Q281" s="6">
        <v>13.42</v>
      </c>
      <c r="S281" s="10">
        <v>174</v>
      </c>
      <c r="V281" s="4"/>
      <c r="W281" s="2">
        <v>240</v>
      </c>
      <c r="X281" s="2"/>
      <c r="Y281" s="2"/>
      <c r="Z281" s="6">
        <v>9.7200000000000006</v>
      </c>
    </row>
    <row r="282" spans="1:28" x14ac:dyDescent="0.25">
      <c r="A282" t="s">
        <v>47</v>
      </c>
      <c r="B282" s="1" t="s">
        <v>0</v>
      </c>
      <c r="C282">
        <v>64</v>
      </c>
      <c r="D282" s="2">
        <v>241</v>
      </c>
      <c r="E282" s="2">
        <v>10</v>
      </c>
      <c r="F282" t="s">
        <v>35</v>
      </c>
      <c r="G282" s="2">
        <v>487</v>
      </c>
      <c r="H282" s="2">
        <v>127</v>
      </c>
      <c r="I282" s="6">
        <v>14.5</v>
      </c>
      <c r="J282" s="4">
        <f>(H282-32)/(G282-32)</f>
        <v>0.2087912087912088</v>
      </c>
      <c r="K282" s="10">
        <v>87</v>
      </c>
      <c r="N282" s="2">
        <v>241</v>
      </c>
      <c r="O282">
        <v>536</v>
      </c>
      <c r="P282">
        <v>163</v>
      </c>
      <c r="Q282" s="6">
        <v>10.56</v>
      </c>
      <c r="R282" s="4">
        <f>(P282-32)/(O282-32)</f>
        <v>0.25992063492063494</v>
      </c>
      <c r="S282" s="10">
        <v>94</v>
      </c>
      <c r="V282" s="4"/>
      <c r="W282" s="2">
        <v>241</v>
      </c>
      <c r="X282" s="2">
        <v>776</v>
      </c>
      <c r="Y282" s="2">
        <v>209</v>
      </c>
      <c r="Z282" s="6">
        <v>9.44</v>
      </c>
      <c r="AA282" s="4">
        <f>(Y282-32)/(X282-32)</f>
        <v>0.23790322580645162</v>
      </c>
      <c r="AB282" s="2">
        <v>85</v>
      </c>
    </row>
    <row r="283" spans="1:28" x14ac:dyDescent="0.25">
      <c r="A283" t="s">
        <v>47</v>
      </c>
      <c r="B283" s="1" t="s">
        <v>0</v>
      </c>
      <c r="C283">
        <v>64</v>
      </c>
      <c r="D283" s="2">
        <v>242</v>
      </c>
      <c r="E283" s="2">
        <v>29</v>
      </c>
      <c r="F283" t="s">
        <v>11</v>
      </c>
      <c r="G283" s="2"/>
      <c r="H283" s="2"/>
      <c r="I283" s="6">
        <v>15.7</v>
      </c>
      <c r="K283" s="10">
        <v>151</v>
      </c>
      <c r="N283" s="2">
        <v>242</v>
      </c>
      <c r="O283" s="5"/>
      <c r="Q283" s="6">
        <v>13.48</v>
      </c>
      <c r="S283" s="10">
        <v>122</v>
      </c>
      <c r="V283" s="4"/>
      <c r="W283" s="2">
        <v>242</v>
      </c>
      <c r="X283" s="2"/>
      <c r="Y283" s="2"/>
      <c r="Z283" s="6">
        <v>8.98</v>
      </c>
    </row>
    <row r="284" spans="1:28" x14ac:dyDescent="0.25">
      <c r="A284" t="s">
        <v>47</v>
      </c>
      <c r="B284" s="1" t="s">
        <v>0</v>
      </c>
      <c r="C284">
        <v>64</v>
      </c>
      <c r="D284" s="2">
        <v>243</v>
      </c>
      <c r="E284" s="2">
        <v>17</v>
      </c>
      <c r="F284" t="s">
        <v>17</v>
      </c>
      <c r="G284" s="2"/>
      <c r="H284" s="2"/>
      <c r="I284" s="6">
        <v>16.3</v>
      </c>
      <c r="K284" s="10">
        <v>111</v>
      </c>
      <c r="N284" s="2">
        <v>243</v>
      </c>
      <c r="Q284" s="6">
        <v>12.62</v>
      </c>
      <c r="S284" s="10">
        <v>150</v>
      </c>
      <c r="V284" s="4"/>
      <c r="W284" s="2">
        <v>243</v>
      </c>
      <c r="X284" s="2"/>
      <c r="Y284" s="2"/>
      <c r="Z284" s="6">
        <v>9.4600000000000009</v>
      </c>
    </row>
    <row r="285" spans="1:28" x14ac:dyDescent="0.25">
      <c r="A285" t="s">
        <v>47</v>
      </c>
      <c r="B285" s="1" t="s">
        <v>0</v>
      </c>
      <c r="C285">
        <v>64</v>
      </c>
      <c r="D285" s="2">
        <v>244</v>
      </c>
      <c r="E285" s="2">
        <v>31</v>
      </c>
      <c r="F285" t="s">
        <v>29</v>
      </c>
      <c r="G285" s="2"/>
      <c r="H285" s="2"/>
      <c r="I285" s="6">
        <v>17.82</v>
      </c>
      <c r="K285" s="10">
        <v>126</v>
      </c>
      <c r="N285" s="2">
        <v>244</v>
      </c>
      <c r="Q285" s="6">
        <v>13.88</v>
      </c>
      <c r="S285" s="10">
        <v>116</v>
      </c>
      <c r="V285" s="4"/>
      <c r="W285" s="2">
        <v>244</v>
      </c>
      <c r="X285" s="2"/>
      <c r="Y285" s="2"/>
      <c r="Z285" s="6">
        <v>12.84</v>
      </c>
    </row>
    <row r="286" spans="1:28" x14ac:dyDescent="0.25">
      <c r="A286" t="s">
        <v>47</v>
      </c>
      <c r="B286" s="1" t="s">
        <v>0</v>
      </c>
      <c r="C286">
        <v>64</v>
      </c>
      <c r="D286" s="2">
        <v>245</v>
      </c>
      <c r="E286" s="2">
        <v>4</v>
      </c>
      <c r="F286" t="s">
        <v>2</v>
      </c>
      <c r="G286" s="2">
        <v>637</v>
      </c>
      <c r="H286" s="2">
        <v>165</v>
      </c>
      <c r="I286" s="6">
        <v>16.62</v>
      </c>
      <c r="J286" s="4">
        <f>(H286-32)/(G286-32)</f>
        <v>0.21983471074380165</v>
      </c>
      <c r="K286" s="10">
        <v>74</v>
      </c>
      <c r="N286" s="2">
        <v>245</v>
      </c>
      <c r="O286">
        <v>650</v>
      </c>
      <c r="P286">
        <v>186</v>
      </c>
      <c r="Q286" s="6">
        <v>11.12</v>
      </c>
      <c r="R286" s="4">
        <f>(P286-32)/(O286-32)</f>
        <v>0.24919093851132687</v>
      </c>
      <c r="S286" s="10">
        <v>202</v>
      </c>
      <c r="V286" s="4"/>
      <c r="W286" s="2">
        <v>245</v>
      </c>
      <c r="X286" s="2">
        <v>655</v>
      </c>
      <c r="Y286" s="2">
        <v>181</v>
      </c>
      <c r="Z286" s="6">
        <v>10.68</v>
      </c>
      <c r="AA286" s="4">
        <f>(Y286-32)/(X286-32)</f>
        <v>0.2391653290529695</v>
      </c>
    </row>
    <row r="287" spans="1:28" x14ac:dyDescent="0.25">
      <c r="A287" t="s">
        <v>47</v>
      </c>
      <c r="B287" s="1" t="s">
        <v>0</v>
      </c>
      <c r="C287">
        <v>64</v>
      </c>
      <c r="D287" s="2">
        <v>246</v>
      </c>
      <c r="E287" s="2">
        <v>36</v>
      </c>
      <c r="F287" t="s">
        <v>27</v>
      </c>
      <c r="G287" s="2"/>
      <c r="H287" s="2"/>
      <c r="I287" s="6">
        <v>20.12</v>
      </c>
      <c r="K287" s="10">
        <v>116</v>
      </c>
      <c r="N287" s="2">
        <v>246</v>
      </c>
      <c r="O287" s="5"/>
      <c r="Q287" s="6">
        <v>13.32</v>
      </c>
      <c r="S287" s="10">
        <v>175</v>
      </c>
      <c r="V287" s="4"/>
      <c r="W287" s="2">
        <v>246</v>
      </c>
      <c r="X287" s="2"/>
      <c r="Y287" s="2"/>
      <c r="Z287" s="6">
        <v>10.84</v>
      </c>
    </row>
    <row r="288" spans="1:28" x14ac:dyDescent="0.25">
      <c r="A288" t="s">
        <v>47</v>
      </c>
      <c r="B288" s="1" t="s">
        <v>0</v>
      </c>
      <c r="C288">
        <v>64</v>
      </c>
      <c r="D288" s="2">
        <v>247</v>
      </c>
      <c r="E288" s="2">
        <v>28</v>
      </c>
      <c r="F288" t="s">
        <v>13</v>
      </c>
      <c r="G288" s="2"/>
      <c r="H288" s="2"/>
      <c r="I288" s="6">
        <v>18.36</v>
      </c>
      <c r="K288" s="10">
        <v>142</v>
      </c>
      <c r="N288" s="2">
        <v>247</v>
      </c>
      <c r="Q288" s="6">
        <v>12.46</v>
      </c>
      <c r="S288" s="10">
        <v>157</v>
      </c>
      <c r="V288" s="4"/>
      <c r="W288" s="2">
        <v>247</v>
      </c>
      <c r="X288" s="2"/>
      <c r="Y288" s="2"/>
      <c r="Z288" s="6">
        <v>11.26</v>
      </c>
    </row>
    <row r="289" spans="1:28" x14ac:dyDescent="0.25">
      <c r="A289" t="s">
        <v>47</v>
      </c>
      <c r="B289" s="1" t="s">
        <v>0</v>
      </c>
      <c r="C289">
        <v>64</v>
      </c>
      <c r="D289" s="2">
        <v>248</v>
      </c>
      <c r="E289" s="2">
        <v>30</v>
      </c>
      <c r="F289" s="7" t="s">
        <v>9</v>
      </c>
      <c r="G289" s="2"/>
      <c r="H289" s="2"/>
      <c r="I289" s="6">
        <v>16.059999999999999</v>
      </c>
      <c r="K289" s="10">
        <v>107</v>
      </c>
      <c r="N289" s="2">
        <v>248</v>
      </c>
      <c r="Q289" s="6">
        <v>13.36</v>
      </c>
      <c r="S289" s="10">
        <v>150</v>
      </c>
      <c r="V289" s="4"/>
      <c r="W289" s="2">
        <v>248</v>
      </c>
      <c r="X289" s="2"/>
      <c r="Y289" s="2"/>
      <c r="Z289" s="6">
        <v>10.02</v>
      </c>
    </row>
    <row r="290" spans="1:28" x14ac:dyDescent="0.25">
      <c r="A290" t="s">
        <v>47</v>
      </c>
      <c r="B290" s="1" t="s">
        <v>0</v>
      </c>
      <c r="C290">
        <v>64</v>
      </c>
      <c r="D290" s="2">
        <v>301</v>
      </c>
      <c r="E290" s="2">
        <v>9</v>
      </c>
      <c r="F290" t="s">
        <v>19</v>
      </c>
      <c r="G290" s="2">
        <v>908</v>
      </c>
      <c r="H290" s="2">
        <v>218</v>
      </c>
      <c r="I290" s="6">
        <v>16.04</v>
      </c>
      <c r="J290" s="4">
        <f>(H290-32)/(G290-32)</f>
        <v>0.21232876712328766</v>
      </c>
      <c r="K290" s="10">
        <v>110</v>
      </c>
      <c r="N290" s="2">
        <v>301</v>
      </c>
      <c r="O290" s="5"/>
      <c r="P290" s="5"/>
      <c r="Q290" s="8"/>
      <c r="V290" s="4"/>
      <c r="W290" s="2">
        <v>301</v>
      </c>
      <c r="X290" s="2">
        <v>837</v>
      </c>
      <c r="Y290" s="2">
        <v>222</v>
      </c>
      <c r="Z290" s="6">
        <v>12.92</v>
      </c>
      <c r="AA290" s="4">
        <f>(Y290-32)/(X290-32)</f>
        <v>0.2360248447204969</v>
      </c>
    </row>
    <row r="291" spans="1:28" x14ac:dyDescent="0.25">
      <c r="A291" t="s">
        <v>47</v>
      </c>
      <c r="B291" s="1" t="s">
        <v>0</v>
      </c>
      <c r="C291">
        <v>64</v>
      </c>
      <c r="D291" s="2">
        <v>302</v>
      </c>
      <c r="E291" s="2">
        <v>11</v>
      </c>
      <c r="F291" t="s">
        <v>15</v>
      </c>
      <c r="G291" s="2"/>
      <c r="H291" s="2"/>
      <c r="I291" s="6">
        <v>18.3</v>
      </c>
      <c r="K291" s="10">
        <v>141</v>
      </c>
      <c r="N291" s="2">
        <v>302</v>
      </c>
      <c r="O291" s="5"/>
      <c r="P291" s="5"/>
      <c r="Q291" s="8"/>
      <c r="V291" s="4"/>
      <c r="W291" s="2">
        <v>302</v>
      </c>
      <c r="X291" s="2"/>
      <c r="Y291" s="2"/>
      <c r="Z291" s="6">
        <v>13.36</v>
      </c>
    </row>
    <row r="292" spans="1:28" x14ac:dyDescent="0.25">
      <c r="A292" t="s">
        <v>47</v>
      </c>
      <c r="B292" s="1" t="s">
        <v>0</v>
      </c>
      <c r="C292">
        <v>64</v>
      </c>
      <c r="D292" s="2">
        <v>303</v>
      </c>
      <c r="E292" s="2">
        <v>12</v>
      </c>
      <c r="F292" t="s">
        <v>33</v>
      </c>
      <c r="G292" s="2"/>
      <c r="H292" s="2"/>
      <c r="I292" s="6">
        <v>17.7</v>
      </c>
      <c r="K292" s="10">
        <v>124</v>
      </c>
      <c r="N292" s="2">
        <v>303</v>
      </c>
      <c r="O292" s="5"/>
      <c r="P292" s="5"/>
      <c r="Q292" s="8"/>
      <c r="V292" s="4"/>
      <c r="W292" s="2">
        <v>303</v>
      </c>
      <c r="X292" s="2"/>
      <c r="Y292" s="2"/>
      <c r="Z292" s="6">
        <v>12.28</v>
      </c>
    </row>
    <row r="293" spans="1:28" x14ac:dyDescent="0.25">
      <c r="A293" t="s">
        <v>47</v>
      </c>
      <c r="B293" s="1" t="s">
        <v>0</v>
      </c>
      <c r="C293">
        <v>64</v>
      </c>
      <c r="D293" s="2">
        <v>304</v>
      </c>
      <c r="E293" s="2">
        <v>7</v>
      </c>
      <c r="F293" t="s">
        <v>16</v>
      </c>
      <c r="G293" s="2"/>
      <c r="H293" s="2"/>
      <c r="I293" s="6">
        <v>17.579999999999998</v>
      </c>
      <c r="K293" s="10">
        <v>86</v>
      </c>
      <c r="N293" s="2">
        <v>304</v>
      </c>
      <c r="O293" s="5"/>
      <c r="P293" s="5"/>
      <c r="Q293" s="8"/>
      <c r="V293" s="4"/>
      <c r="W293" s="2">
        <v>304</v>
      </c>
      <c r="X293" s="2"/>
      <c r="Y293" s="2"/>
      <c r="Z293" s="6">
        <v>12.46</v>
      </c>
    </row>
    <row r="294" spans="1:28" ht="15.75" customHeight="1" x14ac:dyDescent="0.25">
      <c r="A294" t="s">
        <v>47</v>
      </c>
      <c r="B294" s="1" t="s">
        <v>0</v>
      </c>
      <c r="C294">
        <v>64</v>
      </c>
      <c r="D294" s="2">
        <v>305</v>
      </c>
      <c r="E294" s="2">
        <v>10</v>
      </c>
      <c r="F294" t="s">
        <v>35</v>
      </c>
      <c r="G294" s="2">
        <v>801</v>
      </c>
      <c r="H294" s="2">
        <v>211</v>
      </c>
      <c r="I294" s="6">
        <v>17.12</v>
      </c>
      <c r="J294" s="4">
        <f>(H294-32)/(G294-32)</f>
        <v>0.23276983094928477</v>
      </c>
      <c r="K294" s="10">
        <v>92</v>
      </c>
      <c r="N294" s="2">
        <v>305</v>
      </c>
      <c r="O294" s="5"/>
      <c r="P294" s="5"/>
      <c r="Q294" s="8"/>
      <c r="V294" s="4"/>
      <c r="W294" s="2">
        <v>305</v>
      </c>
      <c r="X294" s="2">
        <v>760</v>
      </c>
      <c r="Y294" s="2">
        <v>198</v>
      </c>
      <c r="Z294" s="6">
        <v>12.54</v>
      </c>
      <c r="AA294" s="4">
        <f>(Y294-32)/(X294-32)</f>
        <v>0.22802197802197802</v>
      </c>
    </row>
    <row r="295" spans="1:28" x14ac:dyDescent="0.25">
      <c r="A295" t="s">
        <v>47</v>
      </c>
      <c r="B295" s="1" t="s">
        <v>0</v>
      </c>
      <c r="C295">
        <v>64</v>
      </c>
      <c r="D295" s="2">
        <v>306</v>
      </c>
      <c r="E295" s="2">
        <v>8</v>
      </c>
      <c r="F295" t="s">
        <v>31</v>
      </c>
      <c r="G295" s="2"/>
      <c r="H295" s="2"/>
      <c r="I295" s="6">
        <v>18.86</v>
      </c>
      <c r="K295" s="10">
        <v>130</v>
      </c>
      <c r="N295" s="2">
        <v>306</v>
      </c>
      <c r="O295" s="5"/>
      <c r="P295" s="5"/>
      <c r="Q295" s="8"/>
      <c r="V295" s="4"/>
      <c r="W295" s="2">
        <v>306</v>
      </c>
      <c r="X295" s="2"/>
      <c r="Y295" s="2"/>
      <c r="Z295" s="6">
        <v>12.42</v>
      </c>
    </row>
    <row r="296" spans="1:28" x14ac:dyDescent="0.25">
      <c r="A296" t="s">
        <v>47</v>
      </c>
      <c r="B296" s="1" t="s">
        <v>0</v>
      </c>
      <c r="C296">
        <v>64</v>
      </c>
      <c r="D296" s="2">
        <v>307</v>
      </c>
      <c r="E296" s="2">
        <v>7</v>
      </c>
      <c r="F296" t="s">
        <v>16</v>
      </c>
      <c r="G296" s="2"/>
      <c r="H296" s="2"/>
      <c r="I296" s="6">
        <v>16.059999999999999</v>
      </c>
      <c r="K296" s="10">
        <v>92</v>
      </c>
      <c r="N296" s="2">
        <v>307</v>
      </c>
      <c r="O296" s="5"/>
      <c r="P296" s="5"/>
      <c r="Q296" s="8"/>
      <c r="V296" s="4"/>
      <c r="W296" s="2">
        <v>307</v>
      </c>
      <c r="X296" s="2"/>
      <c r="Y296" s="2"/>
      <c r="Z296" s="6">
        <v>9.94</v>
      </c>
    </row>
    <row r="297" spans="1:28" x14ac:dyDescent="0.25">
      <c r="A297" t="s">
        <v>47</v>
      </c>
      <c r="B297" s="1" t="s">
        <v>0</v>
      </c>
      <c r="C297">
        <v>64</v>
      </c>
      <c r="D297" s="2">
        <v>308</v>
      </c>
      <c r="E297" s="2">
        <v>12</v>
      </c>
      <c r="F297" t="s">
        <v>33</v>
      </c>
      <c r="G297" s="2"/>
      <c r="H297" s="2"/>
      <c r="I297" s="6">
        <v>17.64</v>
      </c>
      <c r="K297" s="10">
        <v>163</v>
      </c>
      <c r="N297" s="2">
        <v>308</v>
      </c>
      <c r="O297" s="5"/>
      <c r="P297" s="5"/>
      <c r="Q297" s="8"/>
      <c r="V297" s="4"/>
      <c r="W297" s="2">
        <v>308</v>
      </c>
      <c r="X297" s="2"/>
      <c r="Y297" s="2"/>
      <c r="Z297" s="6">
        <v>11.28</v>
      </c>
    </row>
    <row r="298" spans="1:28" x14ac:dyDescent="0.25">
      <c r="A298" t="s">
        <v>47</v>
      </c>
      <c r="B298" s="1" t="s">
        <v>0</v>
      </c>
      <c r="C298">
        <v>64</v>
      </c>
      <c r="D298" s="2">
        <v>309</v>
      </c>
      <c r="E298" s="2">
        <v>8</v>
      </c>
      <c r="F298" t="s">
        <v>31</v>
      </c>
      <c r="G298" s="2">
        <v>870</v>
      </c>
      <c r="H298" s="2">
        <v>215</v>
      </c>
      <c r="I298" s="6">
        <v>17.82</v>
      </c>
      <c r="J298" s="4">
        <f>(H298-32)/(G298-32)</f>
        <v>0.21837708830548927</v>
      </c>
      <c r="K298" s="10">
        <v>95</v>
      </c>
      <c r="N298" s="2">
        <v>309</v>
      </c>
      <c r="O298" s="5"/>
      <c r="P298" s="5"/>
      <c r="Q298" s="8"/>
      <c r="V298" s="4"/>
      <c r="W298" s="2">
        <v>309</v>
      </c>
      <c r="X298" s="2">
        <v>605</v>
      </c>
      <c r="Y298" s="2">
        <v>176</v>
      </c>
      <c r="Z298" s="6">
        <v>11.58</v>
      </c>
      <c r="AA298" s="4">
        <f>(Y298-32)/(X298-32)</f>
        <v>0.2513089005235602</v>
      </c>
    </row>
    <row r="299" spans="1:28" x14ac:dyDescent="0.25">
      <c r="A299" t="s">
        <v>47</v>
      </c>
      <c r="B299" s="1" t="s">
        <v>0</v>
      </c>
      <c r="C299">
        <v>64</v>
      </c>
      <c r="D299" s="2">
        <v>310</v>
      </c>
      <c r="E299" s="2">
        <v>9</v>
      </c>
      <c r="F299" t="s">
        <v>19</v>
      </c>
      <c r="G299" s="2"/>
      <c r="H299" s="2"/>
      <c r="I299" s="6">
        <v>16.46</v>
      </c>
      <c r="K299" s="10">
        <v>87</v>
      </c>
      <c r="N299" s="2">
        <v>310</v>
      </c>
      <c r="O299" s="5"/>
      <c r="P299" s="5"/>
      <c r="Q299" s="8"/>
      <c r="V299" s="4"/>
      <c r="W299" s="2">
        <v>310</v>
      </c>
      <c r="X299" s="2"/>
      <c r="Y299" s="2"/>
      <c r="Z299" s="6">
        <v>12.22</v>
      </c>
    </row>
    <row r="300" spans="1:28" x14ac:dyDescent="0.25">
      <c r="A300" t="s">
        <v>47</v>
      </c>
      <c r="B300" s="1" t="s">
        <v>0</v>
      </c>
      <c r="C300">
        <v>64</v>
      </c>
      <c r="D300" s="2">
        <v>311</v>
      </c>
      <c r="E300" s="2">
        <v>10</v>
      </c>
      <c r="F300" t="s">
        <v>35</v>
      </c>
      <c r="G300" s="2"/>
      <c r="H300" s="2"/>
      <c r="I300" s="6">
        <v>15.8</v>
      </c>
      <c r="K300" s="10">
        <v>187</v>
      </c>
      <c r="N300" s="2">
        <v>311</v>
      </c>
      <c r="O300" s="5"/>
      <c r="P300" s="5"/>
      <c r="Q300" s="8"/>
      <c r="V300" s="4"/>
      <c r="W300" s="2">
        <v>311</v>
      </c>
      <c r="X300" s="2"/>
      <c r="Y300" s="2"/>
      <c r="Z300" s="6">
        <v>11.36</v>
      </c>
    </row>
    <row r="301" spans="1:28" x14ac:dyDescent="0.25">
      <c r="A301" t="s">
        <v>47</v>
      </c>
      <c r="B301" s="1" t="s">
        <v>0</v>
      </c>
      <c r="C301">
        <v>64</v>
      </c>
      <c r="D301" s="2">
        <v>312</v>
      </c>
      <c r="E301" s="2">
        <v>11</v>
      </c>
      <c r="F301" t="s">
        <v>15</v>
      </c>
      <c r="G301" s="2"/>
      <c r="H301" s="2"/>
      <c r="I301" s="6">
        <v>18.86</v>
      </c>
      <c r="K301" s="10">
        <v>89</v>
      </c>
      <c r="N301" s="2">
        <v>312</v>
      </c>
      <c r="O301" s="5"/>
      <c r="P301" s="5"/>
      <c r="Q301" s="8"/>
      <c r="V301" s="4"/>
      <c r="W301" s="2">
        <v>312</v>
      </c>
      <c r="X301" s="2"/>
      <c r="Y301" s="2"/>
      <c r="Z301" s="6">
        <v>10.68</v>
      </c>
    </row>
    <row r="302" spans="1:28" x14ac:dyDescent="0.25">
      <c r="A302" t="s">
        <v>47</v>
      </c>
      <c r="B302" s="1" t="s">
        <v>0</v>
      </c>
      <c r="C302">
        <v>64</v>
      </c>
      <c r="D302" s="2">
        <v>313</v>
      </c>
      <c r="E302" s="2">
        <v>4</v>
      </c>
      <c r="F302" t="s">
        <v>2</v>
      </c>
      <c r="G302" s="2">
        <v>926</v>
      </c>
      <c r="H302" s="2">
        <v>225</v>
      </c>
      <c r="I302" s="6">
        <v>16.260000000000002</v>
      </c>
      <c r="J302" s="4">
        <f>(H302-32)/(G302-32)</f>
        <v>0.21588366890380314</v>
      </c>
      <c r="K302" s="10">
        <v>79</v>
      </c>
      <c r="N302" s="2">
        <v>313</v>
      </c>
      <c r="O302">
        <v>563</v>
      </c>
      <c r="P302" s="2">
        <v>163</v>
      </c>
      <c r="Q302" s="3">
        <v>13.46</v>
      </c>
      <c r="R302" s="4">
        <f>(P302-32)/(O302-32)</f>
        <v>0.24670433145009416</v>
      </c>
      <c r="S302" s="10">
        <v>141</v>
      </c>
      <c r="V302" s="4"/>
      <c r="W302" s="2">
        <v>313</v>
      </c>
      <c r="X302" s="2">
        <v>812</v>
      </c>
      <c r="Y302" s="2">
        <v>210</v>
      </c>
      <c r="Z302" s="6">
        <v>11.62</v>
      </c>
      <c r="AA302" s="4">
        <f>(Y302-32)/(X302-32)</f>
        <v>0.2282051282051282</v>
      </c>
    </row>
    <row r="303" spans="1:28" x14ac:dyDescent="0.25">
      <c r="A303" t="s">
        <v>47</v>
      </c>
      <c r="B303" s="1" t="s">
        <v>0</v>
      </c>
      <c r="C303">
        <v>64</v>
      </c>
      <c r="D303" s="2">
        <v>314</v>
      </c>
      <c r="E303" s="2">
        <v>10</v>
      </c>
      <c r="F303" t="s">
        <v>35</v>
      </c>
      <c r="G303" s="2"/>
      <c r="H303" s="2"/>
      <c r="I303" s="6">
        <v>14.78</v>
      </c>
      <c r="K303" s="10">
        <v>122</v>
      </c>
      <c r="N303" s="2">
        <v>314</v>
      </c>
      <c r="O303" s="5"/>
      <c r="P303" s="2"/>
      <c r="Q303" s="3">
        <v>12.78</v>
      </c>
      <c r="S303" s="10">
        <v>153</v>
      </c>
      <c r="V303" s="4"/>
      <c r="W303" s="2">
        <v>314</v>
      </c>
      <c r="X303" s="2"/>
      <c r="Y303" s="2"/>
      <c r="Z303" s="6">
        <v>10.92</v>
      </c>
      <c r="AB303" s="2">
        <v>81</v>
      </c>
    </row>
    <row r="304" spans="1:28" x14ac:dyDescent="0.25">
      <c r="A304" t="s">
        <v>47</v>
      </c>
      <c r="B304" s="1" t="s">
        <v>0</v>
      </c>
      <c r="C304">
        <v>64</v>
      </c>
      <c r="D304" s="2">
        <v>315</v>
      </c>
      <c r="E304" s="2">
        <v>2</v>
      </c>
      <c r="F304" t="s">
        <v>4</v>
      </c>
      <c r="G304" s="2"/>
      <c r="H304" s="2"/>
      <c r="I304" s="6">
        <v>20</v>
      </c>
      <c r="K304" s="10">
        <v>103</v>
      </c>
      <c r="N304" s="2">
        <v>315</v>
      </c>
      <c r="P304" s="2"/>
      <c r="Q304" s="3">
        <v>14.64</v>
      </c>
      <c r="S304" s="10">
        <v>143</v>
      </c>
      <c r="V304" s="4"/>
      <c r="W304" s="2">
        <v>315</v>
      </c>
      <c r="X304" s="2"/>
      <c r="Y304" s="2"/>
      <c r="Z304" s="6">
        <v>12.88</v>
      </c>
    </row>
    <row r="305" spans="1:28" x14ac:dyDescent="0.25">
      <c r="A305" t="s">
        <v>47</v>
      </c>
      <c r="B305" s="1" t="s">
        <v>0</v>
      </c>
      <c r="C305">
        <v>64</v>
      </c>
      <c r="D305" s="2">
        <v>316</v>
      </c>
      <c r="E305" s="2">
        <v>5</v>
      </c>
      <c r="F305" t="s">
        <v>5</v>
      </c>
      <c r="G305" s="2"/>
      <c r="H305" s="2"/>
      <c r="I305" s="6">
        <v>15.62</v>
      </c>
      <c r="K305" s="10">
        <v>87</v>
      </c>
      <c r="N305" s="2">
        <v>316</v>
      </c>
      <c r="P305" s="2"/>
      <c r="Q305" s="3">
        <v>14.2</v>
      </c>
      <c r="S305" s="10">
        <v>147</v>
      </c>
      <c r="V305" s="4"/>
      <c r="W305" s="2">
        <v>316</v>
      </c>
      <c r="X305" s="2"/>
      <c r="Y305" s="2"/>
      <c r="Z305" s="6">
        <v>10.28</v>
      </c>
    </row>
    <row r="306" spans="1:28" x14ac:dyDescent="0.25">
      <c r="A306" t="s">
        <v>47</v>
      </c>
      <c r="B306" s="1" t="s">
        <v>0</v>
      </c>
      <c r="C306">
        <v>64</v>
      </c>
      <c r="D306" s="2">
        <v>317</v>
      </c>
      <c r="E306" s="2">
        <v>5</v>
      </c>
      <c r="F306" t="s">
        <v>5</v>
      </c>
      <c r="G306" s="2">
        <v>853</v>
      </c>
      <c r="H306" s="2">
        <v>216</v>
      </c>
      <c r="I306" s="6">
        <v>14.8</v>
      </c>
      <c r="J306" s="4">
        <f>(H306-32)/(G306-32)</f>
        <v>0.22411693057247259</v>
      </c>
      <c r="K306" s="10">
        <v>121</v>
      </c>
      <c r="N306" s="2">
        <v>317</v>
      </c>
      <c r="O306">
        <v>599</v>
      </c>
      <c r="P306" s="2">
        <v>164</v>
      </c>
      <c r="Q306" s="3">
        <v>13.8</v>
      </c>
      <c r="R306" s="4">
        <f>(P306-32)/(O306-32)</f>
        <v>0.23280423280423279</v>
      </c>
      <c r="S306" s="10">
        <v>132</v>
      </c>
      <c r="V306" s="4"/>
      <c r="W306" s="2">
        <v>317</v>
      </c>
      <c r="X306" s="2">
        <v>726</v>
      </c>
      <c r="Y306" s="2">
        <v>185</v>
      </c>
      <c r="Z306" s="6">
        <v>9.9600000000000009</v>
      </c>
      <c r="AA306" s="4">
        <f>(Y306-32)/(X306-32)</f>
        <v>0.22046109510086456</v>
      </c>
    </row>
    <row r="307" spans="1:28" x14ac:dyDescent="0.25">
      <c r="A307" t="s">
        <v>47</v>
      </c>
      <c r="B307" s="1" t="s">
        <v>0</v>
      </c>
      <c r="C307">
        <v>64</v>
      </c>
      <c r="D307" s="2">
        <v>318</v>
      </c>
      <c r="E307" s="2">
        <v>8</v>
      </c>
      <c r="F307" t="s">
        <v>31</v>
      </c>
      <c r="G307" s="2"/>
      <c r="H307" s="2"/>
      <c r="I307" s="6">
        <v>18.899999999999999</v>
      </c>
      <c r="K307" s="10">
        <v>93</v>
      </c>
      <c r="N307" s="2">
        <v>318</v>
      </c>
      <c r="O307" s="5"/>
      <c r="P307" s="2"/>
      <c r="Q307" s="3">
        <v>14.78</v>
      </c>
      <c r="S307" s="10">
        <v>193</v>
      </c>
      <c r="V307" s="4"/>
      <c r="W307" s="2">
        <v>318</v>
      </c>
      <c r="X307" s="2"/>
      <c r="Y307" s="2"/>
      <c r="Z307" s="6">
        <v>9.5399999999999991</v>
      </c>
      <c r="AB307" s="2">
        <v>86</v>
      </c>
    </row>
    <row r="308" spans="1:28" x14ac:dyDescent="0.25">
      <c r="A308" t="s">
        <v>47</v>
      </c>
      <c r="B308" s="1" t="s">
        <v>0</v>
      </c>
      <c r="C308">
        <v>64</v>
      </c>
      <c r="D308" s="2">
        <v>319</v>
      </c>
      <c r="E308" s="2">
        <v>7</v>
      </c>
      <c r="F308" t="s">
        <v>16</v>
      </c>
      <c r="G308" s="2"/>
      <c r="H308" s="2"/>
      <c r="I308" s="6">
        <v>14.46</v>
      </c>
      <c r="K308" s="10">
        <v>108</v>
      </c>
      <c r="N308" s="2">
        <v>319</v>
      </c>
      <c r="P308" s="2"/>
      <c r="Q308" s="3">
        <v>13.96</v>
      </c>
      <c r="S308" s="10">
        <v>115</v>
      </c>
      <c r="V308" s="4"/>
      <c r="W308" s="2">
        <v>319</v>
      </c>
      <c r="X308" s="2"/>
      <c r="Y308" s="2"/>
      <c r="Z308" s="6">
        <v>9.58</v>
      </c>
      <c r="AB308" s="2">
        <v>72</v>
      </c>
    </row>
    <row r="309" spans="1:28" x14ac:dyDescent="0.25">
      <c r="A309" t="s">
        <v>47</v>
      </c>
      <c r="B309" s="1" t="s">
        <v>0</v>
      </c>
      <c r="C309">
        <v>64</v>
      </c>
      <c r="D309" s="2">
        <v>320</v>
      </c>
      <c r="E309" s="2">
        <v>15</v>
      </c>
      <c r="F309" t="s">
        <v>20</v>
      </c>
      <c r="G309" s="2"/>
      <c r="H309" s="2"/>
      <c r="I309" s="6">
        <v>15.8</v>
      </c>
      <c r="K309" s="10">
        <v>116</v>
      </c>
      <c r="N309" s="2">
        <v>320</v>
      </c>
      <c r="P309" s="2"/>
      <c r="Q309" s="3">
        <v>13.6</v>
      </c>
      <c r="S309" s="10">
        <v>154</v>
      </c>
      <c r="V309" s="4"/>
      <c r="W309" s="2">
        <v>320</v>
      </c>
      <c r="X309" s="2"/>
      <c r="Y309" s="2"/>
      <c r="Z309" s="6">
        <v>11.06</v>
      </c>
    </row>
    <row r="310" spans="1:28" x14ac:dyDescent="0.25">
      <c r="A310" t="s">
        <v>47</v>
      </c>
      <c r="B310" s="1" t="s">
        <v>0</v>
      </c>
      <c r="C310">
        <v>64</v>
      </c>
      <c r="D310" s="2">
        <v>321</v>
      </c>
      <c r="E310" s="2">
        <v>13</v>
      </c>
      <c r="F310" t="s">
        <v>24</v>
      </c>
      <c r="G310" s="2">
        <v>684</v>
      </c>
      <c r="H310" s="2">
        <v>175</v>
      </c>
      <c r="I310" s="6">
        <v>15.78</v>
      </c>
      <c r="J310" s="4">
        <f>(H310-32)/(G310-32)</f>
        <v>0.21932515337423314</v>
      </c>
      <c r="K310" s="10">
        <v>112</v>
      </c>
      <c r="N310" s="2">
        <v>321</v>
      </c>
      <c r="O310">
        <v>633</v>
      </c>
      <c r="P310" s="2">
        <v>178</v>
      </c>
      <c r="Q310" s="3">
        <v>13.88</v>
      </c>
      <c r="R310" s="4">
        <f>(P310-32)/(O310-32)</f>
        <v>0.24292845257903495</v>
      </c>
      <c r="S310" s="10">
        <v>173</v>
      </c>
      <c r="V310" s="4"/>
      <c r="W310" s="2">
        <v>321</v>
      </c>
      <c r="X310" s="2">
        <v>612</v>
      </c>
      <c r="Y310" s="2">
        <v>169</v>
      </c>
      <c r="Z310" s="6">
        <v>9.36</v>
      </c>
      <c r="AA310" s="4">
        <f>(Y310-32)/(X310-32)</f>
        <v>0.23620689655172414</v>
      </c>
    </row>
    <row r="311" spans="1:28" x14ac:dyDescent="0.25">
      <c r="A311" t="s">
        <v>47</v>
      </c>
      <c r="B311" s="1" t="s">
        <v>0</v>
      </c>
      <c r="C311">
        <v>64</v>
      </c>
      <c r="D311" s="2">
        <v>322</v>
      </c>
      <c r="E311" s="2">
        <v>30</v>
      </c>
      <c r="F311" s="7" t="s">
        <v>9</v>
      </c>
      <c r="G311" s="2"/>
      <c r="H311" s="2"/>
      <c r="I311" s="6">
        <v>14.22</v>
      </c>
      <c r="K311" s="10">
        <v>103</v>
      </c>
      <c r="N311" s="2">
        <v>322</v>
      </c>
      <c r="O311" s="5"/>
      <c r="P311" s="2"/>
      <c r="Q311" s="3">
        <v>13.56</v>
      </c>
      <c r="S311" s="10">
        <v>137</v>
      </c>
      <c r="V311" s="4"/>
      <c r="W311" s="2">
        <v>322</v>
      </c>
      <c r="X311" s="2"/>
      <c r="Y311" s="2"/>
      <c r="Z311" s="6">
        <v>9.8800000000000008</v>
      </c>
    </row>
    <row r="312" spans="1:28" x14ac:dyDescent="0.25">
      <c r="A312" t="s">
        <v>47</v>
      </c>
      <c r="B312" s="1" t="s">
        <v>0</v>
      </c>
      <c r="C312">
        <v>64</v>
      </c>
      <c r="D312" s="2">
        <v>323</v>
      </c>
      <c r="E312" s="2">
        <v>11</v>
      </c>
      <c r="F312" t="s">
        <v>15</v>
      </c>
      <c r="G312" s="2"/>
      <c r="H312" s="2"/>
      <c r="I312" s="6">
        <v>15.26</v>
      </c>
      <c r="K312" s="10">
        <v>139</v>
      </c>
      <c r="N312" s="2">
        <v>323</v>
      </c>
      <c r="P312" s="2"/>
      <c r="Q312" s="3">
        <v>14.24</v>
      </c>
      <c r="S312" s="10">
        <v>120</v>
      </c>
      <c r="V312" s="4"/>
      <c r="W312" s="2">
        <v>323</v>
      </c>
      <c r="X312" s="2"/>
      <c r="Y312" s="2"/>
      <c r="Z312" s="6">
        <v>9.9</v>
      </c>
      <c r="AB312" s="2">
        <v>97</v>
      </c>
    </row>
    <row r="313" spans="1:28" x14ac:dyDescent="0.25">
      <c r="A313" t="s">
        <v>47</v>
      </c>
      <c r="B313" s="1" t="s">
        <v>0</v>
      </c>
      <c r="C313">
        <v>64</v>
      </c>
      <c r="D313" s="2">
        <v>324</v>
      </c>
      <c r="E313" s="2">
        <v>16</v>
      </c>
      <c r="F313" s="7" t="s">
        <v>12</v>
      </c>
      <c r="G313" s="2"/>
      <c r="H313" s="2"/>
      <c r="I313" s="6">
        <v>12.94</v>
      </c>
      <c r="K313" s="10">
        <v>90</v>
      </c>
      <c r="N313" s="2">
        <v>324</v>
      </c>
      <c r="P313" s="2"/>
      <c r="Q313" s="3">
        <v>12.66</v>
      </c>
      <c r="S313" s="10">
        <v>152</v>
      </c>
      <c r="V313" s="4"/>
      <c r="W313" s="2">
        <v>324</v>
      </c>
      <c r="X313" s="2"/>
      <c r="Y313" s="2"/>
      <c r="Z313" s="6">
        <v>9.0399999999999991</v>
      </c>
    </row>
    <row r="314" spans="1:28" x14ac:dyDescent="0.25">
      <c r="A314" t="s">
        <v>47</v>
      </c>
      <c r="B314" s="1" t="s">
        <v>0</v>
      </c>
      <c r="C314">
        <v>64</v>
      </c>
      <c r="D314" s="2">
        <v>325</v>
      </c>
      <c r="E314" s="2">
        <v>17</v>
      </c>
      <c r="F314" t="s">
        <v>17</v>
      </c>
      <c r="G314" s="2">
        <v>786</v>
      </c>
      <c r="H314" s="2">
        <v>209</v>
      </c>
      <c r="I314" s="6">
        <v>13.78</v>
      </c>
      <c r="J314" s="4">
        <f>(H314-32)/(G314-32)</f>
        <v>0.23474801061007958</v>
      </c>
      <c r="K314" s="10">
        <v>115</v>
      </c>
      <c r="N314" s="2">
        <v>325</v>
      </c>
      <c r="O314">
        <v>889</v>
      </c>
      <c r="P314" s="2">
        <v>242</v>
      </c>
      <c r="Q314" s="3">
        <v>12.46</v>
      </c>
      <c r="R314" s="4">
        <f>(P314-32)/(O314-32)</f>
        <v>0.24504084014002334</v>
      </c>
      <c r="S314" s="10">
        <v>139</v>
      </c>
      <c r="V314" s="4"/>
      <c r="W314" s="2">
        <v>325</v>
      </c>
      <c r="X314" s="2">
        <v>621</v>
      </c>
      <c r="Y314" s="2">
        <v>180</v>
      </c>
      <c r="Z314" s="6">
        <v>9.14</v>
      </c>
      <c r="AA314" s="4">
        <f>(Y314-32)/(X314-32)</f>
        <v>0.25127334465195245</v>
      </c>
    </row>
    <row r="315" spans="1:28" x14ac:dyDescent="0.25">
      <c r="A315" t="s">
        <v>47</v>
      </c>
      <c r="B315" s="1" t="s">
        <v>0</v>
      </c>
      <c r="C315">
        <v>64</v>
      </c>
      <c r="D315" s="2">
        <v>326</v>
      </c>
      <c r="E315" s="2">
        <v>3</v>
      </c>
      <c r="F315" t="s">
        <v>3</v>
      </c>
      <c r="G315" s="2"/>
      <c r="H315" s="2"/>
      <c r="I315" s="6">
        <v>13.96</v>
      </c>
      <c r="K315" s="10">
        <v>90</v>
      </c>
      <c r="N315" s="2">
        <v>326</v>
      </c>
      <c r="O315" s="5"/>
      <c r="P315" s="2"/>
      <c r="Q315" s="3">
        <v>10.98</v>
      </c>
      <c r="S315" s="10">
        <v>157</v>
      </c>
      <c r="V315" s="4"/>
      <c r="W315" s="2">
        <v>326</v>
      </c>
      <c r="X315" s="2"/>
      <c r="Y315" s="2"/>
      <c r="Z315" s="6">
        <v>9.86</v>
      </c>
    </row>
    <row r="316" spans="1:28" x14ac:dyDescent="0.25">
      <c r="A316" t="s">
        <v>47</v>
      </c>
      <c r="B316" s="1" t="s">
        <v>0</v>
      </c>
      <c r="C316">
        <v>64</v>
      </c>
      <c r="D316" s="2">
        <v>327</v>
      </c>
      <c r="E316" s="2">
        <v>34</v>
      </c>
      <c r="F316" s="7" t="s">
        <v>34</v>
      </c>
      <c r="G316" s="2"/>
      <c r="H316" s="2"/>
      <c r="I316" s="6">
        <v>16.68</v>
      </c>
      <c r="K316" s="10">
        <v>131</v>
      </c>
      <c r="N316" s="2">
        <v>327</v>
      </c>
      <c r="P316" s="2"/>
      <c r="Q316" s="3">
        <v>13.66</v>
      </c>
      <c r="S316" s="10">
        <v>153</v>
      </c>
      <c r="V316" s="4"/>
      <c r="W316" s="2">
        <v>327</v>
      </c>
      <c r="X316" s="2"/>
      <c r="Y316" s="2"/>
      <c r="Z316" s="6">
        <v>9.76</v>
      </c>
    </row>
    <row r="317" spans="1:28" x14ac:dyDescent="0.25">
      <c r="A317" t="s">
        <v>47</v>
      </c>
      <c r="B317" s="1" t="s">
        <v>0</v>
      </c>
      <c r="C317">
        <v>64</v>
      </c>
      <c r="D317" s="2">
        <v>328</v>
      </c>
      <c r="E317" s="2">
        <v>27</v>
      </c>
      <c r="F317" t="s">
        <v>14</v>
      </c>
      <c r="G317" s="2"/>
      <c r="H317" s="2"/>
      <c r="I317" s="6">
        <v>15.72</v>
      </c>
      <c r="K317" s="10">
        <v>140</v>
      </c>
      <c r="N317" s="2">
        <v>328</v>
      </c>
      <c r="P317" s="2"/>
      <c r="Q317" s="3">
        <v>13.12</v>
      </c>
      <c r="S317" s="10">
        <v>134</v>
      </c>
      <c r="V317" s="4"/>
      <c r="W317" s="2">
        <v>328</v>
      </c>
      <c r="X317" s="2"/>
      <c r="Y317" s="2"/>
      <c r="Z317" s="6">
        <v>11.1</v>
      </c>
    </row>
    <row r="318" spans="1:28" x14ac:dyDescent="0.25">
      <c r="A318" t="s">
        <v>47</v>
      </c>
      <c r="B318" s="1" t="s">
        <v>0</v>
      </c>
      <c r="C318">
        <v>64</v>
      </c>
      <c r="D318" s="2">
        <v>329</v>
      </c>
      <c r="E318" s="2">
        <v>14</v>
      </c>
      <c r="F318" t="s">
        <v>25</v>
      </c>
      <c r="G318" s="2">
        <v>630</v>
      </c>
      <c r="H318" s="2">
        <v>167</v>
      </c>
      <c r="I318" s="6">
        <v>14.52</v>
      </c>
      <c r="J318" s="4">
        <f>(H318-32)/(G318-32)</f>
        <v>0.225752508361204</v>
      </c>
      <c r="K318" s="10">
        <v>93</v>
      </c>
      <c r="N318" s="2">
        <v>329</v>
      </c>
      <c r="O318">
        <v>914</v>
      </c>
      <c r="P318" s="2">
        <v>238</v>
      </c>
      <c r="Q318" s="3">
        <v>9.48</v>
      </c>
      <c r="R318" s="4">
        <f>(P318-32)/(O318-32)</f>
        <v>0.23356009070294784</v>
      </c>
      <c r="S318" s="10">
        <v>159</v>
      </c>
      <c r="V318" s="4"/>
      <c r="W318" s="2">
        <v>329</v>
      </c>
      <c r="X318" s="2">
        <v>580</v>
      </c>
      <c r="Y318" s="2">
        <v>159</v>
      </c>
      <c r="Z318" s="6">
        <v>9.34</v>
      </c>
      <c r="AA318" s="4">
        <f>(Y318-32)/(X318-32)</f>
        <v>0.23175182481751824</v>
      </c>
    </row>
    <row r="319" spans="1:28" x14ac:dyDescent="0.25">
      <c r="A319" t="s">
        <v>47</v>
      </c>
      <c r="B319" s="1" t="s">
        <v>0</v>
      </c>
      <c r="C319">
        <v>64</v>
      </c>
      <c r="D319" s="2">
        <v>330</v>
      </c>
      <c r="E319" s="2">
        <v>28</v>
      </c>
      <c r="F319" t="s">
        <v>13</v>
      </c>
      <c r="G319" s="2"/>
      <c r="H319" s="2"/>
      <c r="I319" s="6">
        <v>15.94</v>
      </c>
      <c r="K319" s="10">
        <v>79</v>
      </c>
      <c r="N319" s="2">
        <v>330</v>
      </c>
      <c r="O319" s="5"/>
      <c r="P319" s="2"/>
      <c r="Q319" s="3">
        <v>11.02</v>
      </c>
      <c r="S319" s="10">
        <v>197</v>
      </c>
      <c r="V319" s="4"/>
      <c r="W319" s="2">
        <v>330</v>
      </c>
      <c r="X319" s="2"/>
      <c r="Y319" s="2"/>
      <c r="Z319" s="6">
        <v>11.86</v>
      </c>
    </row>
    <row r="320" spans="1:28" x14ac:dyDescent="0.25">
      <c r="A320" t="s">
        <v>47</v>
      </c>
      <c r="B320" s="1" t="s">
        <v>0</v>
      </c>
      <c r="C320">
        <v>64</v>
      </c>
      <c r="D320" s="2">
        <v>331</v>
      </c>
      <c r="E320" s="2">
        <v>36</v>
      </c>
      <c r="F320" t="s">
        <v>27</v>
      </c>
      <c r="G320" s="2"/>
      <c r="H320" s="2"/>
      <c r="I320" s="6">
        <v>14.38</v>
      </c>
      <c r="K320" s="10">
        <v>116</v>
      </c>
      <c r="N320" s="2">
        <v>331</v>
      </c>
      <c r="P320" s="2"/>
      <c r="Q320" s="3">
        <v>10.92</v>
      </c>
      <c r="S320" s="10">
        <v>138</v>
      </c>
      <c r="V320" s="4"/>
      <c r="W320" s="2">
        <v>331</v>
      </c>
      <c r="X320" s="2"/>
      <c r="Y320" s="2"/>
      <c r="Z320" s="6">
        <v>11.36</v>
      </c>
    </row>
    <row r="321" spans="1:28" x14ac:dyDescent="0.25">
      <c r="A321" t="s">
        <v>47</v>
      </c>
      <c r="B321" s="1" t="s">
        <v>0</v>
      </c>
      <c r="C321">
        <v>64</v>
      </c>
      <c r="D321" s="2">
        <v>332</v>
      </c>
      <c r="E321" s="2">
        <v>29</v>
      </c>
      <c r="F321" t="s">
        <v>11</v>
      </c>
      <c r="G321" s="2"/>
      <c r="H321" s="2"/>
      <c r="I321" s="6">
        <v>14.66</v>
      </c>
      <c r="K321" s="10">
        <v>104</v>
      </c>
      <c r="N321" s="2">
        <v>332</v>
      </c>
      <c r="P321" s="2"/>
      <c r="Q321" s="3">
        <v>13.56</v>
      </c>
      <c r="S321" s="10">
        <v>127</v>
      </c>
      <c r="V321" s="4"/>
      <c r="W321" s="2">
        <v>332</v>
      </c>
      <c r="X321" s="2"/>
      <c r="Y321" s="2"/>
      <c r="Z321" s="6">
        <v>8.94</v>
      </c>
    </row>
    <row r="322" spans="1:28" x14ac:dyDescent="0.25">
      <c r="A322" t="s">
        <v>47</v>
      </c>
      <c r="B322" s="1" t="s">
        <v>0</v>
      </c>
      <c r="C322">
        <v>64</v>
      </c>
      <c r="D322" s="2">
        <v>333</v>
      </c>
      <c r="E322" s="2">
        <v>31</v>
      </c>
      <c r="F322" t="s">
        <v>29</v>
      </c>
      <c r="G322" s="2">
        <v>754</v>
      </c>
      <c r="H322" s="2">
        <v>195</v>
      </c>
      <c r="I322" s="6">
        <v>15.42</v>
      </c>
      <c r="J322" s="4">
        <f>(H322-32)/(G322-32)</f>
        <v>0.2257617728531856</v>
      </c>
      <c r="K322" s="10">
        <v>109</v>
      </c>
      <c r="N322" s="2">
        <v>333</v>
      </c>
      <c r="O322">
        <v>702</v>
      </c>
      <c r="P322" s="2">
        <v>209</v>
      </c>
      <c r="Q322" s="3">
        <v>13.1</v>
      </c>
      <c r="R322" s="4">
        <f>(P322-32)/(O322-32)</f>
        <v>0.26417910447761195</v>
      </c>
      <c r="S322" s="10">
        <v>107</v>
      </c>
      <c r="V322" s="4"/>
      <c r="W322" s="2">
        <v>333</v>
      </c>
      <c r="X322" s="2">
        <v>625</v>
      </c>
      <c r="Y322" s="2">
        <v>169</v>
      </c>
      <c r="Z322" s="6">
        <v>12.08</v>
      </c>
      <c r="AA322" s="4">
        <f>(Y322-32)/(X322-32)</f>
        <v>0.23102866779089376</v>
      </c>
    </row>
    <row r="323" spans="1:28" x14ac:dyDescent="0.25">
      <c r="A323" t="s">
        <v>47</v>
      </c>
      <c r="B323" s="1" t="s">
        <v>0</v>
      </c>
      <c r="C323">
        <v>64</v>
      </c>
      <c r="D323" s="2">
        <v>334</v>
      </c>
      <c r="E323" s="2">
        <v>23</v>
      </c>
      <c r="F323" t="s">
        <v>36</v>
      </c>
      <c r="G323" s="2"/>
      <c r="H323" s="2"/>
      <c r="I323" s="6">
        <v>14.5</v>
      </c>
      <c r="K323" s="10">
        <v>85</v>
      </c>
      <c r="N323" s="2">
        <v>334</v>
      </c>
      <c r="O323" s="5"/>
      <c r="P323" s="2"/>
      <c r="Q323" s="3">
        <v>12.06</v>
      </c>
      <c r="S323" s="10">
        <v>145</v>
      </c>
      <c r="V323" s="4"/>
      <c r="W323" s="2">
        <v>334</v>
      </c>
      <c r="X323" s="2"/>
      <c r="Y323" s="2"/>
      <c r="Z323" s="6">
        <v>10.9</v>
      </c>
    </row>
    <row r="324" spans="1:28" x14ac:dyDescent="0.25">
      <c r="A324" t="s">
        <v>47</v>
      </c>
      <c r="B324" s="1" t="s">
        <v>0</v>
      </c>
      <c r="C324">
        <v>64</v>
      </c>
      <c r="D324" s="2">
        <v>335</v>
      </c>
      <c r="E324" s="2">
        <v>1</v>
      </c>
      <c r="F324" t="s">
        <v>6</v>
      </c>
      <c r="G324" s="2"/>
      <c r="H324" s="2"/>
      <c r="I324" s="6">
        <v>17.32</v>
      </c>
      <c r="K324" s="10">
        <v>117</v>
      </c>
      <c r="N324" s="2">
        <v>335</v>
      </c>
      <c r="P324" s="2"/>
      <c r="Q324" s="3">
        <v>14.08</v>
      </c>
      <c r="S324" s="10">
        <v>204</v>
      </c>
      <c r="V324" s="4"/>
      <c r="W324" s="2">
        <v>335</v>
      </c>
      <c r="X324" s="2"/>
      <c r="Y324" s="2"/>
      <c r="Z324" s="6">
        <v>11.04</v>
      </c>
    </row>
    <row r="325" spans="1:28" x14ac:dyDescent="0.25">
      <c r="A325" t="s">
        <v>47</v>
      </c>
      <c r="B325" s="1" t="s">
        <v>0</v>
      </c>
      <c r="C325">
        <v>64</v>
      </c>
      <c r="D325" s="2">
        <v>336</v>
      </c>
      <c r="E325" s="2">
        <v>22</v>
      </c>
      <c r="F325" t="s">
        <v>7</v>
      </c>
      <c r="G325" s="2"/>
      <c r="H325" s="2"/>
      <c r="I325" s="6">
        <v>16.48</v>
      </c>
      <c r="K325" s="10">
        <v>91</v>
      </c>
      <c r="N325" s="2">
        <v>336</v>
      </c>
      <c r="P325" s="2"/>
      <c r="Q325" s="3">
        <v>14.42</v>
      </c>
      <c r="S325" s="10">
        <v>101</v>
      </c>
      <c r="V325" s="4"/>
      <c r="W325" s="2">
        <v>336</v>
      </c>
      <c r="X325" s="2"/>
      <c r="Y325" s="2"/>
      <c r="Z325" s="6">
        <v>9.6</v>
      </c>
    </row>
    <row r="326" spans="1:28" x14ac:dyDescent="0.25">
      <c r="A326" t="s">
        <v>47</v>
      </c>
      <c r="B326" s="1" t="s">
        <v>0</v>
      </c>
      <c r="C326">
        <v>64</v>
      </c>
      <c r="D326" s="2">
        <v>337</v>
      </c>
      <c r="E326" s="2">
        <v>25</v>
      </c>
      <c r="F326" s="7" t="s">
        <v>8</v>
      </c>
      <c r="G326" s="2">
        <v>859</v>
      </c>
      <c r="H326" s="2">
        <v>216</v>
      </c>
      <c r="I326" s="6">
        <v>13.76</v>
      </c>
      <c r="J326" s="4">
        <f>(H326-32)/(G326-32)</f>
        <v>0.22249093107617895</v>
      </c>
      <c r="K326" s="10">
        <v>163</v>
      </c>
      <c r="N326" s="2">
        <v>337</v>
      </c>
      <c r="O326">
        <v>545</v>
      </c>
      <c r="P326" s="2">
        <v>154</v>
      </c>
      <c r="Q326" s="3">
        <v>12.14</v>
      </c>
      <c r="R326" s="4">
        <f>(P326-32)/(O326-32)</f>
        <v>0.23781676413255359</v>
      </c>
      <c r="S326" s="10">
        <v>158</v>
      </c>
      <c r="V326" s="4"/>
      <c r="W326" s="2">
        <v>337</v>
      </c>
      <c r="X326" s="2">
        <v>670</v>
      </c>
      <c r="Y326" s="2">
        <v>186</v>
      </c>
      <c r="Z326" s="6">
        <v>8.2200000000000006</v>
      </c>
      <c r="AA326" s="4">
        <f>(Y326-32)/(X326-32)</f>
        <v>0.2413793103448276</v>
      </c>
    </row>
    <row r="327" spans="1:28" x14ac:dyDescent="0.25">
      <c r="A327" t="s">
        <v>47</v>
      </c>
      <c r="B327" s="1" t="s">
        <v>0</v>
      </c>
      <c r="C327">
        <v>64</v>
      </c>
      <c r="D327" s="2">
        <v>338</v>
      </c>
      <c r="E327" s="2">
        <v>18</v>
      </c>
      <c r="F327" t="s">
        <v>18</v>
      </c>
      <c r="G327" s="2"/>
      <c r="H327" s="2"/>
      <c r="I327" s="6">
        <v>16.5</v>
      </c>
      <c r="K327" s="10">
        <v>129</v>
      </c>
      <c r="N327" s="2">
        <v>338</v>
      </c>
      <c r="O327" s="5"/>
      <c r="P327" s="2"/>
      <c r="Q327" s="3">
        <v>11.72</v>
      </c>
      <c r="S327" s="10">
        <v>216</v>
      </c>
      <c r="V327" s="4"/>
      <c r="W327" s="2">
        <v>338</v>
      </c>
      <c r="X327" s="2"/>
      <c r="Y327" s="2"/>
      <c r="Z327" s="6">
        <v>11.38</v>
      </c>
    </row>
    <row r="328" spans="1:28" x14ac:dyDescent="0.25">
      <c r="A328" t="s">
        <v>47</v>
      </c>
      <c r="B328" s="1" t="s">
        <v>0</v>
      </c>
      <c r="C328">
        <v>64</v>
      </c>
      <c r="D328" s="2">
        <v>339</v>
      </c>
      <c r="E328" s="2">
        <v>21</v>
      </c>
      <c r="F328" t="s">
        <v>22</v>
      </c>
      <c r="G328" s="2"/>
      <c r="H328" s="2"/>
      <c r="I328" s="6">
        <v>13.66</v>
      </c>
      <c r="K328" s="10">
        <v>96</v>
      </c>
      <c r="N328" s="2">
        <v>339</v>
      </c>
      <c r="P328" s="2"/>
      <c r="Q328" s="3">
        <v>11.8</v>
      </c>
      <c r="S328" s="10">
        <v>114</v>
      </c>
      <c r="V328" s="4"/>
      <c r="W328" s="2">
        <v>339</v>
      </c>
      <c r="X328" s="2"/>
      <c r="Y328" s="2"/>
      <c r="Z328" s="6">
        <v>9.8000000000000007</v>
      </c>
    </row>
    <row r="329" spans="1:28" x14ac:dyDescent="0.25">
      <c r="A329" t="s">
        <v>47</v>
      </c>
      <c r="B329" s="1" t="s">
        <v>0</v>
      </c>
      <c r="C329">
        <v>64</v>
      </c>
      <c r="D329" s="2">
        <v>340</v>
      </c>
      <c r="E329" s="2">
        <v>6</v>
      </c>
      <c r="F329" t="s">
        <v>1</v>
      </c>
      <c r="G329" s="2"/>
      <c r="H329" s="2"/>
      <c r="I329" s="6">
        <v>15.36</v>
      </c>
      <c r="K329" s="10">
        <v>119</v>
      </c>
      <c r="N329" s="2">
        <v>340</v>
      </c>
      <c r="P329" s="2"/>
      <c r="Q329" s="3">
        <v>13.58</v>
      </c>
      <c r="S329" s="10">
        <v>150</v>
      </c>
      <c r="V329" s="4"/>
      <c r="W329" s="2">
        <v>340</v>
      </c>
      <c r="X329" s="2"/>
      <c r="Y329" s="2"/>
      <c r="Z329" s="6">
        <v>10.1</v>
      </c>
    </row>
    <row r="330" spans="1:28" x14ac:dyDescent="0.25">
      <c r="A330" t="s">
        <v>47</v>
      </c>
      <c r="B330" s="1" t="s">
        <v>0</v>
      </c>
      <c r="C330">
        <v>64</v>
      </c>
      <c r="D330" s="2">
        <v>341</v>
      </c>
      <c r="E330" s="2">
        <v>19</v>
      </c>
      <c r="F330" s="7" t="s">
        <v>10</v>
      </c>
      <c r="G330" s="2">
        <v>740</v>
      </c>
      <c r="H330" s="2">
        <v>183</v>
      </c>
      <c r="I330" s="6">
        <v>16.3</v>
      </c>
      <c r="J330" s="4">
        <f>(H330-32)/(G330-32)</f>
        <v>0.2132768361581921</v>
      </c>
      <c r="K330" s="10">
        <v>143</v>
      </c>
      <c r="N330" s="2">
        <v>341</v>
      </c>
      <c r="O330">
        <v>779</v>
      </c>
      <c r="P330" s="2">
        <v>211</v>
      </c>
      <c r="Q330" s="3">
        <v>14.38</v>
      </c>
      <c r="R330" s="4">
        <f>(P330-32)/(O330-32)</f>
        <v>0.23962516733601072</v>
      </c>
      <c r="S330" s="10">
        <v>139</v>
      </c>
      <c r="V330" s="4"/>
      <c r="W330" s="2">
        <v>341</v>
      </c>
      <c r="X330" s="2">
        <v>610</v>
      </c>
      <c r="Y330" s="2">
        <v>172</v>
      </c>
      <c r="Z330" s="6">
        <v>9.56</v>
      </c>
      <c r="AA330" s="4">
        <f>(Y330-32)/(X330-32)</f>
        <v>0.24221453287197231</v>
      </c>
    </row>
    <row r="331" spans="1:28" x14ac:dyDescent="0.25">
      <c r="A331" t="s">
        <v>47</v>
      </c>
      <c r="B331" s="1" t="s">
        <v>0</v>
      </c>
      <c r="C331">
        <v>64</v>
      </c>
      <c r="D331" s="2">
        <v>342</v>
      </c>
      <c r="E331" s="2">
        <v>24</v>
      </c>
      <c r="F331" t="s">
        <v>32</v>
      </c>
      <c r="G331" s="2"/>
      <c r="H331" s="2"/>
      <c r="I331" s="6">
        <v>16.84</v>
      </c>
      <c r="K331" s="10">
        <v>95</v>
      </c>
      <c r="N331" s="2">
        <v>342</v>
      </c>
      <c r="O331" s="5"/>
      <c r="P331" s="2"/>
      <c r="Q331" s="3">
        <v>13.64</v>
      </c>
      <c r="S331" s="10">
        <v>131</v>
      </c>
      <c r="V331" s="4"/>
      <c r="W331" s="2">
        <v>342</v>
      </c>
      <c r="X331" s="2"/>
      <c r="Y331" s="2"/>
      <c r="Z331" s="6">
        <v>11.14</v>
      </c>
    </row>
    <row r="332" spans="1:28" x14ac:dyDescent="0.25">
      <c r="A332" t="s">
        <v>47</v>
      </c>
      <c r="B332" s="1" t="s">
        <v>0</v>
      </c>
      <c r="C332">
        <v>64</v>
      </c>
      <c r="D332" s="2">
        <v>343</v>
      </c>
      <c r="E332" s="2">
        <v>35</v>
      </c>
      <c r="F332" s="7" t="s">
        <v>26</v>
      </c>
      <c r="G332" s="2"/>
      <c r="H332" s="2"/>
      <c r="I332" s="6">
        <v>17.62</v>
      </c>
      <c r="K332" s="10">
        <v>117</v>
      </c>
      <c r="N332" s="2">
        <v>343</v>
      </c>
      <c r="P332" s="2"/>
      <c r="Q332" s="3">
        <v>14.46</v>
      </c>
      <c r="S332" s="10">
        <v>160</v>
      </c>
      <c r="V332" s="4"/>
      <c r="W332" s="2">
        <v>343</v>
      </c>
      <c r="X332" s="2"/>
      <c r="Y332" s="2"/>
      <c r="Z332" s="6">
        <v>10.52</v>
      </c>
    </row>
    <row r="333" spans="1:28" x14ac:dyDescent="0.25">
      <c r="A333" t="s">
        <v>47</v>
      </c>
      <c r="B333" s="1" t="s">
        <v>0</v>
      </c>
      <c r="C333">
        <v>64</v>
      </c>
      <c r="D333" s="2">
        <v>344</v>
      </c>
      <c r="E333" s="2">
        <v>32</v>
      </c>
      <c r="F333" s="7" t="s">
        <v>30</v>
      </c>
      <c r="G333" s="2"/>
      <c r="H333" s="2"/>
      <c r="I333" s="6">
        <v>14.3</v>
      </c>
      <c r="K333" s="10">
        <v>121</v>
      </c>
      <c r="N333" s="2">
        <v>344</v>
      </c>
      <c r="P333" s="2"/>
      <c r="Q333" s="3">
        <v>13</v>
      </c>
      <c r="S333" s="10">
        <v>102</v>
      </c>
      <c r="V333" s="4"/>
      <c r="W333" s="2">
        <v>344</v>
      </c>
      <c r="X333" s="2"/>
      <c r="Y333" s="2"/>
      <c r="Z333" s="6">
        <v>10.06</v>
      </c>
    </row>
    <row r="334" spans="1:28" x14ac:dyDescent="0.25">
      <c r="A334" t="s">
        <v>47</v>
      </c>
      <c r="B334" s="1" t="s">
        <v>0</v>
      </c>
      <c r="C334">
        <v>64</v>
      </c>
      <c r="D334" s="2">
        <v>345</v>
      </c>
      <c r="E334" s="2">
        <v>9</v>
      </c>
      <c r="F334" t="s">
        <v>19</v>
      </c>
      <c r="G334" s="2">
        <v>542</v>
      </c>
      <c r="H334" s="2">
        <v>151</v>
      </c>
      <c r="I334" s="6">
        <v>15.96</v>
      </c>
      <c r="J334" s="4">
        <f>(H334-32)/(G334-32)</f>
        <v>0.23333333333333334</v>
      </c>
      <c r="K334" s="10">
        <v>173</v>
      </c>
      <c r="N334" s="2">
        <v>345</v>
      </c>
      <c r="O334">
        <v>669</v>
      </c>
      <c r="P334" s="2">
        <v>191</v>
      </c>
      <c r="Q334" s="3">
        <v>12.7</v>
      </c>
      <c r="R334" s="4">
        <f>(P334-32)/(O334-32)</f>
        <v>0.24960753532182103</v>
      </c>
      <c r="S334" s="10">
        <v>150</v>
      </c>
      <c r="V334" s="4"/>
      <c r="W334" s="2">
        <v>345</v>
      </c>
      <c r="X334" s="2">
        <v>672</v>
      </c>
      <c r="Y334" s="2">
        <v>181</v>
      </c>
      <c r="Z334" s="6">
        <v>10.039999999999999</v>
      </c>
      <c r="AA334" s="4">
        <f>(Y334-32)/(X334-32)</f>
        <v>0.23281250000000001</v>
      </c>
      <c r="AB334" s="2">
        <v>75</v>
      </c>
    </row>
    <row r="335" spans="1:28" x14ac:dyDescent="0.25">
      <c r="A335" t="s">
        <v>47</v>
      </c>
      <c r="B335" s="1" t="s">
        <v>0</v>
      </c>
      <c r="C335">
        <v>64</v>
      </c>
      <c r="D335" s="2">
        <v>346</v>
      </c>
      <c r="E335" s="2">
        <v>33</v>
      </c>
      <c r="F335" t="s">
        <v>23</v>
      </c>
      <c r="G335" s="2"/>
      <c r="H335" s="2"/>
      <c r="I335" s="6">
        <v>18.559999999999999</v>
      </c>
      <c r="K335" s="10">
        <v>137</v>
      </c>
      <c r="N335" s="2">
        <v>346</v>
      </c>
      <c r="O335" s="5"/>
      <c r="P335" s="2"/>
      <c r="Q335" s="3">
        <v>15.4</v>
      </c>
      <c r="S335" s="10">
        <v>202</v>
      </c>
      <c r="V335" s="4"/>
      <c r="W335" s="2">
        <v>346</v>
      </c>
      <c r="X335" s="2"/>
      <c r="Y335" s="2"/>
      <c r="Z335" s="6">
        <v>12.2</v>
      </c>
    </row>
    <row r="336" spans="1:28" x14ac:dyDescent="0.25">
      <c r="A336" t="s">
        <v>47</v>
      </c>
      <c r="B336" s="1" t="s">
        <v>0</v>
      </c>
      <c r="C336">
        <v>64</v>
      </c>
      <c r="D336" s="2">
        <v>347</v>
      </c>
      <c r="E336" s="2">
        <v>26</v>
      </c>
      <c r="F336" t="s">
        <v>21</v>
      </c>
      <c r="G336" s="2"/>
      <c r="H336" s="2"/>
      <c r="I336" s="6">
        <v>17.38</v>
      </c>
      <c r="K336" s="10">
        <v>144</v>
      </c>
      <c r="N336" s="2">
        <v>347</v>
      </c>
      <c r="P336" s="2"/>
      <c r="Q336" s="3">
        <v>11.4</v>
      </c>
      <c r="S336" s="10">
        <v>140</v>
      </c>
      <c r="V336" s="4"/>
      <c r="W336" s="2">
        <v>347</v>
      </c>
      <c r="X336" s="2"/>
      <c r="Y336" s="2"/>
      <c r="Z336" s="6">
        <v>10.98</v>
      </c>
    </row>
    <row r="337" spans="1:28" x14ac:dyDescent="0.25">
      <c r="A337" t="s">
        <v>47</v>
      </c>
      <c r="B337" s="1" t="s">
        <v>0</v>
      </c>
      <c r="C337">
        <v>64</v>
      </c>
      <c r="D337" s="2">
        <v>348</v>
      </c>
      <c r="E337" s="2">
        <v>12</v>
      </c>
      <c r="F337" t="s">
        <v>33</v>
      </c>
      <c r="G337" s="2"/>
      <c r="H337" s="2"/>
      <c r="I337" s="6">
        <v>15.94</v>
      </c>
      <c r="K337" s="10">
        <v>121</v>
      </c>
      <c r="N337" s="2">
        <v>348</v>
      </c>
      <c r="P337" s="2"/>
      <c r="Q337" s="3">
        <v>12.76</v>
      </c>
      <c r="S337" s="10">
        <v>115</v>
      </c>
      <c r="V337" s="4"/>
      <c r="W337" s="2">
        <v>348</v>
      </c>
      <c r="X337" s="2"/>
      <c r="Y337" s="2"/>
      <c r="Z337" s="6">
        <v>10.16</v>
      </c>
      <c r="AB337" s="2">
        <v>88</v>
      </c>
    </row>
    <row r="338" spans="1:28" x14ac:dyDescent="0.25">
      <c r="A338" t="s">
        <v>47</v>
      </c>
      <c r="B338" s="1" t="s">
        <v>0</v>
      </c>
      <c r="C338">
        <v>64</v>
      </c>
      <c r="D338" s="2">
        <v>401</v>
      </c>
      <c r="E338" s="2">
        <v>9</v>
      </c>
      <c r="F338" t="s">
        <v>19</v>
      </c>
      <c r="G338" s="2">
        <v>497</v>
      </c>
      <c r="H338" s="2">
        <v>139</v>
      </c>
      <c r="I338" s="6">
        <v>14.9</v>
      </c>
      <c r="J338" s="4">
        <f>(H338-32)/(G338-32)</f>
        <v>0.23010752688172043</v>
      </c>
      <c r="N338" s="2">
        <v>401</v>
      </c>
      <c r="O338" s="5"/>
      <c r="P338" s="5"/>
      <c r="Q338" s="8"/>
      <c r="U338" s="10"/>
      <c r="V338" s="4"/>
      <c r="W338" s="2">
        <v>401</v>
      </c>
      <c r="X338" s="2">
        <v>985</v>
      </c>
      <c r="Y338" s="2">
        <v>238</v>
      </c>
      <c r="Z338" s="6">
        <v>14.08</v>
      </c>
      <c r="AA338" s="4">
        <f>(Y338-32)/(X338-32)</f>
        <v>0.21615949632738721</v>
      </c>
    </row>
    <row r="339" spans="1:28" x14ac:dyDescent="0.25">
      <c r="A339" t="s">
        <v>47</v>
      </c>
      <c r="B339" s="1" t="s">
        <v>0</v>
      </c>
      <c r="C339">
        <v>64</v>
      </c>
      <c r="D339" s="2">
        <v>402</v>
      </c>
      <c r="E339" s="2">
        <v>11</v>
      </c>
      <c r="F339" t="s">
        <v>15</v>
      </c>
      <c r="G339" s="2"/>
      <c r="H339" s="2"/>
      <c r="I339" s="6">
        <v>18.079999999999998</v>
      </c>
      <c r="N339" s="2">
        <v>402</v>
      </c>
      <c r="O339" s="5"/>
      <c r="P339" s="5"/>
      <c r="Q339" s="8"/>
      <c r="U339" s="10"/>
      <c r="V339" s="4"/>
      <c r="W339" s="2">
        <v>402</v>
      </c>
      <c r="X339" s="2"/>
      <c r="Y339" s="2"/>
      <c r="Z339" s="6">
        <v>13.94</v>
      </c>
    </row>
    <row r="340" spans="1:28" x14ac:dyDescent="0.25">
      <c r="A340" t="s">
        <v>47</v>
      </c>
      <c r="B340" s="1" t="s">
        <v>0</v>
      </c>
      <c r="C340">
        <v>64</v>
      </c>
      <c r="D340" s="2">
        <v>403</v>
      </c>
      <c r="E340" s="2">
        <v>10</v>
      </c>
      <c r="F340" t="s">
        <v>35</v>
      </c>
      <c r="G340" s="2"/>
      <c r="H340" s="2"/>
      <c r="I340" s="6">
        <v>16.3</v>
      </c>
      <c r="N340" s="2">
        <v>403</v>
      </c>
      <c r="O340" s="5"/>
      <c r="P340" s="5"/>
      <c r="Q340" s="8"/>
      <c r="U340" s="10"/>
      <c r="V340" s="4"/>
      <c r="W340" s="2">
        <v>403</v>
      </c>
      <c r="X340" s="2"/>
      <c r="Y340" s="2"/>
      <c r="Z340" s="6">
        <v>12.44</v>
      </c>
    </row>
    <row r="341" spans="1:28" x14ac:dyDescent="0.25">
      <c r="A341" t="s">
        <v>47</v>
      </c>
      <c r="B341" s="1" t="s">
        <v>0</v>
      </c>
      <c r="C341">
        <v>64</v>
      </c>
      <c r="D341" s="2">
        <v>404</v>
      </c>
      <c r="E341" s="2">
        <v>12</v>
      </c>
      <c r="F341" t="s">
        <v>33</v>
      </c>
      <c r="G341" s="2"/>
      <c r="H341" s="2"/>
      <c r="I341" s="6">
        <v>17.98</v>
      </c>
      <c r="N341" s="2">
        <v>404</v>
      </c>
      <c r="O341" s="5"/>
      <c r="P341" s="5"/>
      <c r="Q341" s="8"/>
      <c r="U341" s="10"/>
      <c r="V341" s="4"/>
      <c r="W341" s="2">
        <v>404</v>
      </c>
      <c r="X341" s="2" t="s">
        <v>48</v>
      </c>
      <c r="Y341" s="2"/>
      <c r="Z341" s="6">
        <v>13.5</v>
      </c>
    </row>
    <row r="342" spans="1:28" x14ac:dyDescent="0.25">
      <c r="A342" t="s">
        <v>47</v>
      </c>
      <c r="B342" s="1" t="s">
        <v>0</v>
      </c>
      <c r="C342">
        <v>64</v>
      </c>
      <c r="D342" s="2">
        <v>405</v>
      </c>
      <c r="E342" s="2">
        <v>9</v>
      </c>
      <c r="F342" t="s">
        <v>19</v>
      </c>
      <c r="G342" s="2">
        <v>623</v>
      </c>
      <c r="H342" s="2">
        <v>151</v>
      </c>
      <c r="I342" s="6">
        <v>14.94</v>
      </c>
      <c r="J342" s="4">
        <f>(H342-32)/(G342-32)</f>
        <v>0.20135363790186125</v>
      </c>
      <c r="N342" s="2">
        <v>405</v>
      </c>
      <c r="O342" s="5"/>
      <c r="P342" s="5"/>
      <c r="Q342" s="8"/>
      <c r="U342" s="10"/>
      <c r="V342" s="4"/>
      <c r="W342" s="2">
        <v>405</v>
      </c>
      <c r="X342" s="2">
        <v>863</v>
      </c>
      <c r="Y342" s="2">
        <v>209</v>
      </c>
      <c r="Z342" s="6">
        <v>12.82</v>
      </c>
      <c r="AA342" s="4">
        <f>(Y342-32)/(X342-32)</f>
        <v>0.21299638989169675</v>
      </c>
    </row>
    <row r="343" spans="1:28" x14ac:dyDescent="0.25">
      <c r="A343" t="s">
        <v>47</v>
      </c>
      <c r="B343" s="1" t="s">
        <v>0</v>
      </c>
      <c r="C343">
        <v>64</v>
      </c>
      <c r="D343" s="2">
        <v>406</v>
      </c>
      <c r="E343" s="2">
        <v>12</v>
      </c>
      <c r="F343" t="s">
        <v>33</v>
      </c>
      <c r="G343" s="2"/>
      <c r="H343" s="2"/>
      <c r="I343" s="6">
        <v>15.76</v>
      </c>
      <c r="N343" s="2">
        <v>406</v>
      </c>
      <c r="O343" s="5"/>
      <c r="P343" s="5"/>
      <c r="Q343" s="8"/>
      <c r="U343" s="10"/>
      <c r="V343" s="4"/>
      <c r="W343" s="2">
        <v>406</v>
      </c>
      <c r="X343" s="2"/>
      <c r="Y343" s="2"/>
      <c r="Z343" s="6">
        <v>12.8</v>
      </c>
    </row>
    <row r="344" spans="1:28" x14ac:dyDescent="0.25">
      <c r="A344" t="s">
        <v>47</v>
      </c>
      <c r="B344" s="1" t="s">
        <v>0</v>
      </c>
      <c r="C344">
        <v>64</v>
      </c>
      <c r="D344" s="2">
        <v>407</v>
      </c>
      <c r="E344" s="2">
        <v>10</v>
      </c>
      <c r="F344" t="s">
        <v>35</v>
      </c>
      <c r="G344" s="2"/>
      <c r="H344" s="2"/>
      <c r="I344" s="6">
        <v>14.6</v>
      </c>
      <c r="N344" s="2">
        <v>407</v>
      </c>
      <c r="O344" s="5"/>
      <c r="P344" s="5"/>
      <c r="Q344" s="8"/>
      <c r="U344" s="10"/>
      <c r="V344" s="4"/>
      <c r="W344" s="2">
        <v>407</v>
      </c>
      <c r="X344" s="2" t="s">
        <v>48</v>
      </c>
      <c r="Y344" s="2"/>
      <c r="Z344" s="6">
        <v>12.14</v>
      </c>
    </row>
    <row r="345" spans="1:28" x14ac:dyDescent="0.25">
      <c r="A345" t="s">
        <v>47</v>
      </c>
      <c r="B345" s="1" t="s">
        <v>0</v>
      </c>
      <c r="C345">
        <v>64</v>
      </c>
      <c r="D345" s="2">
        <v>408</v>
      </c>
      <c r="E345" s="2">
        <v>8</v>
      </c>
      <c r="F345" t="s">
        <v>31</v>
      </c>
      <c r="G345" s="2"/>
      <c r="H345" s="2"/>
      <c r="I345" s="6">
        <v>13.08</v>
      </c>
      <c r="N345" s="2">
        <v>408</v>
      </c>
      <c r="O345" s="5"/>
      <c r="P345" s="5"/>
      <c r="Q345" s="8"/>
      <c r="U345" s="10"/>
      <c r="V345" s="4"/>
      <c r="W345" s="2">
        <v>408</v>
      </c>
      <c r="X345" s="2"/>
      <c r="Y345" s="2"/>
      <c r="Z345" s="6">
        <v>12.14</v>
      </c>
    </row>
    <row r="346" spans="1:28" x14ac:dyDescent="0.25">
      <c r="A346" t="s">
        <v>47</v>
      </c>
      <c r="B346" s="1" t="s">
        <v>0</v>
      </c>
      <c r="C346">
        <v>64</v>
      </c>
      <c r="D346" s="2">
        <v>409</v>
      </c>
      <c r="E346" s="2">
        <v>11</v>
      </c>
      <c r="F346" t="s">
        <v>15</v>
      </c>
      <c r="G346" s="2">
        <v>765</v>
      </c>
      <c r="H346" s="2">
        <v>188</v>
      </c>
      <c r="I346" s="6">
        <v>13.12</v>
      </c>
      <c r="J346" s="4">
        <f>(H346-32)/(G346-32)</f>
        <v>0.21282401091405184</v>
      </c>
      <c r="N346" s="2">
        <v>409</v>
      </c>
      <c r="O346" s="5"/>
      <c r="P346" s="5"/>
      <c r="Q346" s="8"/>
      <c r="U346" s="10"/>
      <c r="V346" s="4"/>
      <c r="W346" s="2">
        <v>409</v>
      </c>
      <c r="X346" s="2">
        <v>668</v>
      </c>
      <c r="Y346" s="2">
        <v>184</v>
      </c>
      <c r="Z346" s="6">
        <v>12.5</v>
      </c>
      <c r="AA346" s="4">
        <f>(Y346-32)/(X346-32)</f>
        <v>0.2389937106918239</v>
      </c>
    </row>
    <row r="347" spans="1:28" x14ac:dyDescent="0.25">
      <c r="A347" t="s">
        <v>47</v>
      </c>
      <c r="B347" s="1" t="s">
        <v>0</v>
      </c>
      <c r="C347">
        <v>64</v>
      </c>
      <c r="D347" s="2">
        <v>410</v>
      </c>
      <c r="E347" s="2">
        <v>8</v>
      </c>
      <c r="F347" t="s">
        <v>31</v>
      </c>
      <c r="G347" s="2"/>
      <c r="H347" s="2"/>
      <c r="I347" s="6">
        <v>15.4</v>
      </c>
      <c r="N347" s="2">
        <v>410</v>
      </c>
      <c r="O347" s="5"/>
      <c r="P347" s="5"/>
      <c r="Q347" s="8"/>
      <c r="U347" s="10"/>
      <c r="V347" s="4"/>
      <c r="W347" s="2">
        <v>410</v>
      </c>
      <c r="X347" s="2"/>
      <c r="Y347" s="2"/>
      <c r="Z347" s="6">
        <v>11.88</v>
      </c>
    </row>
    <row r="348" spans="1:28" x14ac:dyDescent="0.25">
      <c r="A348" t="s">
        <v>47</v>
      </c>
      <c r="B348" s="1" t="s">
        <v>0</v>
      </c>
      <c r="C348">
        <v>64</v>
      </c>
      <c r="D348" s="2">
        <v>411</v>
      </c>
      <c r="E348" s="2">
        <v>7</v>
      </c>
      <c r="F348" t="s">
        <v>16</v>
      </c>
      <c r="G348" s="2"/>
      <c r="H348" s="2"/>
      <c r="I348" s="6">
        <v>14.74</v>
      </c>
      <c r="N348" s="2">
        <v>411</v>
      </c>
      <c r="O348" s="5"/>
      <c r="P348" s="5"/>
      <c r="Q348" s="8"/>
      <c r="U348" s="10"/>
      <c r="V348" s="4"/>
      <c r="W348" s="2">
        <v>411</v>
      </c>
      <c r="X348" s="2"/>
      <c r="Y348" s="2"/>
      <c r="Z348" s="6">
        <v>11.6</v>
      </c>
    </row>
    <row r="349" spans="1:28" x14ac:dyDescent="0.25">
      <c r="A349" t="s">
        <v>47</v>
      </c>
      <c r="B349" s="1" t="s">
        <v>0</v>
      </c>
      <c r="C349">
        <v>64</v>
      </c>
      <c r="D349" s="2">
        <v>412</v>
      </c>
      <c r="E349" s="2">
        <v>7</v>
      </c>
      <c r="F349" t="s">
        <v>16</v>
      </c>
      <c r="G349" s="2"/>
      <c r="H349" s="2"/>
      <c r="I349" s="6">
        <v>15.66</v>
      </c>
      <c r="N349" s="2">
        <v>412</v>
      </c>
      <c r="O349" s="5"/>
      <c r="P349" s="5"/>
      <c r="Q349" s="8"/>
      <c r="U349" s="10"/>
      <c r="V349" s="4"/>
      <c r="W349" s="2">
        <v>412</v>
      </c>
      <c r="X349" s="2"/>
      <c r="Y349" s="2"/>
      <c r="Z349" s="6">
        <v>11.3</v>
      </c>
    </row>
    <row r="350" spans="1:28" x14ac:dyDescent="0.25">
      <c r="A350" t="s">
        <v>47</v>
      </c>
      <c r="B350" s="1" t="s">
        <v>0</v>
      </c>
      <c r="C350">
        <v>64</v>
      </c>
      <c r="D350" s="2">
        <v>413</v>
      </c>
      <c r="E350" s="2">
        <v>35</v>
      </c>
      <c r="F350" s="7" t="s">
        <v>26</v>
      </c>
      <c r="G350" s="2">
        <v>721</v>
      </c>
      <c r="H350" s="2">
        <v>178</v>
      </c>
      <c r="I350" s="6">
        <v>16.22</v>
      </c>
      <c r="J350" s="4">
        <f>(H350-32)/(G350-32)</f>
        <v>0.21190130624092887</v>
      </c>
      <c r="N350" s="2">
        <v>413</v>
      </c>
      <c r="O350">
        <v>736</v>
      </c>
      <c r="P350" s="2">
        <v>214</v>
      </c>
      <c r="Q350" s="3">
        <v>14</v>
      </c>
      <c r="R350" s="4">
        <f>(P350-32)/(O350-32)</f>
        <v>0.25852272727272729</v>
      </c>
      <c r="U350" s="10"/>
      <c r="V350" s="4"/>
      <c r="W350" s="2">
        <v>413</v>
      </c>
      <c r="X350" s="2">
        <v>809</v>
      </c>
      <c r="Y350" s="2">
        <v>201</v>
      </c>
      <c r="Z350" s="6">
        <v>13.52</v>
      </c>
      <c r="AA350" s="4">
        <f>(Y350-32)/(X350-32)</f>
        <v>0.21750321750321749</v>
      </c>
    </row>
    <row r="351" spans="1:28" x14ac:dyDescent="0.25">
      <c r="A351" t="s">
        <v>47</v>
      </c>
      <c r="B351" s="1" t="s">
        <v>0</v>
      </c>
      <c r="C351">
        <v>64</v>
      </c>
      <c r="D351" s="2">
        <v>414</v>
      </c>
      <c r="E351" s="2">
        <v>23</v>
      </c>
      <c r="F351" t="s">
        <v>36</v>
      </c>
      <c r="G351" s="2"/>
      <c r="H351" s="2"/>
      <c r="I351" s="6">
        <v>15.16</v>
      </c>
      <c r="N351" s="2">
        <v>414</v>
      </c>
      <c r="O351" s="5"/>
      <c r="P351" s="2"/>
      <c r="Q351" s="3">
        <v>13.06</v>
      </c>
      <c r="U351" s="10"/>
      <c r="V351" s="4"/>
      <c r="W351" s="2">
        <v>414</v>
      </c>
      <c r="X351" s="2"/>
      <c r="Y351" s="2"/>
      <c r="Z351" s="6">
        <v>12.9</v>
      </c>
    </row>
    <row r="352" spans="1:28" x14ac:dyDescent="0.25">
      <c r="A352" t="s">
        <v>47</v>
      </c>
      <c r="B352" s="1" t="s">
        <v>0</v>
      </c>
      <c r="C352">
        <v>64</v>
      </c>
      <c r="D352" s="2">
        <v>415</v>
      </c>
      <c r="E352" s="2">
        <v>8</v>
      </c>
      <c r="F352" t="s">
        <v>31</v>
      </c>
      <c r="G352" s="2"/>
      <c r="H352" s="2"/>
      <c r="I352" s="6">
        <v>16.440000000000001</v>
      </c>
      <c r="N352" s="2">
        <v>415</v>
      </c>
      <c r="P352" s="2"/>
      <c r="Q352" s="3">
        <v>14.3</v>
      </c>
      <c r="U352" s="10"/>
      <c r="V352" s="4"/>
      <c r="W352" s="2">
        <v>415</v>
      </c>
      <c r="X352" s="2"/>
      <c r="Y352" s="2"/>
      <c r="Z352" s="6">
        <v>12.04</v>
      </c>
    </row>
    <row r="353" spans="1:27" x14ac:dyDescent="0.25">
      <c r="A353" t="s">
        <v>47</v>
      </c>
      <c r="B353" s="1" t="s">
        <v>0</v>
      </c>
      <c r="C353">
        <v>64</v>
      </c>
      <c r="D353" s="2">
        <v>416</v>
      </c>
      <c r="E353" s="2">
        <v>34</v>
      </c>
      <c r="F353" s="7" t="s">
        <v>34</v>
      </c>
      <c r="G353" s="2"/>
      <c r="H353" s="2"/>
      <c r="I353" s="6">
        <v>17.82</v>
      </c>
      <c r="N353" s="2">
        <v>416</v>
      </c>
      <c r="P353" s="2"/>
      <c r="Q353" s="3">
        <v>14.88</v>
      </c>
      <c r="U353" s="10"/>
      <c r="V353" s="4"/>
      <c r="W353" s="2">
        <v>416</v>
      </c>
      <c r="X353" s="2"/>
      <c r="Y353" s="2"/>
      <c r="Z353" s="6">
        <v>12.88</v>
      </c>
    </row>
    <row r="354" spans="1:27" x14ac:dyDescent="0.25">
      <c r="A354" t="s">
        <v>47</v>
      </c>
      <c r="B354" s="1" t="s">
        <v>0</v>
      </c>
      <c r="C354">
        <v>64</v>
      </c>
      <c r="D354" s="2">
        <v>417</v>
      </c>
      <c r="E354" s="2">
        <v>12</v>
      </c>
      <c r="F354" t="s">
        <v>33</v>
      </c>
      <c r="G354" s="2">
        <v>796</v>
      </c>
      <c r="H354" s="2">
        <v>199</v>
      </c>
      <c r="I354" s="6">
        <v>15.86</v>
      </c>
      <c r="J354" s="4">
        <f>(H354-32)/(G354-32)</f>
        <v>0.21858638743455497</v>
      </c>
      <c r="N354" s="2">
        <v>417</v>
      </c>
      <c r="O354">
        <v>666</v>
      </c>
      <c r="P354" s="2">
        <v>191</v>
      </c>
      <c r="Q354" s="3">
        <v>13.9</v>
      </c>
      <c r="R354" s="4">
        <f>(P354-32)/(O354-32)</f>
        <v>0.25078864353312302</v>
      </c>
      <c r="U354" s="10"/>
      <c r="V354" s="4"/>
      <c r="W354" s="2">
        <v>417</v>
      </c>
      <c r="X354" s="2">
        <v>757</v>
      </c>
      <c r="Y354" s="2">
        <v>192</v>
      </c>
      <c r="Z354" s="6">
        <v>12.36</v>
      </c>
      <c r="AA354" s="4">
        <f>(Y354-32)/(X354-32)</f>
        <v>0.22068965517241379</v>
      </c>
    </row>
    <row r="355" spans="1:27" x14ac:dyDescent="0.25">
      <c r="A355" t="s">
        <v>47</v>
      </c>
      <c r="B355" s="1" t="s">
        <v>0</v>
      </c>
      <c r="C355">
        <v>64</v>
      </c>
      <c r="D355" s="2">
        <v>418</v>
      </c>
      <c r="E355" s="2">
        <v>17</v>
      </c>
      <c r="F355" t="s">
        <v>17</v>
      </c>
      <c r="G355" s="2"/>
      <c r="H355" s="2"/>
      <c r="I355" s="6">
        <v>14.44</v>
      </c>
      <c r="N355" s="2">
        <v>418</v>
      </c>
      <c r="O355" s="5"/>
      <c r="P355" s="2"/>
      <c r="Q355" s="3">
        <v>12.98</v>
      </c>
      <c r="U355" s="10"/>
      <c r="V355" s="4"/>
      <c r="W355" s="2">
        <v>418</v>
      </c>
      <c r="X355" s="2"/>
      <c r="Y355" s="2"/>
      <c r="Z355" s="6">
        <v>10.82</v>
      </c>
    </row>
    <row r="356" spans="1:27" x14ac:dyDescent="0.25">
      <c r="A356" t="s">
        <v>47</v>
      </c>
      <c r="B356" s="1" t="s">
        <v>0</v>
      </c>
      <c r="C356">
        <v>64</v>
      </c>
      <c r="D356" s="2">
        <v>419</v>
      </c>
      <c r="E356" s="2">
        <v>28</v>
      </c>
      <c r="F356" t="s">
        <v>13</v>
      </c>
      <c r="G356" s="2"/>
      <c r="H356" s="2"/>
      <c r="I356" s="6">
        <v>15.66</v>
      </c>
      <c r="N356" s="2">
        <v>419</v>
      </c>
      <c r="P356" s="2"/>
      <c r="Q356" s="3">
        <v>12.2</v>
      </c>
      <c r="U356" s="10"/>
      <c r="V356" s="4"/>
      <c r="W356" s="2">
        <v>419</v>
      </c>
      <c r="X356" s="2"/>
      <c r="Y356" s="2"/>
      <c r="Z356" s="6">
        <v>12.48</v>
      </c>
    </row>
    <row r="357" spans="1:27" x14ac:dyDescent="0.25">
      <c r="A357" t="s">
        <v>47</v>
      </c>
      <c r="B357" s="1" t="s">
        <v>0</v>
      </c>
      <c r="C357">
        <v>64</v>
      </c>
      <c r="D357" s="2">
        <v>420</v>
      </c>
      <c r="E357" s="2">
        <v>25</v>
      </c>
      <c r="F357" s="7" t="s">
        <v>8</v>
      </c>
      <c r="G357" s="2"/>
      <c r="H357" s="2"/>
      <c r="I357" s="6">
        <v>15.26</v>
      </c>
      <c r="N357" s="2">
        <v>420</v>
      </c>
      <c r="P357" s="2"/>
      <c r="Q357" s="3">
        <v>13.58</v>
      </c>
      <c r="U357" s="10"/>
      <c r="V357" s="4"/>
      <c r="W357" s="2">
        <v>420</v>
      </c>
      <c r="X357" s="2"/>
      <c r="Y357" s="2"/>
      <c r="Z357" s="6">
        <v>10.74</v>
      </c>
    </row>
    <row r="358" spans="1:27" x14ac:dyDescent="0.25">
      <c r="A358" t="s">
        <v>47</v>
      </c>
      <c r="B358" s="1" t="s">
        <v>0</v>
      </c>
      <c r="C358">
        <v>64</v>
      </c>
      <c r="D358" s="2">
        <v>421</v>
      </c>
      <c r="E358" s="2">
        <v>16</v>
      </c>
      <c r="F358" s="7" t="s">
        <v>12</v>
      </c>
      <c r="G358" s="2">
        <v>822</v>
      </c>
      <c r="H358" s="2">
        <v>204</v>
      </c>
      <c r="I358" s="6">
        <v>13.52</v>
      </c>
      <c r="J358" s="4">
        <f>(H358-32)/(G358-32)</f>
        <v>0.21772151898734177</v>
      </c>
      <c r="N358" s="2">
        <v>421</v>
      </c>
      <c r="O358">
        <v>637</v>
      </c>
      <c r="P358" s="2">
        <v>180</v>
      </c>
      <c r="Q358" s="3">
        <v>11.84</v>
      </c>
      <c r="R358" s="4">
        <f>(P358-32)/(O358-32)</f>
        <v>0.24462809917355371</v>
      </c>
      <c r="U358" s="10"/>
      <c r="V358" s="4"/>
      <c r="W358" s="2">
        <v>421</v>
      </c>
      <c r="X358" s="2">
        <v>540</v>
      </c>
      <c r="Y358" s="2">
        <v>148</v>
      </c>
      <c r="Z358" s="6">
        <v>9.68</v>
      </c>
      <c r="AA358" s="4">
        <f>(Y358-32)/(X358-32)</f>
        <v>0.2283464566929134</v>
      </c>
    </row>
    <row r="359" spans="1:27" x14ac:dyDescent="0.25">
      <c r="A359" t="s">
        <v>47</v>
      </c>
      <c r="B359" s="1" t="s">
        <v>0</v>
      </c>
      <c r="C359">
        <v>64</v>
      </c>
      <c r="D359" s="2">
        <v>422</v>
      </c>
      <c r="E359" s="2">
        <v>19</v>
      </c>
      <c r="F359" s="7" t="s">
        <v>10</v>
      </c>
      <c r="G359" s="2"/>
      <c r="H359" s="2"/>
      <c r="I359" s="6">
        <v>17.88</v>
      </c>
      <c r="N359" s="2">
        <v>422</v>
      </c>
      <c r="O359" s="5"/>
      <c r="P359" s="2"/>
      <c r="Q359" s="3">
        <v>14.7</v>
      </c>
      <c r="U359" s="10"/>
      <c r="V359" s="4"/>
      <c r="W359" s="2">
        <v>422</v>
      </c>
      <c r="X359" s="2"/>
      <c r="Y359" s="2"/>
      <c r="Z359" s="6">
        <v>12.74</v>
      </c>
    </row>
    <row r="360" spans="1:27" x14ac:dyDescent="0.25">
      <c r="A360" t="s">
        <v>47</v>
      </c>
      <c r="B360" s="1" t="s">
        <v>0</v>
      </c>
      <c r="C360">
        <v>64</v>
      </c>
      <c r="D360" s="2">
        <v>423</v>
      </c>
      <c r="E360" s="2">
        <v>4</v>
      </c>
      <c r="F360" t="s">
        <v>2</v>
      </c>
      <c r="G360" s="2"/>
      <c r="H360" s="2"/>
      <c r="I360" s="6">
        <v>13</v>
      </c>
      <c r="N360" s="2">
        <v>423</v>
      </c>
      <c r="P360" s="2"/>
      <c r="Q360" s="3">
        <v>11.18</v>
      </c>
      <c r="U360" s="10"/>
      <c r="V360" s="4"/>
      <c r="W360" s="2">
        <v>423</v>
      </c>
      <c r="X360" s="2"/>
      <c r="Y360" s="2"/>
      <c r="Z360" s="6">
        <v>11.1</v>
      </c>
    </row>
    <row r="361" spans="1:27" x14ac:dyDescent="0.25">
      <c r="A361" t="s">
        <v>47</v>
      </c>
      <c r="B361" s="1" t="s">
        <v>0</v>
      </c>
      <c r="C361">
        <v>64</v>
      </c>
      <c r="D361" s="2">
        <v>424</v>
      </c>
      <c r="E361" s="2">
        <v>3</v>
      </c>
      <c r="F361" t="s">
        <v>3</v>
      </c>
      <c r="G361" s="2"/>
      <c r="H361" s="2"/>
      <c r="I361" s="6">
        <v>16.579999999999998</v>
      </c>
      <c r="N361" s="2">
        <v>424</v>
      </c>
      <c r="P361" s="2"/>
      <c r="Q361" s="3">
        <v>12.98</v>
      </c>
      <c r="U361" s="10"/>
      <c r="V361" s="4"/>
      <c r="W361" s="2">
        <v>424</v>
      </c>
      <c r="X361" s="2"/>
      <c r="Y361" s="2"/>
      <c r="Z361" s="6">
        <v>11.38</v>
      </c>
    </row>
    <row r="362" spans="1:27" x14ac:dyDescent="0.25">
      <c r="A362" t="s">
        <v>47</v>
      </c>
      <c r="B362" s="1" t="s">
        <v>0</v>
      </c>
      <c r="C362">
        <v>64</v>
      </c>
      <c r="D362" s="2">
        <v>425</v>
      </c>
      <c r="E362" s="2">
        <v>15</v>
      </c>
      <c r="F362" t="s">
        <v>20</v>
      </c>
      <c r="G362" s="2">
        <v>682</v>
      </c>
      <c r="H362" s="2">
        <v>174</v>
      </c>
      <c r="I362" s="6">
        <v>14.36</v>
      </c>
      <c r="J362" s="4">
        <f>(H362-32)/(G362-32)</f>
        <v>0.21846153846153846</v>
      </c>
      <c r="N362" s="2">
        <v>425</v>
      </c>
      <c r="O362">
        <v>693</v>
      </c>
      <c r="P362" s="2">
        <v>198</v>
      </c>
      <c r="Q362" s="3">
        <v>13.08</v>
      </c>
      <c r="R362" s="4">
        <f>(P362-32)/(O362-32)</f>
        <v>0.25113464447806355</v>
      </c>
      <c r="U362" s="10"/>
      <c r="V362" s="4"/>
      <c r="W362" s="2">
        <v>425</v>
      </c>
      <c r="X362" s="2">
        <v>593</v>
      </c>
      <c r="Y362" s="2">
        <v>164</v>
      </c>
      <c r="Z362" s="6">
        <v>12.54</v>
      </c>
      <c r="AA362" s="4">
        <f>(Y362-32)/(X362-32)</f>
        <v>0.23529411764705882</v>
      </c>
    </row>
    <row r="363" spans="1:27" x14ac:dyDescent="0.25">
      <c r="A363" t="s">
        <v>47</v>
      </c>
      <c r="B363" s="1" t="s">
        <v>0</v>
      </c>
      <c r="C363">
        <v>64</v>
      </c>
      <c r="D363" s="2">
        <v>426</v>
      </c>
      <c r="E363" s="2">
        <v>9</v>
      </c>
      <c r="F363" t="s">
        <v>19</v>
      </c>
      <c r="G363" s="2"/>
      <c r="H363" s="2"/>
      <c r="I363" s="6">
        <v>13.06</v>
      </c>
      <c r="N363" s="2">
        <v>426</v>
      </c>
      <c r="O363" s="5"/>
      <c r="P363" s="2"/>
      <c r="Q363" s="3">
        <v>11.54</v>
      </c>
      <c r="U363" s="10"/>
      <c r="V363" s="4"/>
      <c r="W363" s="2">
        <v>426</v>
      </c>
      <c r="X363" s="2"/>
      <c r="Y363" s="2"/>
      <c r="Z363" s="6">
        <v>10.54</v>
      </c>
    </row>
    <row r="364" spans="1:27" x14ac:dyDescent="0.25">
      <c r="A364" t="s">
        <v>47</v>
      </c>
      <c r="B364" s="1" t="s">
        <v>0</v>
      </c>
      <c r="C364">
        <v>64</v>
      </c>
      <c r="D364" s="2">
        <v>427</v>
      </c>
      <c r="E364" s="2">
        <v>31</v>
      </c>
      <c r="F364" t="s">
        <v>29</v>
      </c>
      <c r="G364" s="2"/>
      <c r="H364" s="2"/>
      <c r="I364" s="6">
        <v>14.82</v>
      </c>
      <c r="N364" s="2">
        <v>427</v>
      </c>
      <c r="P364" s="2"/>
      <c r="Q364" s="3">
        <v>12.44</v>
      </c>
      <c r="U364" s="10"/>
      <c r="V364" s="4"/>
      <c r="W364" s="2">
        <v>427</v>
      </c>
      <c r="X364" s="2"/>
      <c r="Y364" s="2"/>
      <c r="Z364" s="6">
        <v>13.26</v>
      </c>
    </row>
    <row r="365" spans="1:27" x14ac:dyDescent="0.25">
      <c r="A365" t="s">
        <v>47</v>
      </c>
      <c r="B365" s="1" t="s">
        <v>0</v>
      </c>
      <c r="C365">
        <v>64</v>
      </c>
      <c r="D365" s="2">
        <v>428</v>
      </c>
      <c r="E365" s="2">
        <v>36</v>
      </c>
      <c r="F365" t="s">
        <v>27</v>
      </c>
      <c r="G365" s="2"/>
      <c r="H365" s="2"/>
      <c r="I365" s="6">
        <v>16.86</v>
      </c>
      <c r="N365" s="2">
        <v>428</v>
      </c>
      <c r="P365" s="2"/>
      <c r="Q365" s="3">
        <v>11.54</v>
      </c>
      <c r="U365" s="10"/>
      <c r="V365" s="4"/>
      <c r="W365" s="2">
        <v>428</v>
      </c>
      <c r="X365" s="2"/>
      <c r="Y365" s="2"/>
      <c r="Z365" s="6">
        <v>12.2</v>
      </c>
    </row>
    <row r="366" spans="1:27" x14ac:dyDescent="0.25">
      <c r="A366" t="s">
        <v>47</v>
      </c>
      <c r="B366" s="1" t="s">
        <v>0</v>
      </c>
      <c r="C366">
        <v>64</v>
      </c>
      <c r="D366" s="2">
        <v>429</v>
      </c>
      <c r="E366" s="2">
        <v>24</v>
      </c>
      <c r="F366" t="s">
        <v>32</v>
      </c>
      <c r="G366" s="2">
        <v>586</v>
      </c>
      <c r="H366" s="2">
        <v>159</v>
      </c>
      <c r="I366" s="6">
        <v>17.36</v>
      </c>
      <c r="J366" s="4">
        <f>(H366-32)/(G366-32)</f>
        <v>0.2292418772563177</v>
      </c>
      <c r="N366" s="2">
        <v>429</v>
      </c>
      <c r="O366">
        <v>762</v>
      </c>
      <c r="P366" s="2">
        <v>222</v>
      </c>
      <c r="Q366" s="3">
        <v>11.9</v>
      </c>
      <c r="R366" s="4">
        <f>(P366-32)/(O366-32)</f>
        <v>0.26027397260273971</v>
      </c>
      <c r="U366" s="10"/>
      <c r="V366" s="4"/>
      <c r="W366" s="2">
        <v>429</v>
      </c>
      <c r="X366" s="2">
        <v>753</v>
      </c>
      <c r="Y366" s="2">
        <v>197</v>
      </c>
      <c r="Z366" s="6">
        <v>12.6</v>
      </c>
      <c r="AA366" s="4">
        <f>(Y366-32)/(X366-32)</f>
        <v>0.2288488210818308</v>
      </c>
    </row>
    <row r="367" spans="1:27" x14ac:dyDescent="0.25">
      <c r="A367" t="s">
        <v>47</v>
      </c>
      <c r="B367" s="1" t="s">
        <v>0</v>
      </c>
      <c r="C367">
        <v>64</v>
      </c>
      <c r="D367" s="2">
        <v>430</v>
      </c>
      <c r="E367" s="2">
        <v>5</v>
      </c>
      <c r="F367" t="s">
        <v>5</v>
      </c>
      <c r="G367" s="2"/>
      <c r="H367" s="2"/>
      <c r="I367" s="6">
        <v>14.94</v>
      </c>
      <c r="N367" s="2">
        <v>430</v>
      </c>
      <c r="O367" s="5"/>
      <c r="P367" s="2"/>
      <c r="Q367" s="3">
        <v>11.9</v>
      </c>
      <c r="U367" s="10"/>
      <c r="V367" s="4"/>
      <c r="W367" s="2">
        <v>430</v>
      </c>
      <c r="X367" s="2"/>
      <c r="Y367" s="2"/>
      <c r="Z367" s="6">
        <v>10.66</v>
      </c>
    </row>
    <row r="368" spans="1:27" x14ac:dyDescent="0.25">
      <c r="A368" t="s">
        <v>47</v>
      </c>
      <c r="B368" s="1" t="s">
        <v>0</v>
      </c>
      <c r="C368">
        <v>64</v>
      </c>
      <c r="D368" s="2">
        <v>431</v>
      </c>
      <c r="E368" s="2">
        <v>33</v>
      </c>
      <c r="F368" t="s">
        <v>23</v>
      </c>
      <c r="G368" s="2"/>
      <c r="H368" s="2"/>
      <c r="I368" s="6">
        <v>17.2</v>
      </c>
      <c r="N368" s="2">
        <v>431</v>
      </c>
      <c r="P368" s="2"/>
      <c r="Q368" s="3">
        <v>12.92</v>
      </c>
      <c r="U368" s="10"/>
      <c r="V368" s="4"/>
      <c r="W368" s="2">
        <v>431</v>
      </c>
      <c r="X368" s="2"/>
      <c r="Y368" s="2"/>
      <c r="Z368" s="6">
        <v>12.28</v>
      </c>
    </row>
    <row r="369" spans="1:27" x14ac:dyDescent="0.25">
      <c r="A369" t="s">
        <v>47</v>
      </c>
      <c r="B369" s="1" t="s">
        <v>0</v>
      </c>
      <c r="C369">
        <v>64</v>
      </c>
      <c r="D369" s="2">
        <v>432</v>
      </c>
      <c r="E369" s="2">
        <v>5</v>
      </c>
      <c r="F369" t="s">
        <v>5</v>
      </c>
      <c r="G369" s="2"/>
      <c r="H369" s="2"/>
      <c r="I369" s="6">
        <v>13.86</v>
      </c>
      <c r="N369" s="2">
        <v>432</v>
      </c>
      <c r="P369" s="2"/>
      <c r="Q369" s="3">
        <v>11.82</v>
      </c>
      <c r="U369" s="10"/>
      <c r="V369" s="4"/>
      <c r="W369" s="2">
        <v>432</v>
      </c>
      <c r="X369" s="2"/>
      <c r="Y369" s="2"/>
      <c r="Z369" s="6">
        <v>10.66</v>
      </c>
    </row>
    <row r="370" spans="1:27" x14ac:dyDescent="0.25">
      <c r="A370" t="s">
        <v>47</v>
      </c>
      <c r="B370" s="1" t="s">
        <v>0</v>
      </c>
      <c r="C370">
        <v>64</v>
      </c>
      <c r="D370" s="2">
        <v>433</v>
      </c>
      <c r="E370" s="2">
        <v>6</v>
      </c>
      <c r="F370" t="s">
        <v>1</v>
      </c>
      <c r="G370" s="2">
        <v>827</v>
      </c>
      <c r="H370" s="2">
        <v>213</v>
      </c>
      <c r="I370" s="6">
        <v>13.74</v>
      </c>
      <c r="J370" s="4">
        <f>(H370-32)/(G370-32)</f>
        <v>0.22767295597484277</v>
      </c>
      <c r="N370" s="2">
        <v>433</v>
      </c>
      <c r="O370">
        <v>535</v>
      </c>
      <c r="P370" s="2">
        <v>162</v>
      </c>
      <c r="Q370" s="3">
        <v>11.5</v>
      </c>
      <c r="R370" s="4">
        <f>(P370-32)/(O370-32)</f>
        <v>0.25844930417495032</v>
      </c>
      <c r="U370" s="10"/>
      <c r="V370" s="4"/>
      <c r="W370" s="2">
        <v>433</v>
      </c>
      <c r="X370" s="2">
        <v>860</v>
      </c>
      <c r="Y370" s="2">
        <v>229</v>
      </c>
      <c r="Z370" s="6">
        <v>9.86</v>
      </c>
      <c r="AA370" s="4">
        <f>(Y370-32)/(X370-32)</f>
        <v>0.23792270531400966</v>
      </c>
    </row>
    <row r="371" spans="1:27" x14ac:dyDescent="0.25">
      <c r="A371" t="s">
        <v>47</v>
      </c>
      <c r="B371" s="1" t="s">
        <v>0</v>
      </c>
      <c r="C371">
        <v>64</v>
      </c>
      <c r="D371" s="2">
        <v>434</v>
      </c>
      <c r="E371" s="2">
        <v>22</v>
      </c>
      <c r="F371" t="s">
        <v>7</v>
      </c>
      <c r="G371" s="2"/>
      <c r="H371" s="2"/>
      <c r="I371" s="6">
        <v>16.100000000000001</v>
      </c>
      <c r="N371" s="2">
        <v>434</v>
      </c>
      <c r="O371" s="5"/>
      <c r="P371" s="2"/>
      <c r="Q371" s="3">
        <v>13.1</v>
      </c>
      <c r="U371" s="10"/>
      <c r="V371" s="4"/>
      <c r="W371" s="2">
        <v>434</v>
      </c>
      <c r="X371" s="2"/>
      <c r="Y371" s="2"/>
      <c r="Z371" s="6">
        <v>11.36</v>
      </c>
    </row>
    <row r="372" spans="1:27" x14ac:dyDescent="0.25">
      <c r="A372" t="s">
        <v>47</v>
      </c>
      <c r="B372" s="1" t="s">
        <v>0</v>
      </c>
      <c r="C372">
        <v>64</v>
      </c>
      <c r="D372" s="2">
        <v>435</v>
      </c>
      <c r="E372" s="2">
        <v>11</v>
      </c>
      <c r="F372" t="s">
        <v>15</v>
      </c>
      <c r="G372" s="2"/>
      <c r="H372" s="2"/>
      <c r="I372" s="6">
        <v>14.28</v>
      </c>
      <c r="N372" s="2">
        <v>435</v>
      </c>
      <c r="P372" s="2"/>
      <c r="Q372" s="3">
        <v>12.46</v>
      </c>
      <c r="U372" s="10"/>
      <c r="V372" s="4"/>
      <c r="W372" s="2">
        <v>435</v>
      </c>
      <c r="X372" s="2"/>
      <c r="Y372" s="2"/>
      <c r="Z372" s="6">
        <v>10.6</v>
      </c>
    </row>
    <row r="373" spans="1:27" x14ac:dyDescent="0.25">
      <c r="A373" t="s">
        <v>47</v>
      </c>
      <c r="B373" s="1" t="s">
        <v>0</v>
      </c>
      <c r="C373">
        <v>64</v>
      </c>
      <c r="D373" s="2">
        <v>436</v>
      </c>
      <c r="E373" s="2">
        <v>13</v>
      </c>
      <c r="F373" t="s">
        <v>24</v>
      </c>
      <c r="G373" s="2"/>
      <c r="H373" s="2"/>
      <c r="I373" s="6">
        <v>16.059999999999999</v>
      </c>
      <c r="N373" s="2">
        <v>436</v>
      </c>
      <c r="P373" s="2"/>
      <c r="Q373" s="3">
        <v>13.7</v>
      </c>
      <c r="U373" s="10"/>
      <c r="V373" s="4"/>
      <c r="W373" s="2">
        <v>436</v>
      </c>
      <c r="X373" s="2"/>
      <c r="Y373" s="2"/>
      <c r="Z373" s="6">
        <v>10.28</v>
      </c>
    </row>
    <row r="374" spans="1:27" x14ac:dyDescent="0.25">
      <c r="A374" t="s">
        <v>47</v>
      </c>
      <c r="B374" s="1" t="s">
        <v>0</v>
      </c>
      <c r="C374">
        <v>64</v>
      </c>
      <c r="D374" s="2">
        <v>437</v>
      </c>
      <c r="E374" s="2">
        <v>10</v>
      </c>
      <c r="F374" t="s">
        <v>35</v>
      </c>
      <c r="G374" s="2">
        <v>683</v>
      </c>
      <c r="H374" s="2">
        <v>185</v>
      </c>
      <c r="I374" s="6">
        <v>12.48</v>
      </c>
      <c r="J374" s="4">
        <f>(H374-32)/(G374-32)</f>
        <v>0.23502304147465439</v>
      </c>
      <c r="N374" s="2">
        <v>437</v>
      </c>
      <c r="O374">
        <v>567</v>
      </c>
      <c r="P374" s="2">
        <v>169</v>
      </c>
      <c r="Q374" s="3">
        <v>11.12</v>
      </c>
      <c r="R374" s="4">
        <f>(P374-32)/(O374-32)</f>
        <v>0.2560747663551402</v>
      </c>
      <c r="U374" s="10"/>
      <c r="V374" s="4"/>
      <c r="W374" s="2">
        <v>437</v>
      </c>
      <c r="X374" s="2">
        <v>692</v>
      </c>
      <c r="Y374" s="2">
        <v>182</v>
      </c>
      <c r="Z374" s="6">
        <v>10.199999999999999</v>
      </c>
      <c r="AA374" s="4">
        <f>(Y374-32)/(X374-32)</f>
        <v>0.22727272727272727</v>
      </c>
    </row>
    <row r="375" spans="1:27" x14ac:dyDescent="0.25">
      <c r="A375" t="s">
        <v>47</v>
      </c>
      <c r="B375" s="1" t="s">
        <v>0</v>
      </c>
      <c r="C375">
        <v>64</v>
      </c>
      <c r="D375" s="2">
        <v>438</v>
      </c>
      <c r="E375" s="2">
        <v>26</v>
      </c>
      <c r="F375" t="s">
        <v>21</v>
      </c>
      <c r="G375" s="2"/>
      <c r="H375" s="2"/>
      <c r="I375" s="6">
        <v>18.78</v>
      </c>
      <c r="N375" s="2">
        <v>438</v>
      </c>
      <c r="O375" s="5"/>
      <c r="P375" s="2"/>
      <c r="Q375" s="3">
        <v>12.96</v>
      </c>
      <c r="U375" s="10"/>
      <c r="V375" s="4"/>
      <c r="W375" s="2">
        <v>438</v>
      </c>
      <c r="X375" s="2"/>
      <c r="Y375" s="2"/>
      <c r="Z375" s="6">
        <v>11.62</v>
      </c>
    </row>
    <row r="376" spans="1:27" x14ac:dyDescent="0.25">
      <c r="A376" t="s">
        <v>47</v>
      </c>
      <c r="B376" s="1" t="s">
        <v>0</v>
      </c>
      <c r="C376">
        <v>64</v>
      </c>
      <c r="D376" s="2">
        <v>439</v>
      </c>
      <c r="E376" s="2">
        <v>32</v>
      </c>
      <c r="F376" s="7" t="s">
        <v>30</v>
      </c>
      <c r="G376" s="2"/>
      <c r="H376" s="2"/>
      <c r="I376" s="6">
        <v>13.9</v>
      </c>
      <c r="N376" s="2">
        <v>439</v>
      </c>
      <c r="P376" s="2"/>
      <c r="Q376" s="3">
        <v>11.82</v>
      </c>
      <c r="U376" s="10"/>
      <c r="V376" s="4"/>
      <c r="W376" s="2">
        <v>439</v>
      </c>
      <c r="X376" s="2"/>
      <c r="Y376" s="2"/>
      <c r="Z376" s="6">
        <v>9.34</v>
      </c>
    </row>
    <row r="377" spans="1:27" x14ac:dyDescent="0.25">
      <c r="A377" t="s">
        <v>47</v>
      </c>
      <c r="B377" s="1" t="s">
        <v>0</v>
      </c>
      <c r="C377">
        <v>64</v>
      </c>
      <c r="D377" s="2">
        <v>440</v>
      </c>
      <c r="E377" s="2">
        <v>2</v>
      </c>
      <c r="F377" t="s">
        <v>4</v>
      </c>
      <c r="G377" s="2"/>
      <c r="H377" s="2"/>
      <c r="I377" s="6">
        <v>18.22</v>
      </c>
      <c r="N377" s="2">
        <v>440</v>
      </c>
      <c r="P377" s="2"/>
      <c r="Q377" s="3">
        <v>14.3</v>
      </c>
      <c r="U377" s="10"/>
      <c r="V377" s="4"/>
      <c r="W377" s="2">
        <v>440</v>
      </c>
      <c r="X377" s="2"/>
      <c r="Y377" s="2"/>
      <c r="Z377" s="6">
        <v>12.64</v>
      </c>
    </row>
    <row r="378" spans="1:27" x14ac:dyDescent="0.25">
      <c r="A378" t="s">
        <v>47</v>
      </c>
      <c r="B378" s="1" t="s">
        <v>0</v>
      </c>
      <c r="C378">
        <v>64</v>
      </c>
      <c r="D378" s="2">
        <v>441</v>
      </c>
      <c r="E378" s="2">
        <v>27</v>
      </c>
      <c r="F378" t="s">
        <v>14</v>
      </c>
      <c r="G378" s="2">
        <v>555</v>
      </c>
      <c r="H378" s="2">
        <v>156</v>
      </c>
      <c r="I378" s="6">
        <v>15.3</v>
      </c>
      <c r="J378" s="4">
        <f>(H378-32)/(G378-32)</f>
        <v>0.23709369024856597</v>
      </c>
      <c r="N378" s="2">
        <v>441</v>
      </c>
      <c r="O378">
        <v>464</v>
      </c>
      <c r="P378" s="2">
        <v>143</v>
      </c>
      <c r="Q378" s="3">
        <v>13.32</v>
      </c>
      <c r="R378" s="4">
        <f>(P378-32)/(O378-32)</f>
        <v>0.25694444444444442</v>
      </c>
      <c r="U378" s="10"/>
      <c r="V378" s="4"/>
      <c r="W378" s="2">
        <v>441</v>
      </c>
      <c r="X378" s="2">
        <v>712</v>
      </c>
      <c r="Y378" s="2">
        <v>197</v>
      </c>
      <c r="Z378" s="6">
        <v>10.7</v>
      </c>
      <c r="AA378" s="4">
        <f>(Y378-32)/(X378-32)</f>
        <v>0.24264705882352941</v>
      </c>
    </row>
    <row r="379" spans="1:27" x14ac:dyDescent="0.25">
      <c r="A379" t="s">
        <v>47</v>
      </c>
      <c r="B379" s="1" t="s">
        <v>0</v>
      </c>
      <c r="C379">
        <v>64</v>
      </c>
      <c r="D379" s="2">
        <v>442</v>
      </c>
      <c r="E379" s="2">
        <v>14</v>
      </c>
      <c r="F379" t="s">
        <v>25</v>
      </c>
      <c r="G379" s="2"/>
      <c r="H379" s="2"/>
      <c r="I379" s="6">
        <v>17.059999999999999</v>
      </c>
      <c r="N379" s="2">
        <v>442</v>
      </c>
      <c r="O379" s="5"/>
      <c r="P379" s="2"/>
      <c r="Q379" s="3">
        <v>12.32</v>
      </c>
      <c r="U379" s="10"/>
      <c r="V379" s="4"/>
      <c r="W379" s="2">
        <v>442</v>
      </c>
      <c r="X379" s="2"/>
      <c r="Y379" s="2"/>
      <c r="Z379" s="6">
        <v>10</v>
      </c>
    </row>
    <row r="380" spans="1:27" x14ac:dyDescent="0.25">
      <c r="A380" t="s">
        <v>47</v>
      </c>
      <c r="B380" s="1" t="s">
        <v>0</v>
      </c>
      <c r="C380">
        <v>64</v>
      </c>
      <c r="D380" s="2">
        <v>443</v>
      </c>
      <c r="E380" s="2">
        <v>29</v>
      </c>
      <c r="F380" t="s">
        <v>11</v>
      </c>
      <c r="G380" s="2"/>
      <c r="H380" s="2"/>
      <c r="I380" s="6">
        <v>15.58</v>
      </c>
      <c r="N380" s="2">
        <v>443</v>
      </c>
      <c r="P380" s="2"/>
      <c r="Q380" s="3">
        <v>14.04</v>
      </c>
      <c r="U380" s="10"/>
      <c r="V380" s="4"/>
      <c r="W380" s="2">
        <v>443</v>
      </c>
      <c r="X380" s="2"/>
      <c r="Y380" s="2"/>
      <c r="Z380" s="6">
        <v>8.8000000000000007</v>
      </c>
    </row>
    <row r="381" spans="1:27" x14ac:dyDescent="0.25">
      <c r="A381" t="s">
        <v>47</v>
      </c>
      <c r="B381" s="1" t="s">
        <v>0</v>
      </c>
      <c r="C381">
        <v>64</v>
      </c>
      <c r="D381" s="2">
        <v>444</v>
      </c>
      <c r="E381" s="2">
        <v>30</v>
      </c>
      <c r="F381" s="7" t="s">
        <v>9</v>
      </c>
      <c r="G381" s="2"/>
      <c r="H381" s="2"/>
      <c r="I381" s="6">
        <v>15.46</v>
      </c>
      <c r="N381" s="2">
        <v>444</v>
      </c>
      <c r="P381" s="2"/>
      <c r="Q381" s="3">
        <v>12.84</v>
      </c>
      <c r="U381" s="10"/>
      <c r="V381" s="4"/>
      <c r="W381" s="2">
        <v>444</v>
      </c>
      <c r="X381" s="2"/>
      <c r="Y381" s="2"/>
      <c r="Z381" s="6">
        <v>10.08</v>
      </c>
    </row>
    <row r="382" spans="1:27" x14ac:dyDescent="0.25">
      <c r="A382" t="s">
        <v>47</v>
      </c>
      <c r="B382" s="1" t="s">
        <v>0</v>
      </c>
      <c r="C382">
        <v>64</v>
      </c>
      <c r="D382" s="2">
        <v>445</v>
      </c>
      <c r="E382" s="2">
        <v>7</v>
      </c>
      <c r="F382" t="s">
        <v>16</v>
      </c>
      <c r="G382" s="2">
        <v>696</v>
      </c>
      <c r="H382" s="2">
        <v>183</v>
      </c>
      <c r="I382" s="6">
        <v>15.34</v>
      </c>
      <c r="J382" s="4">
        <f>(H382-32)/(G382-32)</f>
        <v>0.22740963855421686</v>
      </c>
      <c r="N382" s="2">
        <v>445</v>
      </c>
      <c r="O382">
        <v>809</v>
      </c>
      <c r="P382" s="2">
        <v>244</v>
      </c>
      <c r="Q382" s="3">
        <v>13.18</v>
      </c>
      <c r="R382" s="4">
        <f>(P382-32)/(O382-32)</f>
        <v>0.27284427284427282</v>
      </c>
      <c r="U382" s="10"/>
      <c r="V382" s="4"/>
      <c r="W382" s="2">
        <v>445</v>
      </c>
      <c r="X382" s="2">
        <v>658</v>
      </c>
      <c r="Y382" s="2">
        <v>177</v>
      </c>
      <c r="Z382" s="6">
        <v>10.5</v>
      </c>
      <c r="AA382" s="4">
        <f>(Y382-32)/(X382-32)</f>
        <v>0.23162939297124602</v>
      </c>
    </row>
    <row r="383" spans="1:27" x14ac:dyDescent="0.25">
      <c r="A383" t="s">
        <v>47</v>
      </c>
      <c r="B383" s="1" t="s">
        <v>0</v>
      </c>
      <c r="C383">
        <v>64</v>
      </c>
      <c r="D383" s="2">
        <v>446</v>
      </c>
      <c r="E383" s="2">
        <v>21</v>
      </c>
      <c r="F383" t="s">
        <v>22</v>
      </c>
      <c r="G383" s="2"/>
      <c r="H383" s="2"/>
      <c r="I383" s="6">
        <v>17.559999999999999</v>
      </c>
      <c r="N383" s="2">
        <v>446</v>
      </c>
      <c r="O383" s="5"/>
      <c r="P383" s="2"/>
      <c r="Q383" s="3">
        <v>14.44</v>
      </c>
      <c r="U383" s="10"/>
      <c r="V383" s="4"/>
      <c r="W383" s="2">
        <v>446</v>
      </c>
      <c r="X383" s="2"/>
      <c r="Y383" s="2"/>
      <c r="Z383" s="6">
        <v>11.92</v>
      </c>
    </row>
    <row r="384" spans="1:27" x14ac:dyDescent="0.25">
      <c r="A384" t="s">
        <v>47</v>
      </c>
      <c r="B384" s="1" t="s">
        <v>0</v>
      </c>
      <c r="C384">
        <v>64</v>
      </c>
      <c r="D384" s="2">
        <v>447</v>
      </c>
      <c r="E384" s="2">
        <v>1</v>
      </c>
      <c r="F384" t="s">
        <v>6</v>
      </c>
      <c r="G384" s="2"/>
      <c r="H384" s="2"/>
      <c r="I384" s="6">
        <v>16.36</v>
      </c>
      <c r="N384" s="2">
        <v>447</v>
      </c>
      <c r="P384" s="2"/>
      <c r="Q384" s="3">
        <v>13.2</v>
      </c>
      <c r="U384" s="10"/>
      <c r="V384" s="4"/>
      <c r="W384" s="2">
        <v>447</v>
      </c>
      <c r="X384" s="2"/>
      <c r="Y384" s="2"/>
      <c r="Z384" s="6">
        <v>11.04</v>
      </c>
    </row>
    <row r="385" spans="1:26" x14ac:dyDescent="0.25">
      <c r="A385" t="s">
        <v>47</v>
      </c>
      <c r="B385" s="1" t="s">
        <v>0</v>
      </c>
      <c r="C385">
        <v>64</v>
      </c>
      <c r="D385" s="2">
        <v>448</v>
      </c>
      <c r="E385" s="2">
        <v>18</v>
      </c>
      <c r="F385" t="s">
        <v>18</v>
      </c>
      <c r="G385" s="2"/>
      <c r="H385" s="2"/>
      <c r="I385" s="6">
        <v>18.38</v>
      </c>
      <c r="N385" s="2">
        <v>448</v>
      </c>
      <c r="P385" s="2"/>
      <c r="Q385" s="3">
        <v>13.32</v>
      </c>
      <c r="U385" s="10"/>
      <c r="V385" s="4"/>
      <c r="W385" s="2">
        <v>448</v>
      </c>
      <c r="X385" s="2"/>
      <c r="Y385" s="2"/>
      <c r="Z385" s="6">
        <v>10.64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9F2A-7AFF-4F19-B8AA-573687F88840}">
  <dimension ref="A1:AD385"/>
  <sheetViews>
    <sheetView topLeftCell="AF1" workbookViewId="0">
      <selection sqref="A1:AK1048576"/>
    </sheetView>
  </sheetViews>
  <sheetFormatPr defaultRowHeight="15" x14ac:dyDescent="0.25"/>
  <cols>
    <col min="12" max="12" width="9.140625" style="3"/>
  </cols>
  <sheetData>
    <row r="1" spans="1:29" x14ac:dyDescent="0.25">
      <c r="G1" t="s">
        <v>40</v>
      </c>
      <c r="H1" t="s">
        <v>41</v>
      </c>
      <c r="I1" s="3" t="s">
        <v>42</v>
      </c>
      <c r="J1" s="9" t="s">
        <v>49</v>
      </c>
      <c r="K1" s="11" t="s">
        <v>52</v>
      </c>
      <c r="L1" s="9" t="s">
        <v>53</v>
      </c>
      <c r="P1" t="s">
        <v>38</v>
      </c>
      <c r="Q1" t="s">
        <v>37</v>
      </c>
      <c r="R1" t="s">
        <v>39</v>
      </c>
      <c r="S1" s="9" t="s">
        <v>50</v>
      </c>
      <c r="T1" s="11" t="s">
        <v>52</v>
      </c>
      <c r="U1" s="9" t="s">
        <v>54</v>
      </c>
      <c r="V1" s="11"/>
      <c r="Y1" t="s">
        <v>43</v>
      </c>
      <c r="Z1" t="s">
        <v>44</v>
      </c>
      <c r="AA1" s="3" t="s">
        <v>45</v>
      </c>
      <c r="AB1" s="9" t="s">
        <v>51</v>
      </c>
      <c r="AC1" s="11" t="s">
        <v>52</v>
      </c>
    </row>
    <row r="2" spans="1:29" x14ac:dyDescent="0.25">
      <c r="A2" t="s">
        <v>46</v>
      </c>
      <c r="B2" t="s">
        <v>0</v>
      </c>
      <c r="C2">
        <v>63</v>
      </c>
      <c r="D2">
        <v>101</v>
      </c>
      <c r="E2">
        <v>6</v>
      </c>
      <c r="F2" t="s">
        <v>1</v>
      </c>
      <c r="G2">
        <v>744</v>
      </c>
      <c r="H2">
        <v>207</v>
      </c>
      <c r="I2" s="3">
        <v>11.14</v>
      </c>
      <c r="J2" s="9">
        <v>0.24578651685393257</v>
      </c>
      <c r="K2" s="11"/>
      <c r="M2" s="9"/>
      <c r="O2">
        <v>101</v>
      </c>
      <c r="R2" s="3"/>
      <c r="S2" s="9"/>
      <c r="T2" s="11"/>
      <c r="U2" s="9"/>
      <c r="V2" s="11"/>
      <c r="W2" s="9"/>
      <c r="X2">
        <v>101</v>
      </c>
      <c r="Y2">
        <v>726</v>
      </c>
      <c r="Z2">
        <v>157</v>
      </c>
      <c r="AA2" s="3">
        <v>5.04</v>
      </c>
      <c r="AB2" s="9">
        <v>0.18011527377521613</v>
      </c>
    </row>
    <row r="3" spans="1:29" x14ac:dyDescent="0.25">
      <c r="A3" t="s">
        <v>46</v>
      </c>
      <c r="B3" t="s">
        <v>0</v>
      </c>
      <c r="C3">
        <v>63</v>
      </c>
      <c r="D3">
        <v>102</v>
      </c>
      <c r="E3">
        <v>4</v>
      </c>
      <c r="F3" t="s">
        <v>2</v>
      </c>
      <c r="I3" s="3">
        <v>8.2799999999999994</v>
      </c>
      <c r="J3" s="9">
        <v>0.24578651685393257</v>
      </c>
      <c r="K3" s="11"/>
      <c r="M3" s="9"/>
      <c r="O3">
        <v>102</v>
      </c>
      <c r="R3" s="3"/>
      <c r="S3" s="9"/>
      <c r="T3" s="11"/>
      <c r="U3" s="9"/>
      <c r="V3" s="11"/>
      <c r="W3" s="9"/>
      <c r="X3">
        <v>102</v>
      </c>
      <c r="AA3" s="3">
        <v>4.74</v>
      </c>
      <c r="AB3" s="9">
        <v>0.18011527377521613</v>
      </c>
    </row>
    <row r="4" spans="1:29" x14ac:dyDescent="0.25">
      <c r="A4" t="s">
        <v>46</v>
      </c>
      <c r="B4" t="s">
        <v>0</v>
      </c>
      <c r="C4">
        <v>63</v>
      </c>
      <c r="D4">
        <v>103</v>
      </c>
      <c r="E4">
        <v>3</v>
      </c>
      <c r="F4" t="s">
        <v>3</v>
      </c>
      <c r="I4" s="3">
        <v>13.02</v>
      </c>
      <c r="J4" s="9">
        <v>0.24578651685393257</v>
      </c>
      <c r="K4" s="11"/>
      <c r="M4" s="9"/>
      <c r="O4">
        <v>103</v>
      </c>
      <c r="R4" s="3"/>
      <c r="S4" s="9"/>
      <c r="T4" s="11"/>
      <c r="U4" s="9"/>
      <c r="V4" s="11"/>
      <c r="W4" s="9"/>
      <c r="X4">
        <v>103</v>
      </c>
      <c r="AA4" s="3">
        <v>5.2</v>
      </c>
      <c r="AB4" s="9">
        <v>0.18011527377521613</v>
      </c>
    </row>
    <row r="5" spans="1:29" x14ac:dyDescent="0.25">
      <c r="A5" t="s">
        <v>46</v>
      </c>
      <c r="B5" t="s">
        <v>0</v>
      </c>
      <c r="C5">
        <v>63</v>
      </c>
      <c r="D5">
        <v>104</v>
      </c>
      <c r="E5">
        <v>2</v>
      </c>
      <c r="F5" t="s">
        <v>4</v>
      </c>
      <c r="I5" s="3">
        <v>12.52</v>
      </c>
      <c r="J5" s="9">
        <v>0.24578651685393257</v>
      </c>
      <c r="K5" s="11"/>
      <c r="M5" s="9"/>
      <c r="O5">
        <v>104</v>
      </c>
      <c r="R5" s="3"/>
      <c r="S5" s="9"/>
      <c r="T5" s="11"/>
      <c r="U5" s="9"/>
      <c r="V5" s="11"/>
      <c r="W5" s="9"/>
      <c r="X5">
        <v>104</v>
      </c>
      <c r="AA5" s="3">
        <v>4.32</v>
      </c>
      <c r="AB5" s="9">
        <v>0.18011527377521613</v>
      </c>
    </row>
    <row r="6" spans="1:29" x14ac:dyDescent="0.25">
      <c r="A6" t="s">
        <v>46</v>
      </c>
      <c r="B6" t="s">
        <v>0</v>
      </c>
      <c r="C6">
        <v>63</v>
      </c>
      <c r="D6">
        <v>105</v>
      </c>
      <c r="E6">
        <v>5</v>
      </c>
      <c r="F6" t="s">
        <v>5</v>
      </c>
      <c r="G6">
        <v>723</v>
      </c>
      <c r="H6">
        <v>197</v>
      </c>
      <c r="I6" s="3">
        <v>10.44</v>
      </c>
      <c r="J6" s="9">
        <v>0.23878437047756873</v>
      </c>
      <c r="K6" s="11"/>
      <c r="M6" s="9"/>
      <c r="O6">
        <v>105</v>
      </c>
      <c r="R6" s="3"/>
      <c r="S6" s="9"/>
      <c r="T6" s="11"/>
      <c r="U6" s="9"/>
      <c r="V6" s="11"/>
      <c r="W6" s="9"/>
      <c r="X6">
        <v>105</v>
      </c>
      <c r="Y6">
        <v>829</v>
      </c>
      <c r="Z6">
        <v>176</v>
      </c>
      <c r="AA6" s="3">
        <v>4.5999999999999996</v>
      </c>
      <c r="AB6" s="9">
        <v>0.1806775407779172</v>
      </c>
    </row>
    <row r="7" spans="1:29" x14ac:dyDescent="0.25">
      <c r="A7" t="s">
        <v>46</v>
      </c>
      <c r="B7" t="s">
        <v>0</v>
      </c>
      <c r="C7">
        <v>63</v>
      </c>
      <c r="D7">
        <v>106</v>
      </c>
      <c r="E7">
        <v>1</v>
      </c>
      <c r="F7" t="s">
        <v>6</v>
      </c>
      <c r="I7" s="3">
        <v>12.64</v>
      </c>
      <c r="J7" s="9">
        <v>0.23878437047756873</v>
      </c>
      <c r="K7" s="11"/>
      <c r="M7" s="9"/>
      <c r="O7">
        <v>106</v>
      </c>
      <c r="R7" s="3"/>
      <c r="S7" s="9"/>
      <c r="T7" s="11"/>
      <c r="U7" s="9"/>
      <c r="V7" s="11"/>
      <c r="W7" s="9"/>
      <c r="X7">
        <v>106</v>
      </c>
      <c r="AA7" s="3">
        <v>5.0599999999999996</v>
      </c>
      <c r="AB7" s="9">
        <v>0.1806775407779172</v>
      </c>
    </row>
    <row r="8" spans="1:29" x14ac:dyDescent="0.25">
      <c r="A8" t="s">
        <v>46</v>
      </c>
      <c r="B8" t="s">
        <v>0</v>
      </c>
      <c r="C8">
        <v>63</v>
      </c>
      <c r="D8">
        <v>107</v>
      </c>
      <c r="E8">
        <v>5</v>
      </c>
      <c r="F8" t="s">
        <v>5</v>
      </c>
      <c r="I8" s="3">
        <v>10.1</v>
      </c>
      <c r="J8" s="9">
        <v>0.23878437047756873</v>
      </c>
      <c r="K8" s="11"/>
      <c r="M8" s="9"/>
      <c r="O8">
        <v>107</v>
      </c>
      <c r="R8" s="3"/>
      <c r="S8" s="9"/>
      <c r="T8" s="11"/>
      <c r="U8" s="9"/>
      <c r="V8" s="11"/>
      <c r="W8" s="9"/>
      <c r="X8">
        <v>107</v>
      </c>
      <c r="AA8" s="3">
        <v>4.18</v>
      </c>
      <c r="AB8" s="9">
        <v>0.1806775407779172</v>
      </c>
    </row>
    <row r="9" spans="1:29" x14ac:dyDescent="0.25">
      <c r="A9" t="s">
        <v>46</v>
      </c>
      <c r="B9" t="s">
        <v>0</v>
      </c>
      <c r="C9">
        <v>63</v>
      </c>
      <c r="D9">
        <v>108</v>
      </c>
      <c r="E9">
        <v>6</v>
      </c>
      <c r="F9" t="s">
        <v>1</v>
      </c>
      <c r="I9" s="3">
        <v>13.26</v>
      </c>
      <c r="J9" s="9">
        <v>0.23878437047756873</v>
      </c>
      <c r="K9" s="11"/>
      <c r="M9" s="9"/>
      <c r="O9">
        <v>108</v>
      </c>
      <c r="R9" s="3"/>
      <c r="S9" s="9"/>
      <c r="T9" s="11"/>
      <c r="U9" s="9"/>
      <c r="V9" s="11"/>
      <c r="W9" s="9"/>
      <c r="X9">
        <v>108</v>
      </c>
      <c r="AA9" s="3">
        <v>4.16</v>
      </c>
      <c r="AB9" s="9">
        <v>0.1806775407779172</v>
      </c>
    </row>
    <row r="10" spans="1:29" x14ac:dyDescent="0.25">
      <c r="A10" t="s">
        <v>46</v>
      </c>
      <c r="B10" t="s">
        <v>0</v>
      </c>
      <c r="C10">
        <v>63</v>
      </c>
      <c r="D10">
        <v>109</v>
      </c>
      <c r="E10">
        <v>4</v>
      </c>
      <c r="F10" t="s">
        <v>2</v>
      </c>
      <c r="G10">
        <v>780</v>
      </c>
      <c r="H10">
        <v>218</v>
      </c>
      <c r="I10" s="3">
        <v>9.84</v>
      </c>
      <c r="J10" s="9">
        <v>0.24866310160427807</v>
      </c>
      <c r="K10" s="11"/>
      <c r="M10" s="9"/>
      <c r="O10">
        <v>109</v>
      </c>
      <c r="R10" s="3"/>
      <c r="S10" s="9"/>
      <c r="T10" s="11"/>
      <c r="U10" s="9"/>
      <c r="V10" s="11"/>
      <c r="W10" s="9"/>
      <c r="X10">
        <v>109</v>
      </c>
      <c r="Y10">
        <v>801</v>
      </c>
      <c r="Z10">
        <v>184</v>
      </c>
      <c r="AA10" s="3">
        <v>4.5</v>
      </c>
      <c r="AB10" s="9">
        <v>0.1976592977893368</v>
      </c>
    </row>
    <row r="11" spans="1:29" x14ac:dyDescent="0.25">
      <c r="A11" t="s">
        <v>46</v>
      </c>
      <c r="B11" t="s">
        <v>0</v>
      </c>
      <c r="C11">
        <v>63</v>
      </c>
      <c r="D11">
        <v>110</v>
      </c>
      <c r="E11">
        <v>2</v>
      </c>
      <c r="F11" t="s">
        <v>4</v>
      </c>
      <c r="I11" s="3">
        <v>12.96</v>
      </c>
      <c r="J11" s="9">
        <v>0.24866310160427807</v>
      </c>
      <c r="K11" s="11"/>
      <c r="M11" s="9"/>
      <c r="O11">
        <v>110</v>
      </c>
      <c r="R11" s="3"/>
      <c r="S11" s="9"/>
      <c r="T11" s="11"/>
      <c r="U11" s="9"/>
      <c r="V11" s="11"/>
      <c r="W11" s="9"/>
      <c r="X11">
        <v>110</v>
      </c>
      <c r="AA11" s="3">
        <v>4.76</v>
      </c>
      <c r="AB11" s="9">
        <v>0.1976592977893368</v>
      </c>
    </row>
    <row r="12" spans="1:29" x14ac:dyDescent="0.25">
      <c r="A12" t="s">
        <v>46</v>
      </c>
      <c r="B12" t="s">
        <v>0</v>
      </c>
      <c r="C12">
        <v>63</v>
      </c>
      <c r="D12">
        <v>111</v>
      </c>
      <c r="E12">
        <v>1</v>
      </c>
      <c r="F12" t="s">
        <v>6</v>
      </c>
      <c r="I12" s="3">
        <v>11.38</v>
      </c>
      <c r="J12" s="9">
        <v>0.24866310160427807</v>
      </c>
      <c r="K12" s="11"/>
      <c r="M12" s="9"/>
      <c r="O12">
        <v>111</v>
      </c>
      <c r="R12" s="3"/>
      <c r="S12" s="9"/>
      <c r="T12" s="11"/>
      <c r="U12" s="9"/>
      <c r="V12" s="11"/>
      <c r="W12" s="9"/>
      <c r="X12">
        <v>111</v>
      </c>
      <c r="AA12" s="3">
        <v>4.84</v>
      </c>
      <c r="AB12" s="9">
        <v>0.1976592977893368</v>
      </c>
    </row>
    <row r="13" spans="1:29" x14ac:dyDescent="0.25">
      <c r="A13" t="s">
        <v>46</v>
      </c>
      <c r="B13" t="s">
        <v>0</v>
      </c>
      <c r="C13">
        <v>63</v>
      </c>
      <c r="D13">
        <v>112</v>
      </c>
      <c r="E13">
        <v>3</v>
      </c>
      <c r="F13" t="s">
        <v>3</v>
      </c>
      <c r="I13" s="3">
        <v>10.34</v>
      </c>
      <c r="J13" s="9">
        <v>0.24866310160427807</v>
      </c>
      <c r="K13" s="11"/>
      <c r="M13" s="9"/>
      <c r="O13">
        <v>112</v>
      </c>
      <c r="R13" s="3"/>
      <c r="S13" s="9"/>
      <c r="T13" s="11"/>
      <c r="U13" s="9"/>
      <c r="V13" s="11"/>
      <c r="W13" s="9"/>
      <c r="X13">
        <v>112</v>
      </c>
      <c r="AA13" s="3">
        <v>4.46</v>
      </c>
      <c r="AB13" s="9">
        <v>0.1976592977893368</v>
      </c>
    </row>
    <row r="14" spans="1:29" x14ac:dyDescent="0.25">
      <c r="A14" t="s">
        <v>46</v>
      </c>
      <c r="B14" t="s">
        <v>0</v>
      </c>
      <c r="C14">
        <v>63</v>
      </c>
      <c r="D14">
        <v>113</v>
      </c>
      <c r="E14">
        <v>22</v>
      </c>
      <c r="F14" t="s">
        <v>7</v>
      </c>
      <c r="G14">
        <v>901</v>
      </c>
      <c r="H14">
        <v>247</v>
      </c>
      <c r="I14" s="3">
        <v>12.88</v>
      </c>
      <c r="J14" s="9">
        <v>0.24741081703107021</v>
      </c>
      <c r="K14" s="11"/>
      <c r="M14" s="9"/>
      <c r="O14">
        <v>113</v>
      </c>
      <c r="P14">
        <v>534</v>
      </c>
      <c r="Q14">
        <v>230</v>
      </c>
      <c r="R14" s="3">
        <v>3.06</v>
      </c>
      <c r="S14" s="9">
        <v>0.39442231075697209</v>
      </c>
      <c r="T14" s="11"/>
      <c r="U14" s="9"/>
      <c r="V14" s="11"/>
      <c r="W14" s="9"/>
      <c r="X14">
        <v>113</v>
      </c>
      <c r="Y14">
        <v>774</v>
      </c>
      <c r="Z14">
        <v>183</v>
      </c>
      <c r="AA14" s="3">
        <v>4.9000000000000004</v>
      </c>
      <c r="AB14" s="9">
        <v>0.20350404312668463</v>
      </c>
    </row>
    <row r="15" spans="1:29" x14ac:dyDescent="0.25">
      <c r="A15" t="s">
        <v>46</v>
      </c>
      <c r="B15" t="s">
        <v>0</v>
      </c>
      <c r="C15">
        <v>63</v>
      </c>
      <c r="D15">
        <v>114</v>
      </c>
      <c r="E15">
        <v>25</v>
      </c>
      <c r="F15" t="s">
        <v>8</v>
      </c>
      <c r="I15" s="3">
        <v>10.42</v>
      </c>
      <c r="J15" s="9">
        <v>0.24741081703107021</v>
      </c>
      <c r="K15" s="11"/>
      <c r="M15" s="9"/>
      <c r="O15">
        <v>114</v>
      </c>
      <c r="R15" s="3">
        <v>3.52</v>
      </c>
      <c r="S15" s="9">
        <v>0.39442231075697209</v>
      </c>
      <c r="T15" s="11"/>
      <c r="U15" s="9"/>
      <c r="V15" s="11"/>
      <c r="W15" s="9"/>
      <c r="X15">
        <v>114</v>
      </c>
      <c r="AA15" s="3">
        <v>5.74</v>
      </c>
      <c r="AB15" s="9">
        <v>0.20350404312668463</v>
      </c>
    </row>
    <row r="16" spans="1:29" x14ac:dyDescent="0.25">
      <c r="A16" t="s">
        <v>46</v>
      </c>
      <c r="B16" t="s">
        <v>0</v>
      </c>
      <c r="C16">
        <v>63</v>
      </c>
      <c r="D16">
        <v>115</v>
      </c>
      <c r="E16">
        <v>4</v>
      </c>
      <c r="F16" t="s">
        <v>2</v>
      </c>
      <c r="I16" s="3">
        <v>6.48</v>
      </c>
      <c r="J16" s="9">
        <v>0.24741081703107021</v>
      </c>
      <c r="K16" s="11"/>
      <c r="M16" s="9"/>
      <c r="O16">
        <v>115</v>
      </c>
      <c r="R16" s="3">
        <v>2.64</v>
      </c>
      <c r="S16" s="9">
        <v>0.39442231075697209</v>
      </c>
      <c r="T16" s="11"/>
      <c r="U16" s="9"/>
      <c r="V16" s="11"/>
      <c r="W16" s="9"/>
      <c r="X16">
        <v>115</v>
      </c>
      <c r="AA16" s="3">
        <v>4.62</v>
      </c>
      <c r="AB16" s="9">
        <v>0.20350404312668463</v>
      </c>
    </row>
    <row r="17" spans="1:28" x14ac:dyDescent="0.25">
      <c r="A17" t="s">
        <v>46</v>
      </c>
      <c r="B17" t="s">
        <v>0</v>
      </c>
      <c r="C17">
        <v>63</v>
      </c>
      <c r="D17">
        <v>116</v>
      </c>
      <c r="E17">
        <v>30</v>
      </c>
      <c r="F17" t="s">
        <v>9</v>
      </c>
      <c r="I17" s="3">
        <v>10.58</v>
      </c>
      <c r="J17" s="9">
        <v>0.24741081703107021</v>
      </c>
      <c r="K17" s="11"/>
      <c r="M17" s="9"/>
      <c r="O17">
        <v>116</v>
      </c>
      <c r="R17" s="3">
        <v>3.78</v>
      </c>
      <c r="S17" s="9">
        <v>0.39442231075697209</v>
      </c>
      <c r="T17" s="11"/>
      <c r="U17" s="9"/>
      <c r="V17" s="11"/>
      <c r="W17" s="9"/>
      <c r="X17">
        <v>116</v>
      </c>
      <c r="AA17" s="3">
        <v>5.98</v>
      </c>
      <c r="AB17" s="9">
        <v>0.20350404312668463</v>
      </c>
    </row>
    <row r="18" spans="1:28" x14ac:dyDescent="0.25">
      <c r="A18" t="s">
        <v>46</v>
      </c>
      <c r="B18" t="s">
        <v>0</v>
      </c>
      <c r="C18">
        <v>63</v>
      </c>
      <c r="D18">
        <v>117</v>
      </c>
      <c r="E18">
        <v>19</v>
      </c>
      <c r="F18" t="s">
        <v>10</v>
      </c>
      <c r="G18">
        <v>959</v>
      </c>
      <c r="H18">
        <v>267</v>
      </c>
      <c r="I18" s="3">
        <v>15.14</v>
      </c>
      <c r="J18" s="9">
        <v>0.25350593311758363</v>
      </c>
      <c r="K18" s="11"/>
      <c r="M18" s="9"/>
      <c r="O18">
        <v>117</v>
      </c>
      <c r="P18">
        <v>678</v>
      </c>
      <c r="Q18">
        <v>279</v>
      </c>
      <c r="R18" s="3">
        <v>4.34</v>
      </c>
      <c r="S18" s="9">
        <v>0.38235294117647056</v>
      </c>
      <c r="T18" s="11"/>
      <c r="U18" s="9"/>
      <c r="V18" s="11"/>
      <c r="W18" s="9"/>
      <c r="X18">
        <v>117</v>
      </c>
      <c r="Y18">
        <v>760</v>
      </c>
      <c r="Z18">
        <v>186</v>
      </c>
      <c r="AA18" s="3">
        <v>5.94</v>
      </c>
      <c r="AB18" s="9">
        <v>0.21153846153846154</v>
      </c>
    </row>
    <row r="19" spans="1:28" x14ac:dyDescent="0.25">
      <c r="A19" t="s">
        <v>46</v>
      </c>
      <c r="B19" t="s">
        <v>0</v>
      </c>
      <c r="C19">
        <v>63</v>
      </c>
      <c r="D19">
        <v>118</v>
      </c>
      <c r="E19">
        <v>29</v>
      </c>
      <c r="F19" t="s">
        <v>11</v>
      </c>
      <c r="I19" s="3">
        <v>10.94</v>
      </c>
      <c r="J19" s="9">
        <v>0.25350593311758363</v>
      </c>
      <c r="K19" s="11"/>
      <c r="M19" s="9"/>
      <c r="O19">
        <v>118</v>
      </c>
      <c r="R19" s="3">
        <v>3.1</v>
      </c>
      <c r="S19" s="9">
        <v>0.38235294117647056</v>
      </c>
      <c r="T19" s="11"/>
      <c r="U19" s="9"/>
      <c r="V19" s="11"/>
      <c r="W19" s="9"/>
      <c r="X19">
        <v>118</v>
      </c>
      <c r="AA19" s="3">
        <v>4.66</v>
      </c>
      <c r="AB19" s="9">
        <v>0.21153846153846154</v>
      </c>
    </row>
    <row r="20" spans="1:28" x14ac:dyDescent="0.25">
      <c r="A20" t="s">
        <v>46</v>
      </c>
      <c r="B20" t="s">
        <v>0</v>
      </c>
      <c r="C20">
        <v>63</v>
      </c>
      <c r="D20">
        <v>119</v>
      </c>
      <c r="E20">
        <v>16</v>
      </c>
      <c r="F20" t="s">
        <v>12</v>
      </c>
      <c r="I20" s="3">
        <v>9.48</v>
      </c>
      <c r="J20" s="9">
        <v>0.25350593311758363</v>
      </c>
      <c r="K20" s="11"/>
      <c r="M20" s="9"/>
      <c r="O20">
        <v>119</v>
      </c>
      <c r="R20" s="3">
        <v>2.54</v>
      </c>
      <c r="S20" s="9">
        <v>0.38235294117647056</v>
      </c>
      <c r="T20" s="11"/>
      <c r="U20" s="9"/>
      <c r="V20" s="11"/>
      <c r="W20" s="9"/>
      <c r="X20">
        <v>119</v>
      </c>
      <c r="AA20" s="3">
        <v>4.3600000000000003</v>
      </c>
      <c r="AB20" s="9">
        <v>0.21153846153846154</v>
      </c>
    </row>
    <row r="21" spans="1:28" x14ac:dyDescent="0.25">
      <c r="A21" t="s">
        <v>46</v>
      </c>
      <c r="B21" t="s">
        <v>0</v>
      </c>
      <c r="C21">
        <v>63</v>
      </c>
      <c r="D21">
        <v>120</v>
      </c>
      <c r="E21">
        <v>28</v>
      </c>
      <c r="F21" t="s">
        <v>13</v>
      </c>
      <c r="I21" s="3">
        <v>9.9</v>
      </c>
      <c r="J21" s="9">
        <v>0.25350593311758363</v>
      </c>
      <c r="K21" s="11"/>
      <c r="M21" s="9"/>
      <c r="O21">
        <v>120</v>
      </c>
      <c r="R21" s="3">
        <v>3.02</v>
      </c>
      <c r="S21" s="9">
        <v>0.38235294117647056</v>
      </c>
      <c r="T21" s="11"/>
      <c r="U21" s="9"/>
      <c r="V21" s="11"/>
      <c r="W21" s="9"/>
      <c r="X21">
        <v>120</v>
      </c>
      <c r="AA21" s="3">
        <v>5.56</v>
      </c>
      <c r="AB21" s="9">
        <v>0.21153846153846154</v>
      </c>
    </row>
    <row r="22" spans="1:28" x14ac:dyDescent="0.25">
      <c r="A22" t="s">
        <v>46</v>
      </c>
      <c r="B22" t="s">
        <v>0</v>
      </c>
      <c r="C22">
        <v>63</v>
      </c>
      <c r="D22">
        <v>121</v>
      </c>
      <c r="E22">
        <v>27</v>
      </c>
      <c r="F22" t="s">
        <v>14</v>
      </c>
      <c r="G22">
        <v>895</v>
      </c>
      <c r="H22">
        <v>241</v>
      </c>
      <c r="I22" s="3">
        <v>8.36</v>
      </c>
      <c r="J22" s="9">
        <v>0.24217844727694091</v>
      </c>
      <c r="K22" s="11"/>
      <c r="M22" s="9"/>
      <c r="O22">
        <v>121</v>
      </c>
      <c r="P22">
        <v>687</v>
      </c>
      <c r="Q22">
        <v>277</v>
      </c>
      <c r="R22" s="3">
        <v>2.9</v>
      </c>
      <c r="S22" s="9">
        <v>0.37404580152671757</v>
      </c>
      <c r="T22" s="11"/>
      <c r="U22" s="9"/>
      <c r="V22" s="11"/>
      <c r="W22" s="9"/>
      <c r="X22">
        <v>121</v>
      </c>
      <c r="Y22">
        <v>908</v>
      </c>
      <c r="Z22">
        <v>214</v>
      </c>
      <c r="AA22" s="3">
        <v>5.5</v>
      </c>
      <c r="AB22" s="9">
        <v>0.20776255707762556</v>
      </c>
    </row>
    <row r="23" spans="1:28" x14ac:dyDescent="0.25">
      <c r="A23" t="s">
        <v>46</v>
      </c>
      <c r="B23" t="s">
        <v>0</v>
      </c>
      <c r="C23">
        <v>63</v>
      </c>
      <c r="D23">
        <v>122</v>
      </c>
      <c r="E23">
        <v>11</v>
      </c>
      <c r="F23" t="s">
        <v>15</v>
      </c>
      <c r="I23" s="3">
        <v>13.12</v>
      </c>
      <c r="J23" s="9">
        <v>0.24217844727694091</v>
      </c>
      <c r="K23" s="11"/>
      <c r="M23" s="9"/>
      <c r="O23">
        <v>122</v>
      </c>
      <c r="R23" s="3">
        <v>3.54</v>
      </c>
      <c r="S23" s="9">
        <v>0.37404580152671757</v>
      </c>
      <c r="T23" s="11"/>
      <c r="U23" s="9"/>
      <c r="V23" s="11"/>
      <c r="W23" s="9"/>
      <c r="X23">
        <v>122</v>
      </c>
      <c r="AA23" s="3">
        <v>5.82</v>
      </c>
      <c r="AB23" s="9">
        <v>0.20776255707762556</v>
      </c>
    </row>
    <row r="24" spans="1:28" x14ac:dyDescent="0.25">
      <c r="A24" t="s">
        <v>46</v>
      </c>
      <c r="B24" t="s">
        <v>0</v>
      </c>
      <c r="C24">
        <v>63</v>
      </c>
      <c r="D24">
        <v>123</v>
      </c>
      <c r="E24">
        <v>7</v>
      </c>
      <c r="F24" t="s">
        <v>16</v>
      </c>
      <c r="I24" s="3">
        <v>14.5</v>
      </c>
      <c r="J24" s="9">
        <v>0.24217844727694091</v>
      </c>
      <c r="K24" s="11"/>
      <c r="M24" s="9"/>
      <c r="O24">
        <v>123</v>
      </c>
      <c r="R24" s="3">
        <v>3.48</v>
      </c>
      <c r="S24" s="9">
        <v>0.37404580152671757</v>
      </c>
      <c r="T24" s="11"/>
      <c r="U24" s="9"/>
      <c r="V24" s="11"/>
      <c r="W24" s="9"/>
      <c r="X24">
        <v>123</v>
      </c>
      <c r="AA24" s="3">
        <v>4.8600000000000003</v>
      </c>
      <c r="AB24" s="9">
        <v>0.20776255707762556</v>
      </c>
    </row>
    <row r="25" spans="1:28" x14ac:dyDescent="0.25">
      <c r="A25" t="s">
        <v>46</v>
      </c>
      <c r="B25" t="s">
        <v>0</v>
      </c>
      <c r="C25">
        <v>63</v>
      </c>
      <c r="D25">
        <v>124</v>
      </c>
      <c r="E25">
        <v>17</v>
      </c>
      <c r="F25" t="s">
        <v>17</v>
      </c>
      <c r="I25" s="3">
        <v>14.58</v>
      </c>
      <c r="J25" s="9">
        <v>0.24217844727694091</v>
      </c>
      <c r="K25" s="11"/>
      <c r="M25" s="9"/>
      <c r="O25">
        <v>124</v>
      </c>
      <c r="R25" s="3">
        <v>3.44</v>
      </c>
      <c r="S25" s="9">
        <v>0.37404580152671757</v>
      </c>
      <c r="T25" s="11"/>
      <c r="U25" s="9"/>
      <c r="V25" s="11"/>
      <c r="W25" s="9"/>
      <c r="X25">
        <v>124</v>
      </c>
      <c r="AA25" s="3">
        <v>4.68</v>
      </c>
      <c r="AB25" s="9">
        <v>0.20776255707762556</v>
      </c>
    </row>
    <row r="26" spans="1:28" x14ac:dyDescent="0.25">
      <c r="A26" t="s">
        <v>46</v>
      </c>
      <c r="B26" t="s">
        <v>0</v>
      </c>
      <c r="C26">
        <v>63</v>
      </c>
      <c r="D26">
        <v>125</v>
      </c>
      <c r="E26">
        <v>18</v>
      </c>
      <c r="F26" t="s">
        <v>18</v>
      </c>
      <c r="G26">
        <v>910</v>
      </c>
      <c r="H26">
        <v>270</v>
      </c>
      <c r="I26" s="3">
        <v>13.92</v>
      </c>
      <c r="J26" s="9">
        <v>0.27107061503416857</v>
      </c>
      <c r="K26" s="11"/>
      <c r="M26" s="9"/>
      <c r="O26">
        <v>125</v>
      </c>
      <c r="P26">
        <v>593</v>
      </c>
      <c r="Q26">
        <v>243</v>
      </c>
      <c r="R26" s="3">
        <v>2.42</v>
      </c>
      <c r="S26" s="9">
        <v>0.37611408199643492</v>
      </c>
      <c r="T26" s="11"/>
      <c r="U26" s="9"/>
      <c r="V26" s="11"/>
      <c r="W26" s="9"/>
      <c r="X26">
        <v>125</v>
      </c>
      <c r="Y26">
        <v>931</v>
      </c>
      <c r="Z26">
        <v>229</v>
      </c>
      <c r="AA26" s="3">
        <v>5.0999999999999996</v>
      </c>
      <c r="AB26" s="9">
        <v>0.21913236929922136</v>
      </c>
    </row>
    <row r="27" spans="1:28" x14ac:dyDescent="0.25">
      <c r="A27" t="s">
        <v>46</v>
      </c>
      <c r="B27" t="s">
        <v>0</v>
      </c>
      <c r="C27">
        <v>63</v>
      </c>
      <c r="D27">
        <v>126</v>
      </c>
      <c r="E27">
        <v>2</v>
      </c>
      <c r="F27" t="s">
        <v>4</v>
      </c>
      <c r="I27" s="3">
        <v>14.5</v>
      </c>
      <c r="J27" s="9">
        <v>0.27107061503416857</v>
      </c>
      <c r="K27" s="11"/>
      <c r="M27" s="9"/>
      <c r="O27">
        <v>126</v>
      </c>
      <c r="R27" s="3">
        <v>2.06</v>
      </c>
      <c r="S27" s="9">
        <v>0.37611408199643492</v>
      </c>
      <c r="T27" s="11"/>
      <c r="U27" s="9"/>
      <c r="V27" s="11"/>
      <c r="W27" s="9"/>
      <c r="X27">
        <v>126</v>
      </c>
      <c r="AA27" s="3">
        <v>4.92</v>
      </c>
      <c r="AB27" s="9">
        <v>0.21913236929922136</v>
      </c>
    </row>
    <row r="28" spans="1:28" x14ac:dyDescent="0.25">
      <c r="A28" t="s">
        <v>46</v>
      </c>
      <c r="B28" t="s">
        <v>0</v>
      </c>
      <c r="C28">
        <v>63</v>
      </c>
      <c r="D28">
        <v>127</v>
      </c>
      <c r="E28">
        <v>9</v>
      </c>
      <c r="F28" t="s">
        <v>19</v>
      </c>
      <c r="I28" s="3">
        <v>11.36</v>
      </c>
      <c r="J28" s="9">
        <v>0.27107061503416857</v>
      </c>
      <c r="K28" s="11"/>
      <c r="M28" s="9"/>
      <c r="O28">
        <v>127</v>
      </c>
      <c r="R28" s="3">
        <v>1.96</v>
      </c>
      <c r="S28" s="9">
        <v>0.37611408199643492</v>
      </c>
      <c r="T28" s="11"/>
      <c r="U28" s="9"/>
      <c r="V28" s="11"/>
      <c r="W28" s="9"/>
      <c r="X28">
        <v>127</v>
      </c>
      <c r="AA28" s="3">
        <v>3.72</v>
      </c>
      <c r="AB28" s="9">
        <v>0.21913236929922136</v>
      </c>
    </row>
    <row r="29" spans="1:28" x14ac:dyDescent="0.25">
      <c r="A29" t="s">
        <v>46</v>
      </c>
      <c r="B29" t="s">
        <v>0</v>
      </c>
      <c r="C29">
        <v>63</v>
      </c>
      <c r="D29">
        <v>128</v>
      </c>
      <c r="E29">
        <v>15</v>
      </c>
      <c r="F29" t="s">
        <v>20</v>
      </c>
      <c r="I29" s="3">
        <v>12.7</v>
      </c>
      <c r="J29" s="9">
        <v>0.27107061503416857</v>
      </c>
      <c r="K29" s="11"/>
      <c r="M29" s="9"/>
      <c r="O29">
        <v>128</v>
      </c>
      <c r="R29" s="3">
        <v>1.94</v>
      </c>
      <c r="S29" s="9">
        <v>0.37611408199643492</v>
      </c>
      <c r="T29" s="11"/>
      <c r="U29" s="9"/>
      <c r="V29" s="11"/>
      <c r="W29" s="9"/>
      <c r="X29">
        <v>128</v>
      </c>
      <c r="AA29" s="3">
        <v>3.76</v>
      </c>
      <c r="AB29" s="9">
        <v>0.21913236929922136</v>
      </c>
    </row>
    <row r="30" spans="1:28" x14ac:dyDescent="0.25">
      <c r="A30" t="s">
        <v>46</v>
      </c>
      <c r="B30" t="s">
        <v>0</v>
      </c>
      <c r="C30">
        <v>63</v>
      </c>
      <c r="D30">
        <v>129</v>
      </c>
      <c r="E30">
        <v>26</v>
      </c>
      <c r="F30" t="s">
        <v>21</v>
      </c>
      <c r="G30">
        <v>904</v>
      </c>
      <c r="H30">
        <v>264</v>
      </c>
      <c r="I30" s="3">
        <v>16.28</v>
      </c>
      <c r="J30" s="9">
        <v>0.26605504587155965</v>
      </c>
      <c r="K30" s="11"/>
      <c r="M30" s="9"/>
      <c r="O30">
        <v>129</v>
      </c>
      <c r="P30">
        <v>480</v>
      </c>
      <c r="Q30">
        <v>192</v>
      </c>
      <c r="R30" s="3">
        <v>1.7</v>
      </c>
      <c r="S30" s="9">
        <v>0.35714285714285715</v>
      </c>
      <c r="T30" s="11"/>
      <c r="U30" s="9"/>
      <c r="V30" s="11"/>
      <c r="W30" s="9"/>
      <c r="X30">
        <v>129</v>
      </c>
      <c r="Y30">
        <v>702</v>
      </c>
      <c r="Z30">
        <v>184</v>
      </c>
      <c r="AA30" s="3">
        <v>4.72</v>
      </c>
      <c r="AB30" s="9">
        <v>0.22686567164179106</v>
      </c>
    </row>
    <row r="31" spans="1:28" x14ac:dyDescent="0.25">
      <c r="A31" t="s">
        <v>46</v>
      </c>
      <c r="B31" t="s">
        <v>0</v>
      </c>
      <c r="C31">
        <v>63</v>
      </c>
      <c r="D31">
        <v>130</v>
      </c>
      <c r="E31">
        <v>21</v>
      </c>
      <c r="F31" t="s">
        <v>22</v>
      </c>
      <c r="I31" s="3">
        <v>14.76</v>
      </c>
      <c r="J31" s="9">
        <v>0.26605504587155965</v>
      </c>
      <c r="K31" s="11"/>
      <c r="M31" s="9"/>
      <c r="O31">
        <v>130</v>
      </c>
      <c r="R31" s="3">
        <v>1.48</v>
      </c>
      <c r="S31" s="9">
        <v>0.35714285714285715</v>
      </c>
      <c r="T31" s="11"/>
      <c r="U31" s="9"/>
      <c r="V31" s="11"/>
      <c r="W31" s="9"/>
      <c r="X31">
        <v>130</v>
      </c>
      <c r="AA31" s="3">
        <v>4.88</v>
      </c>
      <c r="AB31" s="9">
        <v>0.22686567164179106</v>
      </c>
    </row>
    <row r="32" spans="1:28" x14ac:dyDescent="0.25">
      <c r="A32" t="s">
        <v>46</v>
      </c>
      <c r="B32" t="s">
        <v>0</v>
      </c>
      <c r="C32">
        <v>63</v>
      </c>
      <c r="D32">
        <v>131</v>
      </c>
      <c r="E32">
        <v>33</v>
      </c>
      <c r="F32" t="s">
        <v>23</v>
      </c>
      <c r="I32" s="3">
        <v>13.12</v>
      </c>
      <c r="J32" s="9">
        <v>0.26605504587155965</v>
      </c>
      <c r="K32" s="11"/>
      <c r="M32" s="9"/>
      <c r="O32">
        <v>131</v>
      </c>
      <c r="R32" s="3">
        <v>2.96</v>
      </c>
      <c r="S32" s="9">
        <v>0.35714285714285715</v>
      </c>
      <c r="T32" s="11"/>
      <c r="U32" s="9"/>
      <c r="V32" s="11"/>
      <c r="W32" s="9"/>
      <c r="X32">
        <v>131</v>
      </c>
      <c r="AA32" s="3">
        <v>3.86</v>
      </c>
      <c r="AB32" s="9">
        <v>0.22686567164179106</v>
      </c>
    </row>
    <row r="33" spans="1:28" x14ac:dyDescent="0.25">
      <c r="A33" t="s">
        <v>46</v>
      </c>
      <c r="B33" t="s">
        <v>0</v>
      </c>
      <c r="C33">
        <v>63</v>
      </c>
      <c r="D33">
        <v>132</v>
      </c>
      <c r="E33">
        <v>13</v>
      </c>
      <c r="F33" t="s">
        <v>24</v>
      </c>
      <c r="I33" s="3">
        <v>11.74</v>
      </c>
      <c r="J33" s="9">
        <v>0.26605504587155965</v>
      </c>
      <c r="K33" s="11"/>
      <c r="M33" s="9"/>
      <c r="O33">
        <v>132</v>
      </c>
      <c r="R33" s="3">
        <v>2.7</v>
      </c>
      <c r="S33" s="9">
        <v>0.35714285714285715</v>
      </c>
      <c r="T33" s="11"/>
      <c r="U33" s="9"/>
      <c r="V33" s="11"/>
      <c r="W33" s="9"/>
      <c r="X33">
        <v>132</v>
      </c>
      <c r="AA33" s="3">
        <v>3.5</v>
      </c>
      <c r="AB33" s="9">
        <v>0.22686567164179106</v>
      </c>
    </row>
    <row r="34" spans="1:28" x14ac:dyDescent="0.25">
      <c r="A34" t="s">
        <v>46</v>
      </c>
      <c r="B34" t="s">
        <v>0</v>
      </c>
      <c r="C34">
        <v>63</v>
      </c>
      <c r="D34">
        <v>133</v>
      </c>
      <c r="E34">
        <v>1</v>
      </c>
      <c r="F34" t="s">
        <v>6</v>
      </c>
      <c r="G34">
        <v>990</v>
      </c>
      <c r="H34">
        <v>283</v>
      </c>
      <c r="I34" s="3">
        <v>13.88</v>
      </c>
      <c r="J34" s="9">
        <v>0.26200417536534448</v>
      </c>
      <c r="K34" s="11"/>
      <c r="M34" s="9"/>
      <c r="O34">
        <v>133</v>
      </c>
      <c r="P34">
        <v>771</v>
      </c>
      <c r="Q34">
        <v>303</v>
      </c>
      <c r="R34" s="3">
        <v>3.42</v>
      </c>
      <c r="S34" s="9">
        <v>0.36671177266576455</v>
      </c>
      <c r="T34" s="11"/>
      <c r="U34" s="9"/>
      <c r="V34" s="11"/>
      <c r="W34" s="9"/>
      <c r="X34">
        <v>133</v>
      </c>
      <c r="Y34">
        <v>675</v>
      </c>
      <c r="Z34">
        <v>179</v>
      </c>
      <c r="AA34" s="3">
        <v>3.78</v>
      </c>
      <c r="AB34" s="9">
        <v>0.2286158631415241</v>
      </c>
    </row>
    <row r="35" spans="1:28" x14ac:dyDescent="0.25">
      <c r="A35" t="s">
        <v>46</v>
      </c>
      <c r="B35" t="s">
        <v>0</v>
      </c>
      <c r="C35">
        <v>63</v>
      </c>
      <c r="D35">
        <v>134</v>
      </c>
      <c r="E35">
        <v>14</v>
      </c>
      <c r="F35" t="s">
        <v>25</v>
      </c>
      <c r="I35" s="3">
        <v>12.92</v>
      </c>
      <c r="J35" s="9">
        <v>0.26200417536534448</v>
      </c>
      <c r="K35" s="11"/>
      <c r="M35" s="9"/>
      <c r="O35">
        <v>134</v>
      </c>
      <c r="R35" s="3">
        <v>2.92</v>
      </c>
      <c r="S35" s="9">
        <v>0.36671177266576455</v>
      </c>
      <c r="T35" s="11"/>
      <c r="U35" s="9"/>
      <c r="V35" s="11"/>
      <c r="W35" s="9"/>
      <c r="X35">
        <v>134</v>
      </c>
      <c r="AA35" s="3">
        <v>3.52</v>
      </c>
      <c r="AB35" s="9">
        <v>0.2286158631415241</v>
      </c>
    </row>
    <row r="36" spans="1:28" x14ac:dyDescent="0.25">
      <c r="A36" t="s">
        <v>46</v>
      </c>
      <c r="B36" t="s">
        <v>0</v>
      </c>
      <c r="C36">
        <v>63</v>
      </c>
      <c r="D36">
        <v>135</v>
      </c>
      <c r="E36">
        <v>3</v>
      </c>
      <c r="F36" t="s">
        <v>3</v>
      </c>
      <c r="I36" s="3">
        <v>13.78</v>
      </c>
      <c r="J36" s="9">
        <v>0.26200417536534448</v>
      </c>
      <c r="K36" s="11"/>
      <c r="M36" s="9"/>
      <c r="O36">
        <v>135</v>
      </c>
      <c r="R36" s="3">
        <v>3.16</v>
      </c>
      <c r="S36" s="9">
        <v>0.36671177266576455</v>
      </c>
      <c r="T36" s="11"/>
      <c r="U36" s="9"/>
      <c r="V36" s="11"/>
      <c r="W36" s="9"/>
      <c r="X36">
        <v>135</v>
      </c>
      <c r="AA36" s="3">
        <v>3.92</v>
      </c>
      <c r="AB36" s="9">
        <v>0.2286158631415241</v>
      </c>
    </row>
    <row r="37" spans="1:28" x14ac:dyDescent="0.25">
      <c r="A37" t="s">
        <v>46</v>
      </c>
      <c r="B37" t="s">
        <v>0</v>
      </c>
      <c r="C37">
        <v>63</v>
      </c>
      <c r="D37">
        <v>136</v>
      </c>
      <c r="E37">
        <v>35</v>
      </c>
      <c r="F37" t="s">
        <v>26</v>
      </c>
      <c r="I37" s="3">
        <v>14.2</v>
      </c>
      <c r="J37" s="9">
        <v>0.26200417536534448</v>
      </c>
      <c r="K37" s="11"/>
      <c r="M37" s="9"/>
      <c r="O37">
        <v>136</v>
      </c>
      <c r="R37" s="3">
        <v>3.4</v>
      </c>
      <c r="S37" s="9">
        <v>0.36671177266576455</v>
      </c>
      <c r="T37" s="11"/>
      <c r="U37" s="9"/>
      <c r="V37" s="11"/>
      <c r="W37" s="9"/>
      <c r="X37">
        <v>136</v>
      </c>
      <c r="AA37" s="3">
        <v>4.62</v>
      </c>
      <c r="AB37" s="9">
        <v>0.2286158631415241</v>
      </c>
    </row>
    <row r="38" spans="1:28" x14ac:dyDescent="0.25">
      <c r="A38" t="s">
        <v>46</v>
      </c>
      <c r="B38" t="s">
        <v>0</v>
      </c>
      <c r="C38">
        <v>63</v>
      </c>
      <c r="D38">
        <v>137</v>
      </c>
      <c r="E38">
        <v>36</v>
      </c>
      <c r="F38" t="s">
        <v>27</v>
      </c>
      <c r="G38">
        <v>818</v>
      </c>
      <c r="H38">
        <v>249</v>
      </c>
      <c r="I38" s="3">
        <v>14.9</v>
      </c>
      <c r="J38" s="9">
        <v>0.27608142493638677</v>
      </c>
      <c r="K38" s="11"/>
      <c r="M38" s="9"/>
      <c r="O38">
        <v>137</v>
      </c>
      <c r="P38">
        <v>807</v>
      </c>
      <c r="Q38">
        <v>320</v>
      </c>
      <c r="R38" s="3">
        <v>3.74</v>
      </c>
      <c r="S38" s="9">
        <v>0.37161290322580648</v>
      </c>
      <c r="T38" s="11"/>
      <c r="U38" s="9"/>
      <c r="V38" s="11"/>
      <c r="W38" s="9"/>
      <c r="X38">
        <v>137</v>
      </c>
      <c r="Y38">
        <v>751</v>
      </c>
      <c r="Z38">
        <v>197</v>
      </c>
      <c r="AA38" s="3">
        <v>4.5199999999999996</v>
      </c>
      <c r="AB38" s="9">
        <v>0.22948539638386647</v>
      </c>
    </row>
    <row r="39" spans="1:28" x14ac:dyDescent="0.25">
      <c r="A39" t="s">
        <v>46</v>
      </c>
      <c r="B39" t="s">
        <v>0</v>
      </c>
      <c r="C39">
        <v>63</v>
      </c>
      <c r="D39">
        <v>138</v>
      </c>
      <c r="E39">
        <v>20</v>
      </c>
      <c r="F39" t="s">
        <v>28</v>
      </c>
      <c r="I39" s="3">
        <v>12.1</v>
      </c>
      <c r="J39" s="9">
        <v>0.27608142493638677</v>
      </c>
      <c r="K39" s="11"/>
      <c r="M39" s="9"/>
      <c r="O39">
        <v>138</v>
      </c>
      <c r="R39" s="3">
        <v>3.6</v>
      </c>
      <c r="S39" s="9">
        <v>0.37161290322580648</v>
      </c>
      <c r="T39" s="11"/>
      <c r="U39" s="9"/>
      <c r="V39" s="11"/>
      <c r="W39" s="9"/>
      <c r="X39">
        <v>138</v>
      </c>
      <c r="AA39" s="3">
        <v>3.9</v>
      </c>
      <c r="AB39" s="9">
        <v>0.22948539638386647</v>
      </c>
    </row>
    <row r="40" spans="1:28" x14ac:dyDescent="0.25">
      <c r="A40" t="s">
        <v>46</v>
      </c>
      <c r="B40" t="s">
        <v>0</v>
      </c>
      <c r="C40">
        <v>63</v>
      </c>
      <c r="D40">
        <v>139</v>
      </c>
      <c r="E40">
        <v>31</v>
      </c>
      <c r="F40" t="s">
        <v>29</v>
      </c>
      <c r="I40" s="3">
        <v>12.54</v>
      </c>
      <c r="J40" s="9">
        <v>0.27608142493638677</v>
      </c>
      <c r="K40" s="11"/>
      <c r="M40" s="9"/>
      <c r="O40">
        <v>139</v>
      </c>
      <c r="R40" s="3">
        <v>3.58</v>
      </c>
      <c r="S40" s="9">
        <v>0.37161290322580648</v>
      </c>
      <c r="T40" s="11"/>
      <c r="U40" s="9"/>
      <c r="V40" s="11"/>
      <c r="W40" s="9"/>
      <c r="X40">
        <v>139</v>
      </c>
      <c r="AA40" s="3">
        <v>4.46</v>
      </c>
      <c r="AB40" s="9">
        <v>0.22948539638386647</v>
      </c>
    </row>
    <row r="41" spans="1:28" x14ac:dyDescent="0.25">
      <c r="A41" t="s">
        <v>46</v>
      </c>
      <c r="B41" t="s">
        <v>0</v>
      </c>
      <c r="C41">
        <v>63</v>
      </c>
      <c r="D41">
        <v>140</v>
      </c>
      <c r="E41">
        <v>5</v>
      </c>
      <c r="F41" t="s">
        <v>5</v>
      </c>
      <c r="I41" s="3">
        <v>12.15</v>
      </c>
      <c r="J41" s="9">
        <v>0.27608142493638677</v>
      </c>
      <c r="K41" s="11"/>
      <c r="M41" s="9"/>
      <c r="O41">
        <v>140</v>
      </c>
      <c r="R41" s="3">
        <v>3.46</v>
      </c>
      <c r="S41" s="9">
        <v>0.37161290322580648</v>
      </c>
      <c r="T41" s="11"/>
      <c r="U41" s="9"/>
      <c r="V41" s="11"/>
      <c r="W41" s="9"/>
      <c r="X41">
        <v>140</v>
      </c>
      <c r="AA41" s="3">
        <v>4.08</v>
      </c>
      <c r="AB41" s="9">
        <v>0.22948539638386647</v>
      </c>
    </row>
    <row r="42" spans="1:28" x14ac:dyDescent="0.25">
      <c r="A42" t="s">
        <v>46</v>
      </c>
      <c r="B42" t="s">
        <v>0</v>
      </c>
      <c r="C42">
        <v>63</v>
      </c>
      <c r="D42">
        <v>141</v>
      </c>
      <c r="E42">
        <v>32</v>
      </c>
      <c r="F42" t="s">
        <v>30</v>
      </c>
      <c r="G42">
        <v>921</v>
      </c>
      <c r="H42">
        <v>260</v>
      </c>
      <c r="I42" s="3">
        <v>12.12</v>
      </c>
      <c r="J42" s="9">
        <v>0.25646794150731156</v>
      </c>
      <c r="K42" s="11"/>
      <c r="M42" s="9"/>
      <c r="O42">
        <v>141</v>
      </c>
      <c r="P42">
        <v>667</v>
      </c>
      <c r="Q42">
        <v>273</v>
      </c>
      <c r="R42" s="3">
        <v>2.82</v>
      </c>
      <c r="S42" s="9">
        <v>0.37952755905511809</v>
      </c>
      <c r="T42" s="11"/>
      <c r="U42" s="9"/>
      <c r="V42" s="11"/>
      <c r="W42" s="9"/>
      <c r="X42">
        <v>141</v>
      </c>
      <c r="Y42">
        <v>563</v>
      </c>
      <c r="Z42">
        <v>156</v>
      </c>
      <c r="AA42" s="3">
        <v>3.78</v>
      </c>
      <c r="AB42" s="9">
        <v>0.2335216572504708</v>
      </c>
    </row>
    <row r="43" spans="1:28" x14ac:dyDescent="0.25">
      <c r="A43" t="s">
        <v>46</v>
      </c>
      <c r="B43" t="s">
        <v>0</v>
      </c>
      <c r="C43">
        <v>63</v>
      </c>
      <c r="D43">
        <v>142</v>
      </c>
      <c r="E43">
        <v>8</v>
      </c>
      <c r="F43" t="s">
        <v>31</v>
      </c>
      <c r="I43" s="3">
        <v>11.94</v>
      </c>
      <c r="J43" s="9">
        <v>0.25646794150731156</v>
      </c>
      <c r="K43" s="11"/>
      <c r="M43" s="9"/>
      <c r="O43">
        <v>142</v>
      </c>
      <c r="R43" s="3">
        <v>2.9</v>
      </c>
      <c r="S43" s="9">
        <v>0.37952755905511809</v>
      </c>
      <c r="T43" s="11"/>
      <c r="U43" s="9"/>
      <c r="V43" s="11"/>
      <c r="W43" s="9"/>
      <c r="X43">
        <v>142</v>
      </c>
      <c r="AA43" s="3">
        <v>4.04</v>
      </c>
      <c r="AB43" s="9">
        <v>0.2335216572504708</v>
      </c>
    </row>
    <row r="44" spans="1:28" x14ac:dyDescent="0.25">
      <c r="A44" t="s">
        <v>46</v>
      </c>
      <c r="B44" t="s">
        <v>0</v>
      </c>
      <c r="C44">
        <v>63</v>
      </c>
      <c r="D44">
        <v>143</v>
      </c>
      <c r="E44">
        <v>6</v>
      </c>
      <c r="F44" t="s">
        <v>1</v>
      </c>
      <c r="I44" s="3">
        <v>12.32</v>
      </c>
      <c r="J44" s="9">
        <v>0.25646794150731156</v>
      </c>
      <c r="K44" s="11"/>
      <c r="M44" s="9"/>
      <c r="O44">
        <v>143</v>
      </c>
      <c r="R44" s="3">
        <v>2.72</v>
      </c>
      <c r="S44" s="9">
        <v>0.37952755905511809</v>
      </c>
      <c r="T44" s="11"/>
      <c r="U44" s="9"/>
      <c r="V44" s="11"/>
      <c r="W44" s="9"/>
      <c r="X44">
        <v>143</v>
      </c>
      <c r="AA44" s="3">
        <v>3.88</v>
      </c>
      <c r="AB44" s="9">
        <v>0.2335216572504708</v>
      </c>
    </row>
    <row r="45" spans="1:28" x14ac:dyDescent="0.25">
      <c r="A45" t="s">
        <v>46</v>
      </c>
      <c r="B45" t="s">
        <v>0</v>
      </c>
      <c r="C45">
        <v>63</v>
      </c>
      <c r="D45">
        <v>144</v>
      </c>
      <c r="E45">
        <v>24</v>
      </c>
      <c r="F45" t="s">
        <v>32</v>
      </c>
      <c r="I45" s="3">
        <v>14.16</v>
      </c>
      <c r="J45" s="9">
        <v>0.25646794150731156</v>
      </c>
      <c r="K45" s="11"/>
      <c r="M45" s="9"/>
      <c r="O45">
        <v>144</v>
      </c>
      <c r="R45" s="3">
        <v>3.06</v>
      </c>
      <c r="S45" s="9">
        <v>0.37952755905511809</v>
      </c>
      <c r="T45" s="11"/>
      <c r="U45" s="9"/>
      <c r="V45" s="11"/>
      <c r="W45" s="9"/>
      <c r="X45">
        <v>144</v>
      </c>
      <c r="AA45" s="3">
        <v>4.5199999999999996</v>
      </c>
      <c r="AB45" s="9">
        <v>0.2335216572504708</v>
      </c>
    </row>
    <row r="46" spans="1:28" x14ac:dyDescent="0.25">
      <c r="A46" t="s">
        <v>46</v>
      </c>
      <c r="B46" t="s">
        <v>0</v>
      </c>
      <c r="C46">
        <v>63</v>
      </c>
      <c r="D46">
        <v>145</v>
      </c>
      <c r="E46">
        <v>12</v>
      </c>
      <c r="F46" t="s">
        <v>33</v>
      </c>
      <c r="G46">
        <v>953</v>
      </c>
      <c r="H46">
        <v>266</v>
      </c>
      <c r="I46" s="3">
        <v>15.98</v>
      </c>
      <c r="J46" s="9">
        <v>0.25407166123778502</v>
      </c>
      <c r="K46" s="11"/>
      <c r="M46" s="9"/>
      <c r="O46">
        <v>145</v>
      </c>
      <c r="P46">
        <v>641</v>
      </c>
      <c r="Q46">
        <v>263</v>
      </c>
      <c r="R46" s="3">
        <v>3.6</v>
      </c>
      <c r="S46" s="9">
        <v>0.37931034482758619</v>
      </c>
      <c r="T46" s="11"/>
      <c r="U46" s="9"/>
      <c r="V46" s="11"/>
      <c r="W46" s="9"/>
      <c r="X46">
        <v>145</v>
      </c>
      <c r="Y46">
        <v>681</v>
      </c>
      <c r="Z46">
        <v>182</v>
      </c>
      <c r="AA46" s="3">
        <v>4.0199999999999996</v>
      </c>
      <c r="AB46" s="9">
        <v>0.23112480739599384</v>
      </c>
    </row>
    <row r="47" spans="1:28" x14ac:dyDescent="0.25">
      <c r="A47" t="s">
        <v>46</v>
      </c>
      <c r="B47" t="s">
        <v>0</v>
      </c>
      <c r="C47">
        <v>63</v>
      </c>
      <c r="D47">
        <v>146</v>
      </c>
      <c r="E47">
        <v>34</v>
      </c>
      <c r="F47" t="s">
        <v>34</v>
      </c>
      <c r="I47" s="3">
        <v>17.02</v>
      </c>
      <c r="J47" s="9">
        <v>0.25407166123778502</v>
      </c>
      <c r="K47" s="11"/>
      <c r="M47" s="9"/>
      <c r="O47">
        <v>146</v>
      </c>
      <c r="R47" s="3">
        <v>4.0199999999999996</v>
      </c>
      <c r="S47" s="9">
        <v>0.37931034482758619</v>
      </c>
      <c r="T47" s="11"/>
      <c r="U47" s="9"/>
      <c r="V47" s="11"/>
      <c r="W47" s="9"/>
      <c r="X47">
        <v>146</v>
      </c>
      <c r="AA47" s="3">
        <v>4.4800000000000004</v>
      </c>
      <c r="AB47" s="9">
        <v>0.23112480739599384</v>
      </c>
    </row>
    <row r="48" spans="1:28" x14ac:dyDescent="0.25">
      <c r="A48" t="s">
        <v>46</v>
      </c>
      <c r="B48" t="s">
        <v>0</v>
      </c>
      <c r="C48">
        <v>63</v>
      </c>
      <c r="D48">
        <v>147</v>
      </c>
      <c r="E48">
        <v>10</v>
      </c>
      <c r="F48" t="s">
        <v>35</v>
      </c>
      <c r="I48" s="3">
        <v>14.92</v>
      </c>
      <c r="J48" s="9">
        <v>0.25407166123778502</v>
      </c>
      <c r="K48" s="11"/>
      <c r="M48" s="9"/>
      <c r="O48">
        <v>147</v>
      </c>
      <c r="R48" s="3">
        <v>3.08</v>
      </c>
      <c r="S48" s="9">
        <v>0.37931034482758619</v>
      </c>
      <c r="T48" s="11"/>
      <c r="U48" s="9"/>
      <c r="V48" s="11"/>
      <c r="W48" s="9"/>
      <c r="X48">
        <v>147</v>
      </c>
      <c r="AA48" s="3">
        <v>3.94</v>
      </c>
      <c r="AB48" s="9">
        <v>0.23112480739599384</v>
      </c>
    </row>
    <row r="49" spans="1:28" x14ac:dyDescent="0.25">
      <c r="A49" t="s">
        <v>46</v>
      </c>
      <c r="B49" t="s">
        <v>0</v>
      </c>
      <c r="C49">
        <v>63</v>
      </c>
      <c r="D49">
        <v>148</v>
      </c>
      <c r="E49">
        <v>23</v>
      </c>
      <c r="F49" t="s">
        <v>36</v>
      </c>
      <c r="I49" s="3">
        <v>13.16</v>
      </c>
      <c r="J49" s="9">
        <v>0.25407166123778502</v>
      </c>
      <c r="K49" s="11"/>
      <c r="M49" s="9"/>
      <c r="O49">
        <v>148</v>
      </c>
      <c r="R49" s="3">
        <v>2.52</v>
      </c>
      <c r="S49" s="9">
        <v>0.37931034482758619</v>
      </c>
      <c r="T49" s="11"/>
      <c r="U49" s="9"/>
      <c r="V49" s="11"/>
      <c r="W49" s="9"/>
      <c r="X49">
        <v>148</v>
      </c>
      <c r="AA49" s="3">
        <v>3.96</v>
      </c>
      <c r="AB49" s="9">
        <v>0.23112480739599384</v>
      </c>
    </row>
    <row r="50" spans="1:28" x14ac:dyDescent="0.25">
      <c r="A50" t="s">
        <v>46</v>
      </c>
      <c r="B50" t="s">
        <v>0</v>
      </c>
      <c r="C50">
        <v>63</v>
      </c>
      <c r="D50">
        <v>201</v>
      </c>
      <c r="E50">
        <v>6</v>
      </c>
      <c r="F50" t="s">
        <v>1</v>
      </c>
      <c r="G50">
        <v>893</v>
      </c>
      <c r="H50">
        <v>256</v>
      </c>
      <c r="I50" s="3">
        <v>10.56</v>
      </c>
      <c r="J50" s="9">
        <v>0.26016260162601629</v>
      </c>
      <c r="K50" s="11">
        <v>116</v>
      </c>
      <c r="L50" s="3">
        <f>(I50+(((K50-32)/454)/J50))</f>
        <v>11.271178414096916</v>
      </c>
      <c r="M50" s="9"/>
      <c r="O50">
        <v>201</v>
      </c>
      <c r="S50" s="9"/>
      <c r="T50" s="11"/>
      <c r="U50" s="9"/>
      <c r="V50" s="11"/>
      <c r="W50" s="9"/>
      <c r="X50">
        <v>201</v>
      </c>
      <c r="Y50">
        <v>869</v>
      </c>
      <c r="Z50">
        <v>170</v>
      </c>
      <c r="AA50" s="3">
        <v>4.9800000000000004</v>
      </c>
      <c r="AB50" s="9">
        <v>0.16487455197132617</v>
      </c>
    </row>
    <row r="51" spans="1:28" x14ac:dyDescent="0.25">
      <c r="A51" t="s">
        <v>46</v>
      </c>
      <c r="B51" t="s">
        <v>0</v>
      </c>
      <c r="C51">
        <v>63</v>
      </c>
      <c r="D51">
        <v>202</v>
      </c>
      <c r="E51">
        <v>5</v>
      </c>
      <c r="F51" t="s">
        <v>5</v>
      </c>
      <c r="I51" s="3">
        <v>10.36</v>
      </c>
      <c r="J51" s="9">
        <v>0.26016260162601629</v>
      </c>
      <c r="K51" s="11">
        <v>72</v>
      </c>
      <c r="L51" s="3">
        <f t="shared" ref="L51:L114" si="0">(I51+(((K51-32)/454)/J51))</f>
        <v>10.698656387665197</v>
      </c>
      <c r="M51" s="9"/>
      <c r="O51">
        <v>202</v>
      </c>
      <c r="S51" s="9"/>
      <c r="T51" s="11"/>
      <c r="U51" s="9"/>
      <c r="V51" s="11"/>
      <c r="W51" s="9"/>
      <c r="X51">
        <v>202</v>
      </c>
      <c r="AA51" s="3">
        <v>5.82</v>
      </c>
      <c r="AB51" s="9">
        <v>0.16487455197132617</v>
      </c>
    </row>
    <row r="52" spans="1:28" x14ac:dyDescent="0.25">
      <c r="A52" t="s">
        <v>46</v>
      </c>
      <c r="B52" t="s">
        <v>0</v>
      </c>
      <c r="C52">
        <v>63</v>
      </c>
      <c r="D52">
        <v>203</v>
      </c>
      <c r="E52">
        <v>4</v>
      </c>
      <c r="F52" t="s">
        <v>2</v>
      </c>
      <c r="I52" s="3">
        <v>10.28</v>
      </c>
      <c r="J52" s="9">
        <v>0.26016260162601629</v>
      </c>
      <c r="K52" s="11">
        <v>89</v>
      </c>
      <c r="L52" s="3">
        <f t="shared" si="0"/>
        <v>10.762585352422906</v>
      </c>
      <c r="M52" s="9"/>
      <c r="O52">
        <v>203</v>
      </c>
      <c r="S52" s="9"/>
      <c r="T52" s="11"/>
      <c r="U52" s="9"/>
      <c r="V52" s="11"/>
      <c r="W52" s="9"/>
      <c r="X52">
        <v>203</v>
      </c>
      <c r="AA52" s="3">
        <v>6.2</v>
      </c>
      <c r="AB52" s="9">
        <v>0.16487455197132617</v>
      </c>
    </row>
    <row r="53" spans="1:28" x14ac:dyDescent="0.25">
      <c r="A53" t="s">
        <v>46</v>
      </c>
      <c r="B53" t="s">
        <v>0</v>
      </c>
      <c r="C53">
        <v>63</v>
      </c>
      <c r="D53">
        <v>204</v>
      </c>
      <c r="E53">
        <v>2</v>
      </c>
      <c r="F53" t="s">
        <v>4</v>
      </c>
      <c r="I53" s="3">
        <v>12.18</v>
      </c>
      <c r="J53" s="9">
        <v>0.26016260162601629</v>
      </c>
      <c r="K53" s="11">
        <v>119</v>
      </c>
      <c r="L53" s="3">
        <f t="shared" si="0"/>
        <v>12.916577643171806</v>
      </c>
      <c r="M53" s="9"/>
      <c r="O53">
        <v>204</v>
      </c>
      <c r="S53" s="9"/>
      <c r="T53" s="11"/>
      <c r="U53" s="9"/>
      <c r="V53" s="11"/>
      <c r="W53" s="9"/>
      <c r="X53">
        <v>204</v>
      </c>
      <c r="AA53" s="3">
        <v>5.62</v>
      </c>
      <c r="AB53" s="9">
        <v>0.16487455197132617</v>
      </c>
    </row>
    <row r="54" spans="1:28" x14ac:dyDescent="0.25">
      <c r="A54" t="s">
        <v>46</v>
      </c>
      <c r="B54" t="s">
        <v>0</v>
      </c>
      <c r="C54">
        <v>63</v>
      </c>
      <c r="D54">
        <v>205</v>
      </c>
      <c r="E54">
        <v>1</v>
      </c>
      <c r="F54" t="s">
        <v>6</v>
      </c>
      <c r="G54">
        <v>739</v>
      </c>
      <c r="H54">
        <v>213</v>
      </c>
      <c r="I54" s="3">
        <v>11.46</v>
      </c>
      <c r="J54" s="9">
        <v>0.25601131541725602</v>
      </c>
      <c r="K54" s="11">
        <v>108</v>
      </c>
      <c r="L54" s="3">
        <f t="shared" si="0"/>
        <v>12.113880789544138</v>
      </c>
      <c r="M54" s="9"/>
      <c r="O54">
        <v>205</v>
      </c>
      <c r="S54" s="9"/>
      <c r="T54" s="11"/>
      <c r="U54" s="9"/>
      <c r="V54" s="11"/>
      <c r="W54" s="9"/>
      <c r="X54">
        <v>205</v>
      </c>
      <c r="Y54">
        <v>803</v>
      </c>
      <c r="Z54">
        <v>164</v>
      </c>
      <c r="AA54" s="3">
        <v>5.8</v>
      </c>
      <c r="AB54" s="9">
        <v>0.17120622568093385</v>
      </c>
    </row>
    <row r="55" spans="1:28" x14ac:dyDescent="0.25">
      <c r="A55" t="s">
        <v>46</v>
      </c>
      <c r="B55" t="s">
        <v>0</v>
      </c>
      <c r="C55">
        <v>63</v>
      </c>
      <c r="D55">
        <v>206</v>
      </c>
      <c r="E55">
        <v>3</v>
      </c>
      <c r="F55" t="s">
        <v>3</v>
      </c>
      <c r="I55" s="3">
        <v>11.1</v>
      </c>
      <c r="J55" s="9">
        <v>0.25601131541725602</v>
      </c>
      <c r="K55" s="11">
        <v>96</v>
      </c>
      <c r="L55" s="3">
        <f t="shared" si="0"/>
        <v>11.650636454352957</v>
      </c>
      <c r="M55" s="9"/>
      <c r="O55">
        <v>206</v>
      </c>
      <c r="S55" s="9"/>
      <c r="T55" s="11"/>
      <c r="U55" s="9"/>
      <c r="V55" s="11"/>
      <c r="W55" s="9"/>
      <c r="X55">
        <v>206</v>
      </c>
      <c r="AA55" s="3">
        <v>5.28</v>
      </c>
      <c r="AB55" s="9">
        <v>0.17120622568093385</v>
      </c>
    </row>
    <row r="56" spans="1:28" x14ac:dyDescent="0.25">
      <c r="A56" t="s">
        <v>46</v>
      </c>
      <c r="B56" t="s">
        <v>0</v>
      </c>
      <c r="C56">
        <v>63</v>
      </c>
      <c r="D56">
        <v>207</v>
      </c>
      <c r="E56">
        <v>1</v>
      </c>
      <c r="F56" t="s">
        <v>6</v>
      </c>
      <c r="I56" s="3">
        <v>11.88</v>
      </c>
      <c r="J56" s="9">
        <v>0.25601131541725602</v>
      </c>
      <c r="K56" s="11">
        <v>87</v>
      </c>
      <c r="L56" s="3">
        <f t="shared" si="0"/>
        <v>12.353203202959575</v>
      </c>
      <c r="M56" s="9"/>
      <c r="O56">
        <v>207</v>
      </c>
      <c r="S56" s="9"/>
      <c r="T56" s="11"/>
      <c r="U56" s="9"/>
      <c r="V56" s="11"/>
      <c r="W56" s="9"/>
      <c r="X56">
        <v>207</v>
      </c>
      <c r="AA56" s="3">
        <v>6.64</v>
      </c>
      <c r="AB56" s="9">
        <v>0.17120622568093385</v>
      </c>
    </row>
    <row r="57" spans="1:28" x14ac:dyDescent="0.25">
      <c r="A57" t="s">
        <v>46</v>
      </c>
      <c r="B57" t="s">
        <v>0</v>
      </c>
      <c r="C57">
        <v>63</v>
      </c>
      <c r="D57">
        <v>208</v>
      </c>
      <c r="E57">
        <v>5</v>
      </c>
      <c r="F57" t="s">
        <v>5</v>
      </c>
      <c r="I57" s="3">
        <v>12.04</v>
      </c>
      <c r="J57" s="9">
        <v>0.25601131541725602</v>
      </c>
      <c r="K57" s="11">
        <v>108</v>
      </c>
      <c r="L57" s="3">
        <f t="shared" si="0"/>
        <v>12.693880789544137</v>
      </c>
      <c r="M57" s="9"/>
      <c r="O57">
        <v>208</v>
      </c>
      <c r="S57" s="9"/>
      <c r="T57" s="11"/>
      <c r="U57" s="9"/>
      <c r="V57" s="11"/>
      <c r="W57" s="9"/>
      <c r="X57">
        <v>208</v>
      </c>
      <c r="AA57" s="3">
        <v>6.44</v>
      </c>
      <c r="AB57" s="9">
        <v>0.17120622568093385</v>
      </c>
    </row>
    <row r="58" spans="1:28" x14ac:dyDescent="0.25">
      <c r="A58" t="s">
        <v>46</v>
      </c>
      <c r="B58" t="s">
        <v>0</v>
      </c>
      <c r="C58">
        <v>63</v>
      </c>
      <c r="D58">
        <v>209</v>
      </c>
      <c r="E58">
        <v>3</v>
      </c>
      <c r="F58" t="s">
        <v>3</v>
      </c>
      <c r="G58">
        <v>832</v>
      </c>
      <c r="H58">
        <v>251</v>
      </c>
      <c r="I58" s="3">
        <v>14.02</v>
      </c>
      <c r="J58" s="9">
        <v>0.27374999999999999</v>
      </c>
      <c r="K58" s="11">
        <v>91</v>
      </c>
      <c r="L58" s="3">
        <f t="shared" si="0"/>
        <v>14.494724921046808</v>
      </c>
      <c r="M58" s="9"/>
      <c r="O58">
        <v>209</v>
      </c>
      <c r="S58" s="9"/>
      <c r="T58" s="11"/>
      <c r="U58" s="9"/>
      <c r="V58" s="11"/>
      <c r="W58" s="9"/>
      <c r="X58">
        <v>209</v>
      </c>
      <c r="Y58">
        <v>836</v>
      </c>
      <c r="Z58">
        <v>163</v>
      </c>
      <c r="AA58" s="3">
        <v>5.92</v>
      </c>
      <c r="AB58" s="9">
        <v>0.16293532338308458</v>
      </c>
    </row>
    <row r="59" spans="1:28" x14ac:dyDescent="0.25">
      <c r="A59" t="s">
        <v>46</v>
      </c>
      <c r="B59" t="s">
        <v>0</v>
      </c>
      <c r="C59">
        <v>63</v>
      </c>
      <c r="D59">
        <v>210</v>
      </c>
      <c r="E59">
        <v>4</v>
      </c>
      <c r="F59" t="s">
        <v>2</v>
      </c>
      <c r="I59" s="3">
        <v>12.38</v>
      </c>
      <c r="J59" s="9">
        <v>0.27374999999999999</v>
      </c>
      <c r="K59" s="11">
        <v>88</v>
      </c>
      <c r="L59" s="3">
        <f t="shared" si="0"/>
        <v>12.830586365739345</v>
      </c>
      <c r="M59" s="9"/>
      <c r="O59">
        <v>210</v>
      </c>
      <c r="S59" s="9"/>
      <c r="T59" s="11"/>
      <c r="U59" s="9"/>
      <c r="V59" s="11"/>
      <c r="W59" s="9"/>
      <c r="X59">
        <v>210</v>
      </c>
      <c r="AA59" s="3">
        <v>6.28</v>
      </c>
      <c r="AB59" s="9">
        <v>0.16293532338308458</v>
      </c>
    </row>
    <row r="60" spans="1:28" x14ac:dyDescent="0.25">
      <c r="A60" t="s">
        <v>46</v>
      </c>
      <c r="B60" t="s">
        <v>0</v>
      </c>
      <c r="C60">
        <v>63</v>
      </c>
      <c r="D60">
        <v>211</v>
      </c>
      <c r="E60">
        <v>6</v>
      </c>
      <c r="F60" t="s">
        <v>1</v>
      </c>
      <c r="I60" s="3">
        <v>12.48</v>
      </c>
      <c r="J60" s="9">
        <v>0.27374999999999999</v>
      </c>
      <c r="K60" s="11">
        <v>114</v>
      </c>
      <c r="L60" s="3">
        <f t="shared" si="0"/>
        <v>13.13978717840404</v>
      </c>
      <c r="M60" s="9"/>
      <c r="O60">
        <v>211</v>
      </c>
      <c r="S60" s="9"/>
      <c r="T60" s="11"/>
      <c r="U60" s="9"/>
      <c r="V60" s="11"/>
      <c r="W60" s="9"/>
      <c r="X60">
        <v>211</v>
      </c>
      <c r="AA60" s="3">
        <v>5.54</v>
      </c>
      <c r="AB60" s="9">
        <v>0.16293532338308458</v>
      </c>
    </row>
    <row r="61" spans="1:28" x14ac:dyDescent="0.25">
      <c r="A61" t="s">
        <v>46</v>
      </c>
      <c r="B61" t="s">
        <v>0</v>
      </c>
      <c r="C61">
        <v>63</v>
      </c>
      <c r="D61">
        <v>212</v>
      </c>
      <c r="E61">
        <v>2</v>
      </c>
      <c r="F61" t="s">
        <v>4</v>
      </c>
      <c r="I61" s="3">
        <v>13.44</v>
      </c>
      <c r="J61" s="9">
        <v>0.27374999999999999</v>
      </c>
      <c r="K61" s="11">
        <v>99</v>
      </c>
      <c r="L61" s="3">
        <f t="shared" si="0"/>
        <v>13.979094401866714</v>
      </c>
      <c r="M61" s="9"/>
      <c r="O61">
        <v>212</v>
      </c>
      <c r="S61" s="9"/>
      <c r="T61" s="11"/>
      <c r="U61" s="9"/>
      <c r="V61" s="11"/>
      <c r="W61" s="9"/>
      <c r="X61">
        <v>212</v>
      </c>
      <c r="AA61" s="3">
        <v>6.58</v>
      </c>
      <c r="AB61" s="9">
        <v>0.16293532338308458</v>
      </c>
    </row>
    <row r="62" spans="1:28" x14ac:dyDescent="0.25">
      <c r="A62" t="s">
        <v>46</v>
      </c>
      <c r="B62" t="s">
        <v>0</v>
      </c>
      <c r="C62">
        <v>63</v>
      </c>
      <c r="D62">
        <v>213</v>
      </c>
      <c r="E62">
        <v>24</v>
      </c>
      <c r="F62" t="s">
        <v>32</v>
      </c>
      <c r="G62">
        <v>894</v>
      </c>
      <c r="H62">
        <v>245</v>
      </c>
      <c r="I62" s="3">
        <v>12.76</v>
      </c>
      <c r="J62" s="9">
        <v>0.24709976798143851</v>
      </c>
      <c r="K62" s="11">
        <v>103</v>
      </c>
      <c r="L62" s="3">
        <f t="shared" si="0"/>
        <v>13.392892804698972</v>
      </c>
      <c r="M62" s="9"/>
      <c r="O62">
        <v>213</v>
      </c>
      <c r="P62">
        <v>582</v>
      </c>
      <c r="Q62">
        <v>255</v>
      </c>
      <c r="R62" s="3">
        <v>2.86</v>
      </c>
      <c r="S62" s="9">
        <v>0.40545454545454546</v>
      </c>
      <c r="T62" s="11">
        <v>139</v>
      </c>
      <c r="U62" s="3">
        <f t="shared" ref="U62:U97" si="1">(R62+(((T62-32)/454)/S62))</f>
        <v>3.4412804962367396</v>
      </c>
      <c r="V62" s="11"/>
      <c r="W62" s="9"/>
      <c r="X62">
        <v>213</v>
      </c>
      <c r="Y62">
        <v>944</v>
      </c>
      <c r="Z62">
        <v>204</v>
      </c>
      <c r="AA62" s="3">
        <v>6.32</v>
      </c>
      <c r="AB62" s="9">
        <v>0.18859649122807018</v>
      </c>
    </row>
    <row r="63" spans="1:28" x14ac:dyDescent="0.25">
      <c r="A63" t="s">
        <v>46</v>
      </c>
      <c r="B63" t="s">
        <v>0</v>
      </c>
      <c r="C63">
        <v>63</v>
      </c>
      <c r="D63">
        <v>214</v>
      </c>
      <c r="E63">
        <v>31</v>
      </c>
      <c r="F63" t="s">
        <v>29</v>
      </c>
      <c r="I63" s="3">
        <v>11.64</v>
      </c>
      <c r="J63" s="9">
        <v>0.24709976798143851</v>
      </c>
      <c r="K63" s="11">
        <v>98</v>
      </c>
      <c r="L63" s="3">
        <f t="shared" si="0"/>
        <v>12.228322888875102</v>
      </c>
      <c r="M63" s="9"/>
      <c r="O63">
        <v>214</v>
      </c>
      <c r="R63" s="3">
        <v>3.26</v>
      </c>
      <c r="S63" s="9">
        <v>0.40545454545454546</v>
      </c>
      <c r="T63" s="11">
        <v>105</v>
      </c>
      <c r="U63" s="3">
        <f t="shared" si="1"/>
        <v>3.6565745441615136</v>
      </c>
      <c r="V63" s="11"/>
      <c r="W63" s="9"/>
      <c r="X63">
        <v>214</v>
      </c>
      <c r="AA63" s="3">
        <v>7.5</v>
      </c>
      <c r="AB63" s="9">
        <v>0.18859649122807018</v>
      </c>
    </row>
    <row r="64" spans="1:28" x14ac:dyDescent="0.25">
      <c r="A64" t="s">
        <v>46</v>
      </c>
      <c r="B64" t="s">
        <v>0</v>
      </c>
      <c r="C64">
        <v>63</v>
      </c>
      <c r="D64">
        <v>215</v>
      </c>
      <c r="E64">
        <v>8</v>
      </c>
      <c r="F64" t="s">
        <v>31</v>
      </c>
      <c r="I64" s="3">
        <v>12.76</v>
      </c>
      <c r="J64" s="9">
        <v>0.24709976798143851</v>
      </c>
      <c r="K64" s="11">
        <v>96</v>
      </c>
      <c r="L64" s="3">
        <f t="shared" si="0"/>
        <v>13.330494922545553</v>
      </c>
      <c r="M64" s="9"/>
      <c r="O64">
        <v>215</v>
      </c>
      <c r="R64" s="3">
        <v>3.14</v>
      </c>
      <c r="S64" s="9">
        <v>0.40545454545454546</v>
      </c>
      <c r="T64" s="11">
        <v>158</v>
      </c>
      <c r="U64" s="3">
        <f t="shared" si="1"/>
        <v>3.8244985282787778</v>
      </c>
      <c r="V64" s="11"/>
      <c r="W64" s="9"/>
      <c r="X64">
        <v>215</v>
      </c>
      <c r="AA64" s="3">
        <v>5.74</v>
      </c>
      <c r="AB64" s="9">
        <v>0.18859649122807018</v>
      </c>
    </row>
    <row r="65" spans="1:30" x14ac:dyDescent="0.25">
      <c r="A65" t="s">
        <v>46</v>
      </c>
      <c r="B65" t="s">
        <v>0</v>
      </c>
      <c r="C65">
        <v>63</v>
      </c>
      <c r="D65">
        <v>216</v>
      </c>
      <c r="E65">
        <v>29</v>
      </c>
      <c r="F65" t="s">
        <v>11</v>
      </c>
      <c r="I65" s="3">
        <v>13.14</v>
      </c>
      <c r="J65" s="9">
        <v>0.24709976798143851</v>
      </c>
      <c r="K65" s="11">
        <v>104</v>
      </c>
      <c r="L65" s="3">
        <f t="shared" si="0"/>
        <v>13.781806787863747</v>
      </c>
      <c r="M65" s="9"/>
      <c r="O65">
        <v>216</v>
      </c>
      <c r="R65" s="3">
        <v>3.16</v>
      </c>
      <c r="S65" s="9">
        <v>0.40545454545454546</v>
      </c>
      <c r="T65" s="11">
        <v>146</v>
      </c>
      <c r="U65" s="3">
        <f t="shared" si="1"/>
        <v>3.7793081922522274</v>
      </c>
      <c r="V65" s="11"/>
      <c r="W65" s="9"/>
      <c r="X65">
        <v>216</v>
      </c>
      <c r="AA65" s="3">
        <v>6.1</v>
      </c>
      <c r="AB65" s="9">
        <v>0.18859649122807018</v>
      </c>
    </row>
    <row r="66" spans="1:30" x14ac:dyDescent="0.25">
      <c r="A66" t="s">
        <v>46</v>
      </c>
      <c r="B66" t="s">
        <v>0</v>
      </c>
      <c r="C66">
        <v>63</v>
      </c>
      <c r="D66">
        <v>217</v>
      </c>
      <c r="E66">
        <v>26</v>
      </c>
      <c r="F66" t="s">
        <v>21</v>
      </c>
      <c r="G66">
        <v>859</v>
      </c>
      <c r="H66">
        <v>240</v>
      </c>
      <c r="I66" s="3">
        <v>14.58</v>
      </c>
      <c r="J66" s="9">
        <v>0.25151148730350664</v>
      </c>
      <c r="K66" s="11">
        <v>114</v>
      </c>
      <c r="L66" s="3">
        <f t="shared" si="0"/>
        <v>15.298125211792613</v>
      </c>
      <c r="M66" s="9"/>
      <c r="O66">
        <v>217</v>
      </c>
      <c r="P66">
        <v>706</v>
      </c>
      <c r="Q66">
        <v>292</v>
      </c>
      <c r="R66" s="3">
        <v>3.1</v>
      </c>
      <c r="S66" s="9">
        <v>0.3857566765578635</v>
      </c>
      <c r="T66" s="11">
        <v>114</v>
      </c>
      <c r="U66" s="3">
        <f t="shared" si="1"/>
        <v>3.5682141646899357</v>
      </c>
      <c r="V66" s="11"/>
      <c r="W66" s="9"/>
      <c r="X66">
        <v>217</v>
      </c>
      <c r="Y66">
        <v>841</v>
      </c>
      <c r="Z66">
        <v>183</v>
      </c>
      <c r="AA66" s="3">
        <v>6.32</v>
      </c>
      <c r="AB66" s="9">
        <v>0.18665018541409148</v>
      </c>
    </row>
    <row r="67" spans="1:30" x14ac:dyDescent="0.25">
      <c r="A67" t="s">
        <v>46</v>
      </c>
      <c r="B67" t="s">
        <v>0</v>
      </c>
      <c r="C67">
        <v>63</v>
      </c>
      <c r="D67">
        <v>218</v>
      </c>
      <c r="E67">
        <v>28</v>
      </c>
      <c r="F67" t="s">
        <v>13</v>
      </c>
      <c r="I67" s="3">
        <v>11.72</v>
      </c>
      <c r="J67" s="9">
        <v>0.25151148730350664</v>
      </c>
      <c r="K67" s="11">
        <v>98</v>
      </c>
      <c r="L67" s="3">
        <f t="shared" si="0"/>
        <v>12.298003219247713</v>
      </c>
      <c r="M67" s="9"/>
      <c r="O67">
        <v>218</v>
      </c>
      <c r="R67" s="3">
        <v>3.88</v>
      </c>
      <c r="S67" s="9">
        <v>0.3857566765578635</v>
      </c>
      <c r="T67" s="11">
        <v>170</v>
      </c>
      <c r="U67" s="3">
        <f t="shared" si="1"/>
        <v>4.6679701796001352</v>
      </c>
      <c r="V67" s="11"/>
      <c r="W67" s="9"/>
      <c r="X67">
        <v>218</v>
      </c>
      <c r="AA67" s="3">
        <v>6.48</v>
      </c>
      <c r="AB67" s="9">
        <v>0.18665018541409148</v>
      </c>
    </row>
    <row r="68" spans="1:30" x14ac:dyDescent="0.25">
      <c r="A68" t="s">
        <v>46</v>
      </c>
      <c r="B68" t="s">
        <v>0</v>
      </c>
      <c r="C68">
        <v>63</v>
      </c>
      <c r="D68">
        <v>219</v>
      </c>
      <c r="E68">
        <v>9</v>
      </c>
      <c r="F68" t="s">
        <v>19</v>
      </c>
      <c r="I68" s="3">
        <v>11.72</v>
      </c>
      <c r="J68" s="9">
        <v>0.25151148730350664</v>
      </c>
      <c r="K68" s="11">
        <v>109</v>
      </c>
      <c r="L68" s="3">
        <f t="shared" si="0"/>
        <v>12.394337089122333</v>
      </c>
      <c r="M68" s="9"/>
      <c r="O68">
        <v>219</v>
      </c>
      <c r="R68" s="3">
        <v>4.16</v>
      </c>
      <c r="S68" s="9">
        <v>0.3857566765578635</v>
      </c>
      <c r="T68" s="11">
        <v>136</v>
      </c>
      <c r="U68" s="3">
        <f t="shared" si="1"/>
        <v>4.753832599118943</v>
      </c>
      <c r="V68" s="11"/>
      <c r="W68" s="9"/>
      <c r="X68">
        <v>219</v>
      </c>
      <c r="AA68" s="3">
        <v>7.04</v>
      </c>
      <c r="AB68" s="9">
        <v>0.18665018541409148</v>
      </c>
    </row>
    <row r="69" spans="1:30" x14ac:dyDescent="0.25">
      <c r="A69" t="s">
        <v>46</v>
      </c>
      <c r="B69" t="s">
        <v>0</v>
      </c>
      <c r="C69">
        <v>63</v>
      </c>
      <c r="D69">
        <v>220</v>
      </c>
      <c r="E69">
        <v>18</v>
      </c>
      <c r="F69" t="s">
        <v>18</v>
      </c>
      <c r="I69" s="3">
        <v>10.74</v>
      </c>
      <c r="J69" s="9">
        <v>0.25151148730350664</v>
      </c>
      <c r="K69" s="11">
        <v>95</v>
      </c>
      <c r="L69" s="3">
        <f t="shared" si="0"/>
        <v>11.291730345645544</v>
      </c>
      <c r="M69" s="9"/>
      <c r="O69">
        <v>220</v>
      </c>
      <c r="R69" s="3">
        <v>3.92</v>
      </c>
      <c r="S69" s="9">
        <v>0.3857566765578635</v>
      </c>
      <c r="T69" s="11">
        <v>153</v>
      </c>
      <c r="U69" s="3">
        <f t="shared" si="1"/>
        <v>4.6109013893595394</v>
      </c>
      <c r="V69" s="11"/>
      <c r="W69" s="9"/>
      <c r="X69">
        <v>220</v>
      </c>
      <c r="AA69" s="3">
        <v>7.12</v>
      </c>
      <c r="AB69" s="9">
        <v>0.18665018541409148</v>
      </c>
    </row>
    <row r="70" spans="1:30" x14ac:dyDescent="0.25">
      <c r="A70" t="s">
        <v>46</v>
      </c>
      <c r="B70" t="s">
        <v>0</v>
      </c>
      <c r="C70">
        <v>63</v>
      </c>
      <c r="D70">
        <v>221</v>
      </c>
      <c r="E70">
        <v>5</v>
      </c>
      <c r="F70" t="s">
        <v>5</v>
      </c>
      <c r="G70">
        <v>981</v>
      </c>
      <c r="H70">
        <v>254</v>
      </c>
      <c r="I70" s="3">
        <v>11.24</v>
      </c>
      <c r="J70" s="9">
        <v>0.2339304531085353</v>
      </c>
      <c r="K70" s="11">
        <v>104</v>
      </c>
      <c r="L70" s="3">
        <f t="shared" si="0"/>
        <v>11.917937849744018</v>
      </c>
      <c r="M70" s="9"/>
      <c r="O70">
        <v>221</v>
      </c>
      <c r="P70">
        <v>740</v>
      </c>
      <c r="Q70">
        <v>286</v>
      </c>
      <c r="R70" s="3">
        <v>5.42</v>
      </c>
      <c r="S70" s="9">
        <v>0.35875706214689268</v>
      </c>
      <c r="T70" s="11">
        <v>124</v>
      </c>
      <c r="U70" s="3">
        <f t="shared" si="1"/>
        <v>5.9848478962156157</v>
      </c>
      <c r="V70" s="11"/>
      <c r="W70" s="9"/>
      <c r="X70">
        <v>221</v>
      </c>
      <c r="Y70">
        <v>852</v>
      </c>
      <c r="Z70">
        <v>189</v>
      </c>
      <c r="AA70" s="3">
        <v>6.28</v>
      </c>
      <c r="AB70" s="9">
        <v>0.19146341463414634</v>
      </c>
      <c r="AC70">
        <v>95</v>
      </c>
      <c r="AD70" s="3">
        <f t="shared" ref="AD70" si="2">(AA70+(((AC70-32)/454)/AB70))</f>
        <v>7.004767810544628</v>
      </c>
    </row>
    <row r="71" spans="1:30" x14ac:dyDescent="0.25">
      <c r="A71" t="s">
        <v>46</v>
      </c>
      <c r="B71" t="s">
        <v>0</v>
      </c>
      <c r="C71">
        <v>63</v>
      </c>
      <c r="D71">
        <v>222</v>
      </c>
      <c r="E71">
        <v>32</v>
      </c>
      <c r="F71" t="s">
        <v>30</v>
      </c>
      <c r="I71" s="3">
        <v>14.2</v>
      </c>
      <c r="J71" s="9">
        <v>0.2339304531085353</v>
      </c>
      <c r="K71" s="11">
        <v>92</v>
      </c>
      <c r="L71" s="3">
        <f t="shared" si="0"/>
        <v>14.764948208120014</v>
      </c>
      <c r="M71" s="9"/>
      <c r="O71">
        <v>222</v>
      </c>
      <c r="R71" s="3">
        <v>4.9400000000000004</v>
      </c>
      <c r="S71" s="9">
        <v>0.35875706214689268</v>
      </c>
      <c r="T71" s="11">
        <v>222</v>
      </c>
      <c r="U71" s="3">
        <f t="shared" si="1"/>
        <v>6.1065336987061638</v>
      </c>
      <c r="V71" s="11"/>
      <c r="W71" s="9"/>
      <c r="X71">
        <v>222</v>
      </c>
      <c r="AA71" s="3">
        <v>6.44</v>
      </c>
      <c r="AB71" s="9">
        <v>0.19146341463414634</v>
      </c>
    </row>
    <row r="72" spans="1:30" x14ac:dyDescent="0.25">
      <c r="A72" t="s">
        <v>46</v>
      </c>
      <c r="B72" t="s">
        <v>0</v>
      </c>
      <c r="C72">
        <v>63</v>
      </c>
      <c r="D72">
        <v>223</v>
      </c>
      <c r="E72">
        <v>3</v>
      </c>
      <c r="F72" t="s">
        <v>3</v>
      </c>
      <c r="I72" s="3">
        <v>12.42</v>
      </c>
      <c r="J72" s="9">
        <v>0.2339304531085353</v>
      </c>
      <c r="K72" s="11">
        <v>99</v>
      </c>
      <c r="L72" s="3">
        <f t="shared" si="0"/>
        <v>13.050858832400683</v>
      </c>
      <c r="M72" s="9"/>
      <c r="O72">
        <v>223</v>
      </c>
      <c r="R72" s="3">
        <v>4.68</v>
      </c>
      <c r="S72" s="9">
        <v>0.35875706214689268</v>
      </c>
      <c r="T72" s="11">
        <v>163</v>
      </c>
      <c r="U72" s="3">
        <f t="shared" si="1"/>
        <v>5.4842942870026707</v>
      </c>
      <c r="V72" s="11"/>
      <c r="W72" s="9"/>
      <c r="X72">
        <v>223</v>
      </c>
      <c r="AA72" s="3">
        <v>6.16</v>
      </c>
      <c r="AB72" s="9">
        <v>0.19146341463414634</v>
      </c>
      <c r="AC72">
        <v>91</v>
      </c>
      <c r="AD72" s="3">
        <f>(AA72+(((AC72-32)/454)/AB72))</f>
        <v>6.8387508067005252</v>
      </c>
    </row>
    <row r="73" spans="1:30" x14ac:dyDescent="0.25">
      <c r="A73" t="s">
        <v>46</v>
      </c>
      <c r="B73" t="s">
        <v>0</v>
      </c>
      <c r="C73">
        <v>63</v>
      </c>
      <c r="D73">
        <v>224</v>
      </c>
      <c r="E73">
        <v>10</v>
      </c>
      <c r="F73" t="s">
        <v>35</v>
      </c>
      <c r="I73" s="3">
        <v>7.4</v>
      </c>
      <c r="J73" s="9">
        <v>0.2339304531085353</v>
      </c>
      <c r="K73" s="11">
        <v>84</v>
      </c>
      <c r="L73" s="3">
        <f t="shared" si="0"/>
        <v>7.8896217803706792</v>
      </c>
      <c r="M73" s="9"/>
      <c r="O73">
        <v>224</v>
      </c>
      <c r="R73" s="3">
        <v>3.74</v>
      </c>
      <c r="S73" s="9">
        <v>0.35875706214689268</v>
      </c>
      <c r="T73" s="11">
        <v>108</v>
      </c>
      <c r="U73" s="3">
        <f t="shared" si="1"/>
        <v>4.2066134794824661</v>
      </c>
      <c r="V73" s="11"/>
      <c r="W73" s="9"/>
      <c r="X73">
        <v>224</v>
      </c>
      <c r="AA73" s="3">
        <v>6.84</v>
      </c>
      <c r="AB73" s="9">
        <v>0.19146341463414634</v>
      </c>
    </row>
    <row r="74" spans="1:30" x14ac:dyDescent="0.25">
      <c r="A74" t="s">
        <v>46</v>
      </c>
      <c r="B74" t="s">
        <v>0</v>
      </c>
      <c r="C74">
        <v>63</v>
      </c>
      <c r="D74">
        <v>225</v>
      </c>
      <c r="E74">
        <v>25</v>
      </c>
      <c r="F74" t="s">
        <v>8</v>
      </c>
      <c r="G74">
        <v>912</v>
      </c>
      <c r="H74">
        <v>242</v>
      </c>
      <c r="I74" s="3">
        <v>15.78</v>
      </c>
      <c r="J74" s="9">
        <v>0.23863636363636365</v>
      </c>
      <c r="K74" s="11">
        <v>90</v>
      </c>
      <c r="L74" s="3">
        <f t="shared" si="0"/>
        <v>16.315347178518984</v>
      </c>
      <c r="M74" s="9"/>
      <c r="O74">
        <v>225</v>
      </c>
      <c r="P74">
        <v>620</v>
      </c>
      <c r="Q74">
        <v>245</v>
      </c>
      <c r="R74" s="3">
        <v>3.74</v>
      </c>
      <c r="S74" s="9">
        <v>0.36224489795918369</v>
      </c>
      <c r="T74" s="11">
        <v>115</v>
      </c>
      <c r="U74" s="3">
        <f t="shared" si="1"/>
        <v>4.2446844946329962</v>
      </c>
      <c r="V74" s="11"/>
      <c r="W74" s="9"/>
      <c r="X74">
        <v>225</v>
      </c>
      <c r="Y74">
        <v>997</v>
      </c>
      <c r="Z74">
        <v>217</v>
      </c>
      <c r="AA74" s="3">
        <v>6.98</v>
      </c>
      <c r="AB74" s="9">
        <v>0.19170984455958548</v>
      </c>
    </row>
    <row r="75" spans="1:30" x14ac:dyDescent="0.25">
      <c r="A75" t="s">
        <v>46</v>
      </c>
      <c r="B75" t="s">
        <v>0</v>
      </c>
      <c r="C75">
        <v>63</v>
      </c>
      <c r="D75">
        <v>226</v>
      </c>
      <c r="E75">
        <v>20</v>
      </c>
      <c r="F75" t="s">
        <v>28</v>
      </c>
      <c r="I75" s="3">
        <v>13.12</v>
      </c>
      <c r="J75" s="9">
        <v>0.23863636363636365</v>
      </c>
      <c r="K75" s="11">
        <v>91</v>
      </c>
      <c r="L75" s="3">
        <f t="shared" si="0"/>
        <v>13.664577302286553</v>
      </c>
      <c r="M75" s="9"/>
      <c r="O75">
        <v>226</v>
      </c>
      <c r="R75" s="3">
        <v>3.1</v>
      </c>
      <c r="S75" s="9">
        <v>0.36224489795918369</v>
      </c>
      <c r="T75" s="11">
        <v>149</v>
      </c>
      <c r="U75" s="3">
        <f t="shared" si="1"/>
        <v>3.8114227213501275</v>
      </c>
      <c r="V75" s="11"/>
      <c r="W75" s="9"/>
      <c r="X75">
        <v>226</v>
      </c>
      <c r="AA75" s="3">
        <v>5.78</v>
      </c>
      <c r="AB75" s="9">
        <v>0.19170984455958548</v>
      </c>
    </row>
    <row r="76" spans="1:30" x14ac:dyDescent="0.25">
      <c r="A76" t="s">
        <v>46</v>
      </c>
      <c r="B76" t="s">
        <v>0</v>
      </c>
      <c r="C76">
        <v>63</v>
      </c>
      <c r="D76">
        <v>227</v>
      </c>
      <c r="E76">
        <v>17</v>
      </c>
      <c r="F76" t="s">
        <v>17</v>
      </c>
      <c r="I76" s="3">
        <v>13.2</v>
      </c>
      <c r="J76" s="9">
        <v>0.23863636363636365</v>
      </c>
      <c r="K76" s="11">
        <v>72</v>
      </c>
      <c r="L76" s="3">
        <f t="shared" si="0"/>
        <v>13.569204950702748</v>
      </c>
      <c r="M76" s="9"/>
      <c r="O76">
        <v>227</v>
      </c>
      <c r="R76" s="3">
        <v>3.18</v>
      </c>
      <c r="S76" s="9">
        <v>0.36224489795918369</v>
      </c>
      <c r="T76" s="11">
        <v>177</v>
      </c>
      <c r="U76" s="3">
        <f t="shared" si="1"/>
        <v>4.0616777315877641</v>
      </c>
      <c r="V76" s="11"/>
      <c r="W76" s="9"/>
      <c r="X76">
        <v>227</v>
      </c>
      <c r="AA76" s="3">
        <v>4.9000000000000004</v>
      </c>
      <c r="AB76" s="9">
        <v>0.19170984455958548</v>
      </c>
    </row>
    <row r="77" spans="1:30" x14ac:dyDescent="0.25">
      <c r="A77" t="s">
        <v>46</v>
      </c>
      <c r="B77" t="s">
        <v>0</v>
      </c>
      <c r="C77">
        <v>63</v>
      </c>
      <c r="D77">
        <v>228</v>
      </c>
      <c r="E77">
        <v>36</v>
      </c>
      <c r="F77" t="s">
        <v>27</v>
      </c>
      <c r="I77" s="3">
        <v>12.84</v>
      </c>
      <c r="J77" s="9">
        <v>0.23863636363636365</v>
      </c>
      <c r="K77" s="11">
        <v>87</v>
      </c>
      <c r="L77" s="3">
        <f t="shared" si="0"/>
        <v>13.347656807216278</v>
      </c>
      <c r="M77" s="9"/>
      <c r="O77">
        <v>228</v>
      </c>
      <c r="R77" s="3">
        <v>2.36</v>
      </c>
      <c r="S77" s="9">
        <v>0.36224489795918369</v>
      </c>
      <c r="T77" s="11">
        <v>193</v>
      </c>
      <c r="U77" s="3">
        <f t="shared" si="1"/>
        <v>3.3389663088664143</v>
      </c>
      <c r="V77" s="11"/>
      <c r="W77" s="9"/>
      <c r="X77">
        <v>228</v>
      </c>
      <c r="AA77" s="3">
        <v>5.12</v>
      </c>
      <c r="AB77" s="9">
        <v>0.19170984455958548</v>
      </c>
    </row>
    <row r="78" spans="1:30" x14ac:dyDescent="0.25">
      <c r="A78" t="s">
        <v>46</v>
      </c>
      <c r="B78" t="s">
        <v>0</v>
      </c>
      <c r="C78">
        <v>63</v>
      </c>
      <c r="D78">
        <v>229</v>
      </c>
      <c r="E78">
        <v>1</v>
      </c>
      <c r="F78" t="s">
        <v>6</v>
      </c>
      <c r="G78">
        <v>936</v>
      </c>
      <c r="H78">
        <v>242</v>
      </c>
      <c r="I78" s="3">
        <v>13.28</v>
      </c>
      <c r="J78" s="9">
        <v>0.23230088495575221</v>
      </c>
      <c r="K78" s="11">
        <v>87</v>
      </c>
      <c r="L78" s="3">
        <f t="shared" si="0"/>
        <v>13.801501992867632</v>
      </c>
      <c r="M78" s="9"/>
      <c r="O78">
        <v>229</v>
      </c>
      <c r="P78">
        <v>735</v>
      </c>
      <c r="Q78">
        <v>280</v>
      </c>
      <c r="R78" s="3">
        <v>2.46</v>
      </c>
      <c r="S78" s="9">
        <v>0.35277382645803701</v>
      </c>
      <c r="T78" s="11">
        <v>189</v>
      </c>
      <c r="U78" s="3">
        <f t="shared" si="1"/>
        <v>3.4402739093363648</v>
      </c>
      <c r="V78" s="11"/>
      <c r="W78" s="9"/>
      <c r="X78">
        <v>229</v>
      </c>
      <c r="Y78">
        <v>691</v>
      </c>
      <c r="Z78">
        <v>180</v>
      </c>
      <c r="AA78" s="3">
        <v>4.8</v>
      </c>
      <c r="AB78" s="9">
        <v>0.22458270106221548</v>
      </c>
      <c r="AC78">
        <v>72</v>
      </c>
      <c r="AD78" s="3">
        <f>(AA78+(((AC78-32)/454)/AB78))</f>
        <v>5.1923086081676386</v>
      </c>
    </row>
    <row r="79" spans="1:30" x14ac:dyDescent="0.25">
      <c r="A79" t="s">
        <v>46</v>
      </c>
      <c r="B79" t="s">
        <v>0</v>
      </c>
      <c r="C79">
        <v>63</v>
      </c>
      <c r="D79">
        <v>230</v>
      </c>
      <c r="E79">
        <v>22</v>
      </c>
      <c r="F79" t="s">
        <v>7</v>
      </c>
      <c r="I79" s="3">
        <v>15.94</v>
      </c>
      <c r="J79" s="9">
        <v>0.23230088495575221</v>
      </c>
      <c r="K79" s="11">
        <v>112</v>
      </c>
      <c r="L79" s="3">
        <f t="shared" si="0"/>
        <v>16.698548353262009</v>
      </c>
      <c r="M79" s="9"/>
      <c r="O79">
        <v>230</v>
      </c>
      <c r="R79" s="3">
        <v>2.42</v>
      </c>
      <c r="S79" s="9">
        <v>0.35277382645803701</v>
      </c>
      <c r="T79" s="11">
        <v>169</v>
      </c>
      <c r="U79" s="3">
        <f t="shared" si="1"/>
        <v>3.2753982520960636</v>
      </c>
      <c r="V79" s="11"/>
      <c r="W79" s="9"/>
      <c r="X79">
        <v>230</v>
      </c>
      <c r="AA79" s="3">
        <v>5.42</v>
      </c>
      <c r="AB79" s="9">
        <v>0.22458270106221548</v>
      </c>
    </row>
    <row r="80" spans="1:30" x14ac:dyDescent="0.25">
      <c r="A80" t="s">
        <v>46</v>
      </c>
      <c r="B80" t="s">
        <v>0</v>
      </c>
      <c r="C80">
        <v>63</v>
      </c>
      <c r="D80">
        <v>231</v>
      </c>
      <c r="E80">
        <v>35</v>
      </c>
      <c r="F80" t="s">
        <v>26</v>
      </c>
      <c r="I80" s="3">
        <v>13.72</v>
      </c>
      <c r="J80" s="9">
        <v>0.23230088495575221</v>
      </c>
      <c r="K80" s="11">
        <v>114</v>
      </c>
      <c r="L80" s="3">
        <f t="shared" si="0"/>
        <v>14.497512062093561</v>
      </c>
      <c r="M80" s="9"/>
      <c r="O80">
        <v>231</v>
      </c>
      <c r="R80" s="3">
        <v>5.72</v>
      </c>
      <c r="S80" s="9">
        <v>0.35277382645803701</v>
      </c>
      <c r="T80" s="11">
        <v>124</v>
      </c>
      <c r="U80" s="3">
        <f t="shared" si="1"/>
        <v>6.294428023305386</v>
      </c>
      <c r="V80" s="11"/>
      <c r="W80" s="9"/>
      <c r="X80">
        <v>231</v>
      </c>
      <c r="AA80" s="3">
        <v>5.68</v>
      </c>
      <c r="AB80" s="9">
        <v>0.22458270106221548</v>
      </c>
    </row>
    <row r="81" spans="1:30" x14ac:dyDescent="0.25">
      <c r="A81" t="s">
        <v>46</v>
      </c>
      <c r="B81" t="s">
        <v>0</v>
      </c>
      <c r="C81">
        <v>63</v>
      </c>
      <c r="D81">
        <v>232</v>
      </c>
      <c r="E81">
        <v>27</v>
      </c>
      <c r="F81" t="s">
        <v>14</v>
      </c>
      <c r="I81" s="3">
        <v>10.94</v>
      </c>
      <c r="J81" s="9">
        <v>0.23230088495575221</v>
      </c>
      <c r="K81" s="11">
        <v>60</v>
      </c>
      <c r="L81" s="3">
        <f t="shared" si="0"/>
        <v>11.205491923641702</v>
      </c>
      <c r="M81" s="9"/>
      <c r="O81">
        <v>232</v>
      </c>
      <c r="R81" s="3">
        <v>4.2</v>
      </c>
      <c r="S81" s="9">
        <v>0.35277382645803701</v>
      </c>
      <c r="T81" s="11">
        <v>110</v>
      </c>
      <c r="U81" s="3">
        <f t="shared" si="1"/>
        <v>4.6870150632371752</v>
      </c>
      <c r="V81" s="11"/>
      <c r="W81" s="9"/>
      <c r="X81">
        <v>232</v>
      </c>
      <c r="AA81" s="3">
        <v>4.82</v>
      </c>
      <c r="AB81" s="9">
        <v>0.22458270106221548</v>
      </c>
    </row>
    <row r="82" spans="1:30" x14ac:dyDescent="0.25">
      <c r="A82" t="s">
        <v>46</v>
      </c>
      <c r="B82" t="s">
        <v>0</v>
      </c>
      <c r="C82">
        <v>63</v>
      </c>
      <c r="D82">
        <v>233</v>
      </c>
      <c r="E82">
        <v>6</v>
      </c>
      <c r="F82" t="s">
        <v>1</v>
      </c>
      <c r="G82">
        <v>865</v>
      </c>
      <c r="H82">
        <v>246</v>
      </c>
      <c r="I82" s="3">
        <v>13.94</v>
      </c>
      <c r="J82" s="9">
        <v>0.25690276110444177</v>
      </c>
      <c r="K82" s="11">
        <v>78</v>
      </c>
      <c r="L82" s="3">
        <f t="shared" si="0"/>
        <v>14.334396640454527</v>
      </c>
      <c r="M82" s="9"/>
      <c r="O82">
        <v>233</v>
      </c>
      <c r="P82">
        <v>811</v>
      </c>
      <c r="Q82">
        <v>296</v>
      </c>
      <c r="R82" s="3">
        <v>5.38</v>
      </c>
      <c r="S82" s="9">
        <v>0.33889602053915274</v>
      </c>
      <c r="T82" s="11">
        <v>150</v>
      </c>
      <c r="U82" s="3">
        <f t="shared" si="1"/>
        <v>6.1469369910559335</v>
      </c>
      <c r="V82" s="11"/>
      <c r="W82" s="9"/>
      <c r="X82">
        <v>233</v>
      </c>
      <c r="Y82">
        <v>734</v>
      </c>
      <c r="Z82">
        <v>191</v>
      </c>
      <c r="AA82" s="3">
        <v>3.9</v>
      </c>
      <c r="AB82" s="9">
        <v>0.2264957264957265</v>
      </c>
      <c r="AC82">
        <v>77</v>
      </c>
      <c r="AD82" s="3">
        <f t="shared" ref="AD82:AD83" si="3">(AA82+(((AC82-32)/454)/AB82))</f>
        <v>4.3376194830022445</v>
      </c>
    </row>
    <row r="83" spans="1:30" x14ac:dyDescent="0.25">
      <c r="A83" t="s">
        <v>46</v>
      </c>
      <c r="B83" t="s">
        <v>0</v>
      </c>
      <c r="C83">
        <v>63</v>
      </c>
      <c r="D83">
        <v>234</v>
      </c>
      <c r="E83">
        <v>4</v>
      </c>
      <c r="F83" t="s">
        <v>2</v>
      </c>
      <c r="I83" s="3">
        <v>9.24</v>
      </c>
      <c r="J83" s="9">
        <v>0.25690276110444177</v>
      </c>
      <c r="K83" s="11">
        <v>76</v>
      </c>
      <c r="L83" s="3">
        <f t="shared" si="0"/>
        <v>9.6172489604347646</v>
      </c>
      <c r="M83" s="9"/>
      <c r="O83">
        <v>234</v>
      </c>
      <c r="R83" s="3">
        <v>3.94</v>
      </c>
      <c r="S83" s="9">
        <v>0.33889602053915274</v>
      </c>
      <c r="T83" s="11">
        <v>144</v>
      </c>
      <c r="U83" s="3">
        <f t="shared" si="1"/>
        <v>4.667940194900547</v>
      </c>
      <c r="V83" s="11"/>
      <c r="W83" s="9"/>
      <c r="X83">
        <v>234</v>
      </c>
      <c r="AA83" s="3">
        <v>5.0199999999999996</v>
      </c>
      <c r="AB83" s="9">
        <v>0.2264957264957265</v>
      </c>
      <c r="AC83">
        <v>92</v>
      </c>
      <c r="AD83" s="3">
        <f t="shared" si="3"/>
        <v>5.6034926440029915</v>
      </c>
    </row>
    <row r="84" spans="1:30" x14ac:dyDescent="0.25">
      <c r="A84" t="s">
        <v>46</v>
      </c>
      <c r="B84" t="s">
        <v>0</v>
      </c>
      <c r="C84">
        <v>63</v>
      </c>
      <c r="D84">
        <v>235</v>
      </c>
      <c r="E84">
        <v>12</v>
      </c>
      <c r="F84" t="s">
        <v>33</v>
      </c>
      <c r="I84" s="3">
        <v>14.72</v>
      </c>
      <c r="J84" s="9">
        <v>0.25690276110444177</v>
      </c>
      <c r="K84" s="11">
        <v>98</v>
      </c>
      <c r="L84" s="3">
        <f t="shared" si="0"/>
        <v>15.285873440652148</v>
      </c>
      <c r="M84" s="9"/>
      <c r="O84">
        <v>235</v>
      </c>
      <c r="R84" s="3">
        <v>6.82</v>
      </c>
      <c r="S84" s="9">
        <v>0.33889602053915274</v>
      </c>
      <c r="T84" s="11">
        <v>132</v>
      </c>
      <c r="U84" s="3">
        <f t="shared" si="1"/>
        <v>7.4699466025897747</v>
      </c>
      <c r="V84" s="11"/>
      <c r="W84" s="9"/>
      <c r="X84">
        <v>235</v>
      </c>
      <c r="AA84" s="3">
        <v>6.12</v>
      </c>
      <c r="AB84" s="9">
        <v>0.2264957264957265</v>
      </c>
    </row>
    <row r="85" spans="1:30" x14ac:dyDescent="0.25">
      <c r="A85" t="s">
        <v>46</v>
      </c>
      <c r="B85" t="s">
        <v>0</v>
      </c>
      <c r="C85">
        <v>63</v>
      </c>
      <c r="D85">
        <v>236</v>
      </c>
      <c r="E85">
        <v>19</v>
      </c>
      <c r="F85" t="s">
        <v>10</v>
      </c>
      <c r="I85" s="3">
        <v>15.8</v>
      </c>
      <c r="J85" s="9">
        <v>0.25690276110444177</v>
      </c>
      <c r="K85" s="11">
        <v>89</v>
      </c>
      <c r="L85" s="3">
        <f t="shared" si="0"/>
        <v>16.28870888056322</v>
      </c>
      <c r="M85" s="9"/>
      <c r="O85">
        <v>236</v>
      </c>
      <c r="R85" s="3">
        <v>6.44</v>
      </c>
      <c r="S85" s="9">
        <v>0.33889602053915274</v>
      </c>
      <c r="T85" s="11">
        <v>192</v>
      </c>
      <c r="U85" s="3">
        <f t="shared" si="1"/>
        <v>7.4799145641436393</v>
      </c>
      <c r="V85" s="11"/>
      <c r="W85" s="9"/>
      <c r="X85">
        <v>236</v>
      </c>
      <c r="AA85" s="3">
        <v>6.2</v>
      </c>
      <c r="AB85" s="9">
        <v>0.2264957264957265</v>
      </c>
    </row>
    <row r="86" spans="1:30" x14ac:dyDescent="0.25">
      <c r="A86" t="s">
        <v>46</v>
      </c>
      <c r="B86" t="s">
        <v>0</v>
      </c>
      <c r="C86">
        <v>63</v>
      </c>
      <c r="D86">
        <v>237</v>
      </c>
      <c r="E86">
        <v>7</v>
      </c>
      <c r="F86" t="s">
        <v>16</v>
      </c>
      <c r="G86">
        <v>811</v>
      </c>
      <c r="H86">
        <v>224</v>
      </c>
      <c r="I86" s="3">
        <v>11.48</v>
      </c>
      <c r="J86" s="9">
        <v>0.24646983311938384</v>
      </c>
      <c r="K86" s="11">
        <v>94</v>
      </c>
      <c r="L86" s="3">
        <f t="shared" si="0"/>
        <v>12.034079478707783</v>
      </c>
      <c r="M86" s="9"/>
      <c r="O86">
        <v>237</v>
      </c>
      <c r="P86">
        <v>674</v>
      </c>
      <c r="Q86">
        <v>258</v>
      </c>
      <c r="R86" s="3">
        <v>4.78</v>
      </c>
      <c r="S86" s="9">
        <v>0.35202492211838005</v>
      </c>
      <c r="T86" s="11">
        <v>173</v>
      </c>
      <c r="U86" s="3">
        <f t="shared" si="1"/>
        <v>5.6622463061868933</v>
      </c>
      <c r="V86" s="11"/>
      <c r="W86" s="9"/>
      <c r="X86">
        <v>237</v>
      </c>
      <c r="Y86">
        <v>543</v>
      </c>
      <c r="Z86">
        <v>144</v>
      </c>
      <c r="AA86" s="3">
        <v>5.0199999999999996</v>
      </c>
      <c r="AB86" s="9">
        <v>0.21917808219178081</v>
      </c>
    </row>
    <row r="87" spans="1:30" x14ac:dyDescent="0.25">
      <c r="A87" t="s">
        <v>46</v>
      </c>
      <c r="B87" t="s">
        <v>0</v>
      </c>
      <c r="C87">
        <v>63</v>
      </c>
      <c r="D87">
        <v>238</v>
      </c>
      <c r="E87">
        <v>16</v>
      </c>
      <c r="F87" t="s">
        <v>12</v>
      </c>
      <c r="I87" s="3">
        <v>12.14</v>
      </c>
      <c r="J87" s="9">
        <v>0.24646983311938384</v>
      </c>
      <c r="K87" s="11">
        <v>66</v>
      </c>
      <c r="L87" s="3">
        <f t="shared" si="0"/>
        <v>12.443850036710721</v>
      </c>
      <c r="M87" s="9"/>
      <c r="O87">
        <v>238</v>
      </c>
      <c r="R87" s="3">
        <v>4.34</v>
      </c>
      <c r="S87" s="9">
        <v>0.35202492211838005</v>
      </c>
      <c r="T87" s="11">
        <v>120</v>
      </c>
      <c r="U87" s="3">
        <f t="shared" si="1"/>
        <v>4.8906218081166424</v>
      </c>
      <c r="V87" s="11"/>
      <c r="W87" s="9"/>
      <c r="X87">
        <v>238</v>
      </c>
      <c r="AA87" s="3">
        <v>4.78</v>
      </c>
      <c r="AB87" s="9">
        <v>0.21917808219178081</v>
      </c>
    </row>
    <row r="88" spans="1:30" x14ac:dyDescent="0.25">
      <c r="A88" t="s">
        <v>46</v>
      </c>
      <c r="B88" t="s">
        <v>0</v>
      </c>
      <c r="C88">
        <v>63</v>
      </c>
      <c r="D88">
        <v>239</v>
      </c>
      <c r="E88">
        <v>30</v>
      </c>
      <c r="F88" t="s">
        <v>9</v>
      </c>
      <c r="I88" s="3">
        <v>11.58</v>
      </c>
      <c r="J88" s="9">
        <v>0.24646983311938384</v>
      </c>
      <c r="K88" s="11">
        <v>83</v>
      </c>
      <c r="L88" s="3">
        <f t="shared" si="0"/>
        <v>12.035775055066079</v>
      </c>
      <c r="M88" s="9"/>
      <c r="O88">
        <v>239</v>
      </c>
      <c r="R88" s="3">
        <v>4.88</v>
      </c>
      <c r="S88" s="9">
        <v>0.35202492211838005</v>
      </c>
      <c r="T88" s="11">
        <v>119</v>
      </c>
      <c r="U88" s="3">
        <f t="shared" si="1"/>
        <v>5.4243647421153174</v>
      </c>
      <c r="V88" s="11"/>
      <c r="W88" s="9"/>
      <c r="X88">
        <v>239</v>
      </c>
      <c r="AA88" s="3">
        <v>5.0199999999999996</v>
      </c>
      <c r="AB88" s="9">
        <v>0.21917808219178081</v>
      </c>
    </row>
    <row r="89" spans="1:30" x14ac:dyDescent="0.25">
      <c r="A89" t="s">
        <v>46</v>
      </c>
      <c r="B89" t="s">
        <v>0</v>
      </c>
      <c r="C89">
        <v>63</v>
      </c>
      <c r="D89">
        <v>240</v>
      </c>
      <c r="E89">
        <v>15</v>
      </c>
      <c r="F89" t="s">
        <v>20</v>
      </c>
      <c r="I89" s="3">
        <v>13.38</v>
      </c>
      <c r="J89" s="9">
        <v>0.24646983311938384</v>
      </c>
      <c r="K89" s="11">
        <v>94</v>
      </c>
      <c r="L89" s="3">
        <f t="shared" si="0"/>
        <v>13.934079478707783</v>
      </c>
      <c r="M89" s="9"/>
      <c r="O89">
        <v>240</v>
      </c>
      <c r="R89" s="3">
        <v>4.82</v>
      </c>
      <c r="S89" s="9">
        <v>0.35202492211838005</v>
      </c>
      <c r="T89" s="11">
        <v>195</v>
      </c>
      <c r="U89" s="3">
        <f t="shared" si="1"/>
        <v>5.8399017582160546</v>
      </c>
      <c r="V89" s="11"/>
      <c r="W89" s="9"/>
      <c r="X89">
        <v>240</v>
      </c>
      <c r="AA89" s="3">
        <v>4.82</v>
      </c>
      <c r="AB89" s="9">
        <v>0.21917808219178081</v>
      </c>
    </row>
    <row r="90" spans="1:30" x14ac:dyDescent="0.25">
      <c r="A90" t="s">
        <v>46</v>
      </c>
      <c r="B90" t="s">
        <v>0</v>
      </c>
      <c r="C90">
        <v>63</v>
      </c>
      <c r="D90">
        <v>241</v>
      </c>
      <c r="E90">
        <v>2</v>
      </c>
      <c r="F90" t="s">
        <v>4</v>
      </c>
      <c r="G90">
        <v>943</v>
      </c>
      <c r="H90">
        <v>263</v>
      </c>
      <c r="I90" s="3">
        <v>15.02</v>
      </c>
      <c r="J90" s="9">
        <v>0.25356750823271129</v>
      </c>
      <c r="K90" s="11">
        <v>69</v>
      </c>
      <c r="L90" s="3">
        <f t="shared" si="0"/>
        <v>15.341404733299006</v>
      </c>
      <c r="M90" s="9"/>
      <c r="O90">
        <v>241</v>
      </c>
      <c r="P90">
        <v>823</v>
      </c>
      <c r="Q90">
        <v>316</v>
      </c>
      <c r="R90" s="3">
        <v>5.26</v>
      </c>
      <c r="S90" s="9">
        <v>0.359039190897598</v>
      </c>
      <c r="T90" s="11">
        <v>184</v>
      </c>
      <c r="U90" s="3">
        <f t="shared" si="1"/>
        <v>6.1924936402556305</v>
      </c>
      <c r="V90" s="11"/>
      <c r="W90" s="9"/>
      <c r="X90">
        <v>241</v>
      </c>
      <c r="Y90">
        <v>839</v>
      </c>
      <c r="Z90">
        <v>219</v>
      </c>
      <c r="AA90" s="3">
        <v>5.38</v>
      </c>
      <c r="AB90" s="9">
        <v>0.23172242874845106</v>
      </c>
      <c r="AC90">
        <v>94</v>
      </c>
      <c r="AD90" s="3">
        <f>(AA90+(((AC90-32)/454)/AB90))</f>
        <v>5.9693425051237954</v>
      </c>
    </row>
    <row r="91" spans="1:30" x14ac:dyDescent="0.25">
      <c r="A91" t="s">
        <v>46</v>
      </c>
      <c r="B91" t="s">
        <v>0</v>
      </c>
      <c r="C91">
        <v>63</v>
      </c>
      <c r="D91">
        <v>242</v>
      </c>
      <c r="E91">
        <v>13</v>
      </c>
      <c r="F91" t="s">
        <v>24</v>
      </c>
      <c r="I91" s="3">
        <v>14.68</v>
      </c>
      <c r="J91" s="9">
        <v>0.25356750823271129</v>
      </c>
      <c r="K91" s="11">
        <v>85</v>
      </c>
      <c r="L91" s="3">
        <f t="shared" si="0"/>
        <v>15.140390563914792</v>
      </c>
      <c r="M91" s="9"/>
      <c r="O91">
        <v>242</v>
      </c>
      <c r="R91" s="3">
        <v>5.72</v>
      </c>
      <c r="S91" s="9">
        <v>0.359039190897598</v>
      </c>
      <c r="T91" s="11">
        <v>145</v>
      </c>
      <c r="U91" s="3">
        <f t="shared" si="1"/>
        <v>6.4132354036110932</v>
      </c>
      <c r="V91" s="11"/>
      <c r="W91" s="9"/>
      <c r="X91">
        <v>242</v>
      </c>
      <c r="AA91" s="3">
        <v>5.68</v>
      </c>
      <c r="AB91" s="9">
        <v>0.23172242874845106</v>
      </c>
    </row>
    <row r="92" spans="1:30" x14ac:dyDescent="0.25">
      <c r="A92" t="s">
        <v>46</v>
      </c>
      <c r="B92" t="s">
        <v>0</v>
      </c>
      <c r="C92">
        <v>63</v>
      </c>
      <c r="D92">
        <v>243</v>
      </c>
      <c r="E92">
        <v>34</v>
      </c>
      <c r="F92" t="s">
        <v>34</v>
      </c>
      <c r="I92" s="3">
        <v>13.98</v>
      </c>
      <c r="J92" s="9">
        <v>0.25356750823271129</v>
      </c>
      <c r="K92" s="11">
        <v>89</v>
      </c>
      <c r="L92" s="3">
        <f t="shared" si="0"/>
        <v>14.47513702156874</v>
      </c>
      <c r="M92" s="9"/>
      <c r="O92">
        <v>243</v>
      </c>
      <c r="R92" s="3">
        <v>4.6399999999999997</v>
      </c>
      <c r="S92" s="9">
        <v>0.359039190897598</v>
      </c>
      <c r="T92" s="11">
        <v>183</v>
      </c>
      <c r="U92" s="3">
        <f t="shared" si="1"/>
        <v>5.5663588136750013</v>
      </c>
      <c r="V92" s="11"/>
      <c r="W92" s="9"/>
      <c r="X92">
        <v>243</v>
      </c>
      <c r="AA92" s="3">
        <v>6.74</v>
      </c>
      <c r="AB92" s="9">
        <v>0.23172242874845106</v>
      </c>
    </row>
    <row r="93" spans="1:30" x14ac:dyDescent="0.25">
      <c r="A93" t="s">
        <v>46</v>
      </c>
      <c r="B93" t="s">
        <v>0</v>
      </c>
      <c r="C93">
        <v>63</v>
      </c>
      <c r="D93">
        <v>244</v>
      </c>
      <c r="E93">
        <v>11</v>
      </c>
      <c r="F93" t="s">
        <v>15</v>
      </c>
      <c r="I93" s="3">
        <v>11.36</v>
      </c>
      <c r="J93" s="9">
        <v>0.25356750823271129</v>
      </c>
      <c r="K93" s="11">
        <v>70</v>
      </c>
      <c r="L93" s="3">
        <f t="shared" si="0"/>
        <v>11.690091347712492</v>
      </c>
      <c r="M93" s="9"/>
      <c r="O93">
        <v>244</v>
      </c>
      <c r="R93" s="3">
        <v>4.28</v>
      </c>
      <c r="S93" s="9">
        <v>0.359039190897598</v>
      </c>
      <c r="T93" s="11">
        <v>109</v>
      </c>
      <c r="U93" s="3">
        <f t="shared" si="1"/>
        <v>4.7523816467084448</v>
      </c>
      <c r="V93" s="11"/>
      <c r="W93" s="9"/>
      <c r="X93">
        <v>244</v>
      </c>
      <c r="AA93" s="3">
        <v>6.2</v>
      </c>
      <c r="AB93" s="9">
        <v>0.23172242874845106</v>
      </c>
    </row>
    <row r="94" spans="1:30" x14ac:dyDescent="0.25">
      <c r="A94" t="s">
        <v>46</v>
      </c>
      <c r="B94" t="s">
        <v>0</v>
      </c>
      <c r="C94">
        <v>63</v>
      </c>
      <c r="D94">
        <v>245</v>
      </c>
      <c r="E94">
        <v>21</v>
      </c>
      <c r="F94" t="s">
        <v>22</v>
      </c>
      <c r="G94">
        <v>1043</v>
      </c>
      <c r="H94">
        <v>273</v>
      </c>
      <c r="I94" s="3">
        <v>9.76</v>
      </c>
      <c r="J94" s="9">
        <v>0.23837784371909002</v>
      </c>
      <c r="K94" s="11">
        <v>77</v>
      </c>
      <c r="L94" s="3">
        <f t="shared" si="0"/>
        <v>10.175806021167309</v>
      </c>
      <c r="M94" s="9"/>
      <c r="O94">
        <v>245</v>
      </c>
      <c r="P94">
        <v>630</v>
      </c>
      <c r="Q94">
        <v>247</v>
      </c>
      <c r="R94" s="3">
        <v>3.94</v>
      </c>
      <c r="S94" s="9">
        <v>0.35953177257525082</v>
      </c>
      <c r="T94" s="11">
        <v>160</v>
      </c>
      <c r="U94" s="3">
        <f t="shared" si="1"/>
        <v>4.7241819485708429</v>
      </c>
      <c r="V94" s="11"/>
      <c r="W94" s="9"/>
      <c r="X94">
        <v>245</v>
      </c>
      <c r="Y94">
        <v>692</v>
      </c>
      <c r="Z94">
        <v>177</v>
      </c>
      <c r="AA94" s="3">
        <v>6.38</v>
      </c>
      <c r="AB94" s="9">
        <v>0.2196969696969697</v>
      </c>
    </row>
    <row r="95" spans="1:30" x14ac:dyDescent="0.25">
      <c r="A95" t="s">
        <v>46</v>
      </c>
      <c r="B95" t="s">
        <v>0</v>
      </c>
      <c r="C95">
        <v>63</v>
      </c>
      <c r="D95">
        <v>246</v>
      </c>
      <c r="E95">
        <v>23</v>
      </c>
      <c r="F95" t="s">
        <v>36</v>
      </c>
      <c r="I95" s="3">
        <v>11.54</v>
      </c>
      <c r="J95" s="9">
        <v>0.23837784371909002</v>
      </c>
      <c r="K95" s="11">
        <v>67</v>
      </c>
      <c r="L95" s="3">
        <f t="shared" si="0"/>
        <v>11.863404683130129</v>
      </c>
      <c r="M95" s="9"/>
      <c r="O95">
        <v>246</v>
      </c>
      <c r="R95" s="3">
        <v>4.12</v>
      </c>
      <c r="S95" s="9">
        <v>0.35953177257525082</v>
      </c>
      <c r="T95" s="11">
        <v>104</v>
      </c>
      <c r="U95" s="3">
        <f t="shared" si="1"/>
        <v>4.5611023460710998</v>
      </c>
      <c r="V95" s="11"/>
      <c r="W95" s="9"/>
      <c r="X95">
        <v>246</v>
      </c>
      <c r="AA95" s="3">
        <v>6.7</v>
      </c>
      <c r="AB95" s="9">
        <v>0.2196969696969697</v>
      </c>
    </row>
    <row r="96" spans="1:30" x14ac:dyDescent="0.25">
      <c r="A96" t="s">
        <v>46</v>
      </c>
      <c r="B96" t="s">
        <v>0</v>
      </c>
      <c r="C96">
        <v>63</v>
      </c>
      <c r="D96">
        <v>247</v>
      </c>
      <c r="E96">
        <v>14</v>
      </c>
      <c r="F96" t="s">
        <v>25</v>
      </c>
      <c r="I96" s="3">
        <v>15.82</v>
      </c>
      <c r="J96" s="9">
        <v>0.23837784371909002</v>
      </c>
      <c r="K96" s="11">
        <v>68</v>
      </c>
      <c r="L96" s="3">
        <f t="shared" si="0"/>
        <v>16.152644816933847</v>
      </c>
      <c r="M96" s="9"/>
      <c r="O96">
        <v>247</v>
      </c>
      <c r="R96" s="3">
        <v>3.9</v>
      </c>
      <c r="S96" s="9">
        <v>0.35953177257525082</v>
      </c>
      <c r="T96" s="11">
        <v>114</v>
      </c>
      <c r="U96" s="3">
        <f t="shared" si="1"/>
        <v>4.4023665608031965</v>
      </c>
      <c r="V96" s="11"/>
      <c r="W96" s="9"/>
      <c r="X96">
        <v>247</v>
      </c>
      <c r="AA96" s="3">
        <v>7.12</v>
      </c>
      <c r="AB96" s="9">
        <v>0.2196969696969697</v>
      </c>
    </row>
    <row r="97" spans="1:28" x14ac:dyDescent="0.25">
      <c r="A97" t="s">
        <v>46</v>
      </c>
      <c r="B97" t="s">
        <v>0</v>
      </c>
      <c r="C97">
        <v>63</v>
      </c>
      <c r="D97">
        <v>248</v>
      </c>
      <c r="E97">
        <v>33</v>
      </c>
      <c r="F97" t="s">
        <v>23</v>
      </c>
      <c r="I97" s="3">
        <v>16.7</v>
      </c>
      <c r="J97" s="9">
        <v>0.23837784371909002</v>
      </c>
      <c r="K97" s="11">
        <v>82</v>
      </c>
      <c r="L97" s="3">
        <f t="shared" si="0"/>
        <v>17.162006690185898</v>
      </c>
      <c r="M97" s="9"/>
      <c r="O97">
        <v>248</v>
      </c>
      <c r="R97" s="3">
        <v>4.0599999999999996</v>
      </c>
      <c r="S97" s="9">
        <v>0.35953177257525082</v>
      </c>
      <c r="T97" s="11">
        <v>149</v>
      </c>
      <c r="U97" s="3">
        <f t="shared" si="1"/>
        <v>4.7767913123655363</v>
      </c>
      <c r="V97" s="11"/>
      <c r="W97" s="9"/>
      <c r="X97">
        <v>248</v>
      </c>
      <c r="AA97" s="3">
        <v>6.64</v>
      </c>
      <c r="AB97" s="9">
        <v>0.2196969696969697</v>
      </c>
    </row>
    <row r="98" spans="1:28" x14ac:dyDescent="0.25">
      <c r="A98" t="s">
        <v>46</v>
      </c>
      <c r="B98" t="s">
        <v>0</v>
      </c>
      <c r="C98">
        <v>63</v>
      </c>
      <c r="D98">
        <v>301</v>
      </c>
      <c r="E98">
        <v>1</v>
      </c>
      <c r="F98" t="s">
        <v>6</v>
      </c>
      <c r="G98">
        <v>715</v>
      </c>
      <c r="H98">
        <v>211</v>
      </c>
      <c r="I98" s="3">
        <v>11.94</v>
      </c>
      <c r="J98" s="9">
        <v>0.26207906295754024</v>
      </c>
      <c r="K98" s="11">
        <v>108</v>
      </c>
      <c r="L98" s="3">
        <f t="shared" si="0"/>
        <v>12.578741909285556</v>
      </c>
      <c r="M98" s="9"/>
      <c r="O98">
        <v>301</v>
      </c>
      <c r="R98" s="3"/>
      <c r="S98" s="9"/>
      <c r="T98" s="11"/>
      <c r="U98" s="9"/>
      <c r="V98" s="11"/>
      <c r="W98" s="9"/>
      <c r="X98">
        <v>301</v>
      </c>
      <c r="Y98">
        <v>825</v>
      </c>
      <c r="Z98">
        <v>178</v>
      </c>
      <c r="AA98" s="3">
        <v>4.68</v>
      </c>
      <c r="AB98" s="9">
        <v>0.1841109709962169</v>
      </c>
    </row>
    <row r="99" spans="1:28" x14ac:dyDescent="0.25">
      <c r="A99" t="s">
        <v>46</v>
      </c>
      <c r="B99" t="s">
        <v>0</v>
      </c>
      <c r="C99">
        <v>63</v>
      </c>
      <c r="D99">
        <v>302</v>
      </c>
      <c r="E99">
        <v>6</v>
      </c>
      <c r="F99" t="s">
        <v>1</v>
      </c>
      <c r="I99" s="3">
        <v>13.04</v>
      </c>
      <c r="J99" s="9">
        <v>0.26207906295754024</v>
      </c>
      <c r="K99" s="11">
        <v>98</v>
      </c>
      <c r="L99" s="3">
        <f t="shared" si="0"/>
        <v>13.594696921221667</v>
      </c>
      <c r="M99" s="9"/>
      <c r="O99">
        <v>302</v>
      </c>
      <c r="R99" s="3"/>
      <c r="S99" s="9"/>
      <c r="T99" s="11"/>
      <c r="U99" s="9"/>
      <c r="V99" s="11"/>
      <c r="W99" s="9"/>
      <c r="X99">
        <v>302</v>
      </c>
      <c r="AA99" s="3">
        <v>4.5</v>
      </c>
      <c r="AB99" s="9">
        <v>0.1841109709962169</v>
      </c>
    </row>
    <row r="100" spans="1:28" x14ac:dyDescent="0.25">
      <c r="A100" t="s">
        <v>46</v>
      </c>
      <c r="B100" t="s">
        <v>0</v>
      </c>
      <c r="C100">
        <v>63</v>
      </c>
      <c r="D100">
        <v>303</v>
      </c>
      <c r="E100">
        <v>4</v>
      </c>
      <c r="F100" t="s">
        <v>2</v>
      </c>
      <c r="I100" s="3">
        <v>13.5</v>
      </c>
      <c r="J100" s="9">
        <v>0.26207906295754024</v>
      </c>
      <c r="K100" s="11">
        <v>97</v>
      </c>
      <c r="L100" s="3">
        <f t="shared" si="0"/>
        <v>14.046292422415279</v>
      </c>
      <c r="M100" s="9"/>
      <c r="O100">
        <v>303</v>
      </c>
      <c r="R100" s="3"/>
      <c r="S100" s="9"/>
      <c r="T100" s="11"/>
      <c r="U100" s="9"/>
      <c r="V100" s="11"/>
      <c r="W100" s="9"/>
      <c r="X100">
        <v>303</v>
      </c>
      <c r="AA100" s="3">
        <v>5.52</v>
      </c>
      <c r="AB100" s="9">
        <v>0.1841109709962169</v>
      </c>
    </row>
    <row r="101" spans="1:28" x14ac:dyDescent="0.25">
      <c r="A101" t="s">
        <v>46</v>
      </c>
      <c r="B101" t="s">
        <v>0</v>
      </c>
      <c r="C101">
        <v>63</v>
      </c>
      <c r="D101">
        <v>304</v>
      </c>
      <c r="E101">
        <v>3</v>
      </c>
      <c r="F101" t="s">
        <v>3</v>
      </c>
      <c r="I101" s="3">
        <v>13.46</v>
      </c>
      <c r="J101" s="9">
        <v>0.26207906295754024</v>
      </c>
      <c r="K101" s="11">
        <v>138</v>
      </c>
      <c r="L101" s="3">
        <f t="shared" si="0"/>
        <v>14.350876873477224</v>
      </c>
      <c r="M101" s="9"/>
      <c r="O101">
        <v>304</v>
      </c>
      <c r="R101" s="3"/>
      <c r="S101" s="9"/>
      <c r="T101" s="11"/>
      <c r="U101" s="9"/>
      <c r="V101" s="11"/>
      <c r="W101" s="9"/>
      <c r="X101">
        <v>304</v>
      </c>
      <c r="AA101" s="3">
        <v>4.32</v>
      </c>
      <c r="AB101" s="9">
        <v>0.1841109709962169</v>
      </c>
    </row>
    <row r="102" spans="1:28" x14ac:dyDescent="0.25">
      <c r="A102" t="s">
        <v>46</v>
      </c>
      <c r="B102" t="s">
        <v>0</v>
      </c>
      <c r="C102">
        <v>63</v>
      </c>
      <c r="D102">
        <v>305</v>
      </c>
      <c r="E102">
        <v>2</v>
      </c>
      <c r="F102" t="s">
        <v>4</v>
      </c>
      <c r="G102">
        <v>920</v>
      </c>
      <c r="H102">
        <v>264</v>
      </c>
      <c r="I102" s="3">
        <v>12.32</v>
      </c>
      <c r="J102" s="9">
        <v>0.26126126126126126</v>
      </c>
      <c r="K102" s="11">
        <v>77</v>
      </c>
      <c r="L102" s="3">
        <f t="shared" si="0"/>
        <v>12.699386298040407</v>
      </c>
      <c r="M102" s="9"/>
      <c r="O102">
        <v>305</v>
      </c>
      <c r="R102" s="3"/>
      <c r="S102" s="9"/>
      <c r="T102" s="11"/>
      <c r="U102" s="9"/>
      <c r="V102" s="11"/>
      <c r="W102" s="9"/>
      <c r="X102">
        <v>305</v>
      </c>
      <c r="Y102">
        <v>727</v>
      </c>
      <c r="Z102">
        <v>160</v>
      </c>
      <c r="AA102" s="3">
        <v>3.92</v>
      </c>
      <c r="AB102" s="9">
        <v>0.1841726618705036</v>
      </c>
    </row>
    <row r="103" spans="1:28" x14ac:dyDescent="0.25">
      <c r="A103" t="s">
        <v>46</v>
      </c>
      <c r="B103" t="s">
        <v>0</v>
      </c>
      <c r="C103">
        <v>63</v>
      </c>
      <c r="D103">
        <v>306</v>
      </c>
      <c r="E103">
        <v>4</v>
      </c>
      <c r="F103" t="s">
        <v>2</v>
      </c>
      <c r="I103" s="3">
        <v>11.92</v>
      </c>
      <c r="J103" s="9">
        <v>0.26126126126126126</v>
      </c>
      <c r="K103" s="11">
        <v>141</v>
      </c>
      <c r="L103" s="3">
        <f t="shared" si="0"/>
        <v>12.838957921920096</v>
      </c>
      <c r="M103" s="9"/>
      <c r="O103">
        <v>306</v>
      </c>
      <c r="R103" s="3"/>
      <c r="S103" s="9"/>
      <c r="T103" s="11"/>
      <c r="U103" s="9"/>
      <c r="V103" s="11"/>
      <c r="W103" s="9"/>
      <c r="X103">
        <v>306</v>
      </c>
      <c r="AA103" s="3">
        <v>4.38</v>
      </c>
      <c r="AB103" s="9">
        <v>0.1841726618705036</v>
      </c>
    </row>
    <row r="104" spans="1:28" x14ac:dyDescent="0.25">
      <c r="A104" t="s">
        <v>46</v>
      </c>
      <c r="B104" t="s">
        <v>0</v>
      </c>
      <c r="C104">
        <v>63</v>
      </c>
      <c r="D104">
        <v>307</v>
      </c>
      <c r="E104">
        <v>1</v>
      </c>
      <c r="F104" t="s">
        <v>6</v>
      </c>
      <c r="I104" s="3">
        <v>12.36</v>
      </c>
      <c r="J104" s="9">
        <v>0.26126126126126126</v>
      </c>
      <c r="K104" s="11">
        <v>78</v>
      </c>
      <c r="L104" s="3">
        <f t="shared" si="0"/>
        <v>12.747817104663527</v>
      </c>
      <c r="M104" s="9"/>
      <c r="O104">
        <v>307</v>
      </c>
      <c r="R104" s="3"/>
      <c r="S104" s="9"/>
      <c r="T104" s="11"/>
      <c r="U104" s="9"/>
      <c r="V104" s="11"/>
      <c r="W104" s="9"/>
      <c r="X104">
        <v>307</v>
      </c>
      <c r="AA104" s="3">
        <v>4.9000000000000004</v>
      </c>
      <c r="AB104" s="9">
        <v>0.1841726618705036</v>
      </c>
    </row>
    <row r="105" spans="1:28" x14ac:dyDescent="0.25">
      <c r="A105" t="s">
        <v>46</v>
      </c>
      <c r="B105" t="s">
        <v>0</v>
      </c>
      <c r="C105">
        <v>63</v>
      </c>
      <c r="D105">
        <v>308</v>
      </c>
      <c r="E105">
        <v>5</v>
      </c>
      <c r="F105" t="s">
        <v>5</v>
      </c>
      <c r="I105" s="3">
        <v>12.3</v>
      </c>
      <c r="J105" s="9">
        <v>0.26126126126126126</v>
      </c>
      <c r="K105" s="11">
        <v>121</v>
      </c>
      <c r="L105" s="3">
        <f t="shared" si="0"/>
        <v>13.050341789457695</v>
      </c>
      <c r="M105" s="9"/>
      <c r="O105">
        <v>308</v>
      </c>
      <c r="R105" s="3"/>
      <c r="S105" s="9"/>
      <c r="T105" s="11"/>
      <c r="U105" s="9"/>
      <c r="V105" s="11"/>
      <c r="W105" s="9"/>
      <c r="X105">
        <v>308</v>
      </c>
      <c r="AA105" s="3">
        <v>5.34</v>
      </c>
      <c r="AB105" s="9">
        <v>0.1841726618705036</v>
      </c>
    </row>
    <row r="106" spans="1:28" x14ac:dyDescent="0.25">
      <c r="A106" t="s">
        <v>46</v>
      </c>
      <c r="B106" t="s">
        <v>0</v>
      </c>
      <c r="C106">
        <v>63</v>
      </c>
      <c r="D106">
        <v>309</v>
      </c>
      <c r="E106">
        <v>2</v>
      </c>
      <c r="F106" t="s">
        <v>4</v>
      </c>
      <c r="G106">
        <v>862</v>
      </c>
      <c r="H106">
        <v>255</v>
      </c>
      <c r="I106" s="3">
        <v>15.02</v>
      </c>
      <c r="J106" s="9">
        <v>0.26867469879518074</v>
      </c>
      <c r="K106" s="11">
        <v>124</v>
      </c>
      <c r="L106" s="3">
        <f t="shared" si="0"/>
        <v>15.774232433179906</v>
      </c>
      <c r="M106" s="9"/>
      <c r="O106">
        <v>309</v>
      </c>
      <c r="R106" s="3"/>
      <c r="S106" s="9"/>
      <c r="T106" s="11"/>
      <c r="U106" s="9"/>
      <c r="V106" s="11"/>
      <c r="W106" s="9"/>
      <c r="X106">
        <v>309</v>
      </c>
      <c r="Y106">
        <v>631</v>
      </c>
      <c r="Z106">
        <v>137</v>
      </c>
      <c r="AA106" s="3">
        <v>5.42</v>
      </c>
      <c r="AB106" s="9">
        <v>0.17529215358931552</v>
      </c>
    </row>
    <row r="107" spans="1:28" x14ac:dyDescent="0.25">
      <c r="A107" t="s">
        <v>46</v>
      </c>
      <c r="B107" t="s">
        <v>0</v>
      </c>
      <c r="C107">
        <v>63</v>
      </c>
      <c r="D107">
        <v>310</v>
      </c>
      <c r="E107">
        <v>5</v>
      </c>
      <c r="F107" t="s">
        <v>5</v>
      </c>
      <c r="I107" s="3">
        <v>11.66</v>
      </c>
      <c r="J107" s="9">
        <v>0.26867469879518074</v>
      </c>
      <c r="K107" s="11">
        <v>85</v>
      </c>
      <c r="L107" s="3">
        <f t="shared" si="0"/>
        <v>12.094503466940598</v>
      </c>
      <c r="M107" s="9"/>
      <c r="O107">
        <v>310</v>
      </c>
      <c r="R107" s="3"/>
      <c r="S107" s="9"/>
      <c r="T107" s="11"/>
      <c r="U107" s="9"/>
      <c r="V107" s="11"/>
      <c r="W107" s="9"/>
      <c r="X107">
        <v>310</v>
      </c>
      <c r="AA107" s="3">
        <v>5.08</v>
      </c>
      <c r="AB107" s="9">
        <v>0.17529215358931552</v>
      </c>
    </row>
    <row r="108" spans="1:28" x14ac:dyDescent="0.25">
      <c r="A108" t="s">
        <v>46</v>
      </c>
      <c r="B108" t="s">
        <v>0</v>
      </c>
      <c r="C108">
        <v>63</v>
      </c>
      <c r="D108">
        <v>311</v>
      </c>
      <c r="E108">
        <v>3</v>
      </c>
      <c r="F108" t="s">
        <v>3</v>
      </c>
      <c r="I108" s="3">
        <v>12.2</v>
      </c>
      <c r="J108" s="9">
        <v>0.26867469879518074</v>
      </c>
      <c r="K108" s="11">
        <v>124</v>
      </c>
      <c r="L108" s="3">
        <f t="shared" si="0"/>
        <v>12.954232433179905</v>
      </c>
      <c r="M108" s="9"/>
      <c r="O108">
        <v>311</v>
      </c>
      <c r="R108" s="3"/>
      <c r="S108" s="9"/>
      <c r="T108" s="11"/>
      <c r="U108" s="9"/>
      <c r="V108" s="11"/>
      <c r="W108" s="9"/>
      <c r="X108">
        <v>311</v>
      </c>
      <c r="AA108" s="3">
        <v>4.22</v>
      </c>
      <c r="AB108" s="9">
        <v>0.17529215358931552</v>
      </c>
    </row>
    <row r="109" spans="1:28" x14ac:dyDescent="0.25">
      <c r="A109" t="s">
        <v>46</v>
      </c>
      <c r="B109" t="s">
        <v>0</v>
      </c>
      <c r="C109">
        <v>63</v>
      </c>
      <c r="D109">
        <v>312</v>
      </c>
      <c r="E109">
        <v>6</v>
      </c>
      <c r="F109" t="s">
        <v>1</v>
      </c>
      <c r="I109" s="3">
        <v>11.52</v>
      </c>
      <c r="J109" s="9">
        <v>0.26867469879518074</v>
      </c>
      <c r="K109" s="11">
        <v>74</v>
      </c>
      <c r="L109" s="3">
        <f t="shared" si="0"/>
        <v>11.86432350210387</v>
      </c>
      <c r="M109" s="9"/>
      <c r="O109">
        <v>312</v>
      </c>
      <c r="R109" s="3"/>
      <c r="S109" s="9"/>
      <c r="T109" s="11"/>
      <c r="U109" s="9"/>
      <c r="V109" s="11"/>
      <c r="W109" s="9"/>
      <c r="X109">
        <v>312</v>
      </c>
      <c r="AA109" s="3">
        <v>3.68</v>
      </c>
      <c r="AB109" s="9">
        <v>0.17529215358931552</v>
      </c>
    </row>
    <row r="110" spans="1:28" x14ac:dyDescent="0.25">
      <c r="A110" t="s">
        <v>46</v>
      </c>
      <c r="B110" t="s">
        <v>0</v>
      </c>
      <c r="C110">
        <v>63</v>
      </c>
      <c r="D110">
        <v>313</v>
      </c>
      <c r="E110">
        <v>19</v>
      </c>
      <c r="F110" t="s">
        <v>10</v>
      </c>
      <c r="G110">
        <v>887</v>
      </c>
      <c r="H110">
        <v>244</v>
      </c>
      <c r="I110" s="3">
        <v>16.14</v>
      </c>
      <c r="J110" s="9">
        <v>0.24795321637426901</v>
      </c>
      <c r="K110" s="11">
        <v>134</v>
      </c>
      <c r="L110" s="3">
        <f t="shared" si="0"/>
        <v>17.04609675006234</v>
      </c>
      <c r="M110" s="9"/>
      <c r="O110">
        <v>313</v>
      </c>
      <c r="P110">
        <v>764</v>
      </c>
      <c r="Q110">
        <v>294</v>
      </c>
      <c r="R110" s="3">
        <v>3.94</v>
      </c>
      <c r="S110" s="9">
        <v>0.35792349726775957</v>
      </c>
      <c r="T110" s="11">
        <v>166</v>
      </c>
      <c r="U110" s="3">
        <f t="shared" ref="U110:U145" si="4">(R110+(((T110-32)/454)/S110))</f>
        <v>4.7646292497561955</v>
      </c>
      <c r="V110" s="11"/>
      <c r="W110" s="9"/>
      <c r="X110">
        <v>313</v>
      </c>
      <c r="Y110">
        <v>742</v>
      </c>
      <c r="Z110">
        <v>184</v>
      </c>
      <c r="AA110" s="3">
        <v>4.6399999999999997</v>
      </c>
      <c r="AB110" s="9">
        <v>0.21408450704225351</v>
      </c>
    </row>
    <row r="111" spans="1:28" x14ac:dyDescent="0.25">
      <c r="A111" t="s">
        <v>46</v>
      </c>
      <c r="B111" t="s">
        <v>0</v>
      </c>
      <c r="C111">
        <v>63</v>
      </c>
      <c r="D111">
        <v>314</v>
      </c>
      <c r="E111">
        <v>13</v>
      </c>
      <c r="F111" t="s">
        <v>24</v>
      </c>
      <c r="I111" s="3">
        <v>15.02</v>
      </c>
      <c r="J111" s="9">
        <v>0.24795321637426901</v>
      </c>
      <c r="K111" s="11">
        <v>93</v>
      </c>
      <c r="L111" s="3">
        <f t="shared" si="0"/>
        <v>15.561881389743164</v>
      </c>
      <c r="M111" s="9"/>
      <c r="O111">
        <v>314</v>
      </c>
      <c r="R111" s="3">
        <v>4.76</v>
      </c>
      <c r="S111" s="9">
        <v>0.35792349726775957</v>
      </c>
      <c r="T111" s="11">
        <v>129</v>
      </c>
      <c r="U111" s="3">
        <f t="shared" si="4"/>
        <v>5.3569331136294851</v>
      </c>
      <c r="V111" s="11"/>
      <c r="W111" s="9"/>
      <c r="X111">
        <v>314</v>
      </c>
      <c r="AA111" s="3">
        <v>4.1399999999999997</v>
      </c>
      <c r="AB111" s="9">
        <v>0.21408450704225351</v>
      </c>
    </row>
    <row r="112" spans="1:28" x14ac:dyDescent="0.25">
      <c r="A112" t="s">
        <v>46</v>
      </c>
      <c r="B112" t="s">
        <v>0</v>
      </c>
      <c r="C112">
        <v>63</v>
      </c>
      <c r="D112">
        <v>315</v>
      </c>
      <c r="E112">
        <v>23</v>
      </c>
      <c r="F112" t="s">
        <v>36</v>
      </c>
      <c r="I112" s="3">
        <v>14.98</v>
      </c>
      <c r="J112" s="9">
        <v>0.24795321637426901</v>
      </c>
      <c r="K112" s="11">
        <v>108</v>
      </c>
      <c r="L112" s="3">
        <f t="shared" si="0"/>
        <v>15.655130911811154</v>
      </c>
      <c r="M112" s="9"/>
      <c r="O112">
        <v>315</v>
      </c>
      <c r="R112" s="3">
        <v>4.4400000000000004</v>
      </c>
      <c r="S112" s="9">
        <v>0.35792349726775957</v>
      </c>
      <c r="T112" s="11">
        <v>172</v>
      </c>
      <c r="U112" s="3">
        <f t="shared" si="4"/>
        <v>5.3015529475064742</v>
      </c>
      <c r="V112" s="11"/>
      <c r="W112" s="9"/>
      <c r="X112">
        <v>315</v>
      </c>
      <c r="AA112" s="3">
        <v>4.62</v>
      </c>
      <c r="AB112" s="9">
        <v>0.21408450704225351</v>
      </c>
    </row>
    <row r="113" spans="1:30" x14ac:dyDescent="0.25">
      <c r="A113" t="s">
        <v>46</v>
      </c>
      <c r="B113" t="s">
        <v>0</v>
      </c>
      <c r="C113">
        <v>63</v>
      </c>
      <c r="D113">
        <v>316</v>
      </c>
      <c r="E113">
        <v>6</v>
      </c>
      <c r="F113" t="s">
        <v>1</v>
      </c>
      <c r="I113" s="3">
        <v>14.58</v>
      </c>
      <c r="J113" s="9">
        <v>0.24795321637426901</v>
      </c>
      <c r="K113" s="11">
        <v>108</v>
      </c>
      <c r="L113" s="3">
        <f t="shared" si="0"/>
        <v>15.255130911811154</v>
      </c>
      <c r="M113" s="9"/>
      <c r="O113">
        <v>316</v>
      </c>
      <c r="R113" s="3">
        <v>3.24</v>
      </c>
      <c r="S113" s="9">
        <v>0.35792349726775957</v>
      </c>
      <c r="T113" s="11">
        <v>131</v>
      </c>
      <c r="U113" s="3">
        <f t="shared" si="4"/>
        <v>3.849241012879578</v>
      </c>
      <c r="V113" s="11"/>
      <c r="W113" s="9"/>
      <c r="X113">
        <v>316</v>
      </c>
      <c r="AA113" s="3">
        <v>3.88</v>
      </c>
      <c r="AB113" s="9">
        <v>0.21408450704225351</v>
      </c>
      <c r="AC113">
        <v>80</v>
      </c>
      <c r="AD113" s="3">
        <f>(AA113+(((AC113-32)/454)/AB113))</f>
        <v>4.3738557848365405</v>
      </c>
    </row>
    <row r="114" spans="1:30" x14ac:dyDescent="0.25">
      <c r="A114" t="s">
        <v>46</v>
      </c>
      <c r="B114" t="s">
        <v>0</v>
      </c>
      <c r="C114">
        <v>63</v>
      </c>
      <c r="D114">
        <v>317</v>
      </c>
      <c r="E114">
        <v>20</v>
      </c>
      <c r="F114" t="s">
        <v>28</v>
      </c>
      <c r="G114">
        <v>850</v>
      </c>
      <c r="H114">
        <v>236</v>
      </c>
      <c r="I114" s="3">
        <v>12.6</v>
      </c>
      <c r="J114" s="9">
        <v>0.24938875305623473</v>
      </c>
      <c r="K114" s="11">
        <v>73</v>
      </c>
      <c r="L114" s="3">
        <f t="shared" si="0"/>
        <v>12.962118856353113</v>
      </c>
      <c r="M114" s="9"/>
      <c r="O114">
        <v>317</v>
      </c>
      <c r="P114">
        <v>564</v>
      </c>
      <c r="Q114">
        <v>251</v>
      </c>
      <c r="R114" s="3">
        <v>3.14</v>
      </c>
      <c r="S114" s="9">
        <v>0.41165413533834588</v>
      </c>
      <c r="T114" s="11">
        <v>118</v>
      </c>
      <c r="U114" s="3">
        <f t="shared" si="4"/>
        <v>3.600161326011305</v>
      </c>
      <c r="V114" s="11"/>
      <c r="W114" s="9"/>
      <c r="X114">
        <v>317</v>
      </c>
      <c r="Y114">
        <v>795</v>
      </c>
      <c r="Z114">
        <v>180</v>
      </c>
      <c r="AA114" s="3">
        <v>4.46</v>
      </c>
      <c r="AB114" s="9">
        <v>0.19397116644823068</v>
      </c>
    </row>
    <row r="115" spans="1:30" x14ac:dyDescent="0.25">
      <c r="A115" t="s">
        <v>46</v>
      </c>
      <c r="B115" t="s">
        <v>0</v>
      </c>
      <c r="C115">
        <v>63</v>
      </c>
      <c r="D115">
        <v>318</v>
      </c>
      <c r="E115">
        <v>36</v>
      </c>
      <c r="F115" t="s">
        <v>27</v>
      </c>
      <c r="I115" s="3">
        <v>15.7</v>
      </c>
      <c r="J115" s="9">
        <v>0.24938875305623473</v>
      </c>
      <c r="K115" s="11">
        <v>117</v>
      </c>
      <c r="L115" s="3">
        <f t="shared" ref="L115:L145" si="5">(I115+(((K115-32)/454)/J115))</f>
        <v>16.4507342143906</v>
      </c>
      <c r="M115" s="9"/>
      <c r="O115">
        <v>318</v>
      </c>
      <c r="R115" s="3">
        <v>2.98</v>
      </c>
      <c r="S115" s="9">
        <v>0.41165413533834588</v>
      </c>
      <c r="T115" s="11">
        <v>170</v>
      </c>
      <c r="U115" s="3">
        <f t="shared" si="4"/>
        <v>3.7183984068553495</v>
      </c>
      <c r="V115" s="11"/>
      <c r="W115" s="9"/>
      <c r="X115">
        <v>318</v>
      </c>
      <c r="AA115" s="3">
        <v>4.84</v>
      </c>
      <c r="AB115" s="9">
        <v>0.19397116644823068</v>
      </c>
    </row>
    <row r="116" spans="1:30" x14ac:dyDescent="0.25">
      <c r="A116" t="s">
        <v>46</v>
      </c>
      <c r="B116" t="s">
        <v>0</v>
      </c>
      <c r="C116">
        <v>63</v>
      </c>
      <c r="D116">
        <v>319</v>
      </c>
      <c r="E116">
        <v>3</v>
      </c>
      <c r="F116" t="s">
        <v>3</v>
      </c>
      <c r="I116" s="3">
        <v>14.88</v>
      </c>
      <c r="J116" s="9">
        <v>0.24938875305623473</v>
      </c>
      <c r="K116" s="11">
        <v>77</v>
      </c>
      <c r="L116" s="3">
        <f t="shared" si="5"/>
        <v>15.277447525265613</v>
      </c>
      <c r="M116" s="9"/>
      <c r="O116">
        <v>319</v>
      </c>
      <c r="R116" s="3">
        <v>2.7</v>
      </c>
      <c r="S116" s="9">
        <v>0.41165413533834588</v>
      </c>
      <c r="T116" s="11">
        <v>173</v>
      </c>
      <c r="U116" s="3">
        <f t="shared" si="4"/>
        <v>3.4544505461348143</v>
      </c>
      <c r="V116" s="11"/>
      <c r="W116" s="9"/>
      <c r="X116">
        <v>319</v>
      </c>
      <c r="AA116" s="3">
        <v>4.26</v>
      </c>
      <c r="AB116" s="9">
        <v>0.19397116644823068</v>
      </c>
      <c r="AC116">
        <v>80</v>
      </c>
      <c r="AD116" s="3">
        <f>(AA116+(((AC116-32)/454)/AB116))</f>
        <v>4.8050648886772231</v>
      </c>
    </row>
    <row r="117" spans="1:30" x14ac:dyDescent="0.25">
      <c r="A117" t="s">
        <v>46</v>
      </c>
      <c r="B117" t="s">
        <v>0</v>
      </c>
      <c r="C117">
        <v>63</v>
      </c>
      <c r="D117">
        <v>320</v>
      </c>
      <c r="E117">
        <v>33</v>
      </c>
      <c r="F117" t="s">
        <v>23</v>
      </c>
      <c r="I117" s="3">
        <v>15.8</v>
      </c>
      <c r="J117" s="9">
        <v>0.24938875305623473</v>
      </c>
      <c r="K117" s="11">
        <v>137</v>
      </c>
      <c r="L117" s="3">
        <f t="shared" si="5"/>
        <v>16.727377558953098</v>
      </c>
      <c r="M117" s="9"/>
      <c r="O117">
        <v>320</v>
      </c>
      <c r="R117" s="3">
        <v>3.5</v>
      </c>
      <c r="S117" s="9">
        <v>0.41165413533834588</v>
      </c>
      <c r="T117" s="11">
        <v>120</v>
      </c>
      <c r="U117" s="3">
        <f t="shared" si="4"/>
        <v>3.9708627521976143</v>
      </c>
      <c r="V117" s="11"/>
      <c r="W117" s="9"/>
      <c r="X117">
        <v>320</v>
      </c>
      <c r="AA117" s="3">
        <v>5.22</v>
      </c>
      <c r="AB117" s="9">
        <v>0.19397116644823068</v>
      </c>
    </row>
    <row r="118" spans="1:30" x14ac:dyDescent="0.25">
      <c r="A118" t="s">
        <v>46</v>
      </c>
      <c r="B118" t="s">
        <v>0</v>
      </c>
      <c r="C118">
        <v>63</v>
      </c>
      <c r="D118">
        <v>321</v>
      </c>
      <c r="E118">
        <v>22</v>
      </c>
      <c r="F118" t="s">
        <v>7</v>
      </c>
      <c r="G118">
        <v>972</v>
      </c>
      <c r="H118">
        <v>256</v>
      </c>
      <c r="I118" s="3">
        <v>15.78</v>
      </c>
      <c r="J118" s="9">
        <v>0.23829787234042554</v>
      </c>
      <c r="K118" s="11">
        <v>136</v>
      </c>
      <c r="L118" s="3">
        <f t="shared" si="5"/>
        <v>16.741296412838263</v>
      </c>
      <c r="M118" s="9"/>
      <c r="O118">
        <v>321</v>
      </c>
      <c r="P118">
        <v>662</v>
      </c>
      <c r="Q118">
        <v>277</v>
      </c>
      <c r="R118" s="3">
        <v>3.92</v>
      </c>
      <c r="S118" s="9">
        <v>0.3888888888888889</v>
      </c>
      <c r="T118" s="11">
        <v>141</v>
      </c>
      <c r="U118" s="3">
        <f t="shared" si="4"/>
        <v>4.5373694147262427</v>
      </c>
      <c r="V118" s="11"/>
      <c r="W118" s="9"/>
      <c r="X118">
        <v>321</v>
      </c>
      <c r="Y118">
        <v>829</v>
      </c>
      <c r="Z118">
        <v>205</v>
      </c>
      <c r="AA118" s="3">
        <v>4.4400000000000004</v>
      </c>
      <c r="AB118" s="9">
        <v>0.21706398996235884</v>
      </c>
    </row>
    <row r="119" spans="1:30" x14ac:dyDescent="0.25">
      <c r="A119" t="s">
        <v>46</v>
      </c>
      <c r="B119" t="s">
        <v>0</v>
      </c>
      <c r="C119">
        <v>63</v>
      </c>
      <c r="D119">
        <v>322</v>
      </c>
      <c r="E119">
        <v>1</v>
      </c>
      <c r="F119" t="s">
        <v>6</v>
      </c>
      <c r="I119" s="3">
        <v>16.48</v>
      </c>
      <c r="J119" s="9">
        <v>0.23829787234042554</v>
      </c>
      <c r="K119" s="11">
        <v>92</v>
      </c>
      <c r="L119" s="3">
        <f t="shared" si="5"/>
        <v>17.034594084329768</v>
      </c>
      <c r="M119" s="9"/>
      <c r="O119">
        <v>322</v>
      </c>
      <c r="R119" s="3">
        <v>4.04</v>
      </c>
      <c r="S119" s="9">
        <v>0.3888888888888889</v>
      </c>
      <c r="T119" s="11">
        <v>160</v>
      </c>
      <c r="U119" s="3">
        <f t="shared" si="4"/>
        <v>4.7649842668344871</v>
      </c>
      <c r="V119" s="11"/>
      <c r="W119" s="9"/>
      <c r="X119">
        <v>322</v>
      </c>
      <c r="AA119" s="3">
        <v>4.42</v>
      </c>
      <c r="AB119" s="9">
        <v>0.21706398996235884</v>
      </c>
      <c r="AC119">
        <v>79</v>
      </c>
      <c r="AD119" s="3">
        <f>(AA119+(((AC119-32)/454)/AB119))</f>
        <v>4.896929540882585</v>
      </c>
    </row>
    <row r="120" spans="1:30" x14ac:dyDescent="0.25">
      <c r="A120" t="s">
        <v>46</v>
      </c>
      <c r="B120" t="s">
        <v>0</v>
      </c>
      <c r="C120">
        <v>63</v>
      </c>
      <c r="D120">
        <v>323</v>
      </c>
      <c r="E120">
        <v>15</v>
      </c>
      <c r="F120" t="s">
        <v>20</v>
      </c>
      <c r="I120" s="3">
        <v>16.2</v>
      </c>
      <c r="J120" s="9">
        <v>0.23829787234042554</v>
      </c>
      <c r="K120" s="11">
        <v>93</v>
      </c>
      <c r="L120" s="3">
        <f t="shared" si="5"/>
        <v>16.763837319068596</v>
      </c>
      <c r="M120" s="9"/>
      <c r="O120">
        <v>323</v>
      </c>
      <c r="R120" s="3">
        <v>3.92</v>
      </c>
      <c r="S120" s="9">
        <v>0.3888888888888889</v>
      </c>
      <c r="T120" s="11">
        <v>217</v>
      </c>
      <c r="U120" s="3">
        <f t="shared" si="4"/>
        <v>4.9678288231592198</v>
      </c>
      <c r="V120" s="11"/>
      <c r="W120" s="9"/>
      <c r="X120">
        <v>323</v>
      </c>
      <c r="AA120" s="3">
        <v>4.58</v>
      </c>
      <c r="AB120" s="9">
        <v>0.21706398996235884</v>
      </c>
    </row>
    <row r="121" spans="1:30" x14ac:dyDescent="0.25">
      <c r="A121" t="s">
        <v>46</v>
      </c>
      <c r="B121" t="s">
        <v>0</v>
      </c>
      <c r="C121">
        <v>63</v>
      </c>
      <c r="D121">
        <v>324</v>
      </c>
      <c r="E121">
        <v>4</v>
      </c>
      <c r="F121" t="s">
        <v>2</v>
      </c>
      <c r="I121" s="3">
        <v>15.38</v>
      </c>
      <c r="J121" s="9">
        <v>0.23829787234042554</v>
      </c>
      <c r="K121" s="11">
        <v>131</v>
      </c>
      <c r="L121" s="3">
        <f t="shared" si="5"/>
        <v>16.295080239144117</v>
      </c>
      <c r="M121" s="9"/>
      <c r="O121">
        <v>324</v>
      </c>
      <c r="R121" s="3">
        <v>2.88</v>
      </c>
      <c r="S121" s="9">
        <v>0.3888888888888889</v>
      </c>
      <c r="T121" s="11">
        <v>125</v>
      </c>
      <c r="U121" s="3">
        <f t="shared" si="4"/>
        <v>3.4067463813719319</v>
      </c>
      <c r="V121" s="11"/>
      <c r="W121" s="9"/>
      <c r="X121">
        <v>324</v>
      </c>
      <c r="AA121" s="3">
        <v>4.58</v>
      </c>
      <c r="AB121" s="9">
        <v>0.21706398996235884</v>
      </c>
      <c r="AC121">
        <v>91</v>
      </c>
      <c r="AD121" s="3">
        <f>(AA121+(((AC121-32)/454)/AB121))</f>
        <v>5.1786987853632453</v>
      </c>
    </row>
    <row r="122" spans="1:30" x14ac:dyDescent="0.25">
      <c r="A122" t="s">
        <v>46</v>
      </c>
      <c r="B122" t="s">
        <v>0</v>
      </c>
      <c r="C122">
        <v>63</v>
      </c>
      <c r="D122">
        <v>325</v>
      </c>
      <c r="E122">
        <v>12</v>
      </c>
      <c r="F122" t="s">
        <v>33</v>
      </c>
      <c r="G122">
        <v>815</v>
      </c>
      <c r="H122">
        <v>226</v>
      </c>
      <c r="I122" s="3">
        <v>17.84</v>
      </c>
      <c r="J122" s="9">
        <v>0.24776500638569604</v>
      </c>
      <c r="K122" s="11">
        <v>94</v>
      </c>
      <c r="L122" s="3">
        <f t="shared" si="5"/>
        <v>18.391183069167536</v>
      </c>
      <c r="M122" s="9"/>
      <c r="O122">
        <v>325</v>
      </c>
      <c r="P122">
        <v>562</v>
      </c>
      <c r="Q122">
        <v>227</v>
      </c>
      <c r="R122" s="3">
        <v>3.24</v>
      </c>
      <c r="S122" s="9">
        <v>0.36792452830188677</v>
      </c>
      <c r="T122" s="11">
        <v>120</v>
      </c>
      <c r="U122" s="3">
        <f t="shared" si="4"/>
        <v>3.7668270642719985</v>
      </c>
      <c r="V122" s="11"/>
      <c r="W122" s="9"/>
      <c r="X122">
        <v>325</v>
      </c>
      <c r="Y122">
        <v>852</v>
      </c>
      <c r="Z122">
        <v>214</v>
      </c>
      <c r="AA122" s="3">
        <v>4.72</v>
      </c>
      <c r="AB122" s="9">
        <v>0.22195121951219512</v>
      </c>
    </row>
    <row r="123" spans="1:30" x14ac:dyDescent="0.25">
      <c r="A123" t="s">
        <v>46</v>
      </c>
      <c r="B123" t="s">
        <v>0</v>
      </c>
      <c r="C123">
        <v>63</v>
      </c>
      <c r="D123">
        <v>326</v>
      </c>
      <c r="E123">
        <v>24</v>
      </c>
      <c r="F123" t="s">
        <v>32</v>
      </c>
      <c r="I123" s="3">
        <v>16.48</v>
      </c>
      <c r="J123" s="9">
        <v>0.24776500638569604</v>
      </c>
      <c r="K123" s="11">
        <v>139</v>
      </c>
      <c r="L123" s="3">
        <f t="shared" si="5"/>
        <v>17.431235296789136</v>
      </c>
      <c r="M123" s="9"/>
      <c r="O123">
        <v>326</v>
      </c>
      <c r="R123" s="3">
        <v>2.84</v>
      </c>
      <c r="S123" s="9">
        <v>0.36792452830188677</v>
      </c>
      <c r="T123" s="11">
        <v>171</v>
      </c>
      <c r="U123" s="3">
        <f t="shared" si="4"/>
        <v>3.6721472947023606</v>
      </c>
      <c r="V123" s="11"/>
      <c r="W123" s="9"/>
      <c r="X123">
        <v>326</v>
      </c>
      <c r="AA123" s="3">
        <v>4.22</v>
      </c>
      <c r="AB123" s="9">
        <v>0.22195121951219512</v>
      </c>
    </row>
    <row r="124" spans="1:30" x14ac:dyDescent="0.25">
      <c r="A124" t="s">
        <v>46</v>
      </c>
      <c r="B124" t="s">
        <v>0</v>
      </c>
      <c r="C124">
        <v>63</v>
      </c>
      <c r="D124">
        <v>327</v>
      </c>
      <c r="E124">
        <v>21</v>
      </c>
      <c r="F124" t="s">
        <v>22</v>
      </c>
      <c r="I124" s="3">
        <v>12.54</v>
      </c>
      <c r="J124" s="9">
        <v>0.24776500638569604</v>
      </c>
      <c r="K124" s="11">
        <v>148</v>
      </c>
      <c r="L124" s="3">
        <f t="shared" si="5"/>
        <v>13.571245742313456</v>
      </c>
      <c r="M124" s="9"/>
      <c r="O124">
        <v>327</v>
      </c>
      <c r="R124" s="3">
        <v>2.2999999999999998</v>
      </c>
      <c r="S124" s="9">
        <v>0.36792452830188677</v>
      </c>
      <c r="T124" s="11">
        <v>108</v>
      </c>
      <c r="U124" s="3">
        <f t="shared" si="4"/>
        <v>2.7549870100530893</v>
      </c>
      <c r="V124" s="11"/>
      <c r="W124" s="9"/>
      <c r="X124">
        <v>327</v>
      </c>
      <c r="AA124" s="3">
        <v>3.72</v>
      </c>
      <c r="AB124" s="9">
        <v>0.22195121951219512</v>
      </c>
    </row>
    <row r="125" spans="1:30" x14ac:dyDescent="0.25">
      <c r="A125" t="s">
        <v>46</v>
      </c>
      <c r="B125" t="s">
        <v>0</v>
      </c>
      <c r="C125">
        <v>63</v>
      </c>
      <c r="D125">
        <v>328</v>
      </c>
      <c r="E125">
        <v>2</v>
      </c>
      <c r="F125" t="s">
        <v>4</v>
      </c>
      <c r="I125" s="3">
        <v>14.5</v>
      </c>
      <c r="J125" s="9">
        <v>0.24776500638569604</v>
      </c>
      <c r="K125" s="11">
        <v>102</v>
      </c>
      <c r="L125" s="3">
        <f t="shared" si="5"/>
        <v>15.122303465189155</v>
      </c>
      <c r="M125" s="9"/>
      <c r="O125">
        <v>328</v>
      </c>
      <c r="R125" s="3">
        <v>2.2000000000000002</v>
      </c>
      <c r="S125" s="9">
        <v>0.36792452830188677</v>
      </c>
      <c r="T125" s="11">
        <v>151</v>
      </c>
      <c r="U125" s="3">
        <f t="shared" si="4"/>
        <v>2.9124138710041798</v>
      </c>
      <c r="V125" s="11"/>
      <c r="W125" s="9"/>
      <c r="X125">
        <v>328</v>
      </c>
      <c r="AA125" s="3">
        <v>3.62</v>
      </c>
      <c r="AB125" s="9">
        <v>0.22195121951219512</v>
      </c>
      <c r="AC125">
        <v>84</v>
      </c>
      <c r="AD125" s="3">
        <f>(AA125+(((AC125-32)/454)/AB125))</f>
        <v>4.136047828823159</v>
      </c>
    </row>
    <row r="126" spans="1:30" x14ac:dyDescent="0.25">
      <c r="A126" t="s">
        <v>46</v>
      </c>
      <c r="B126" t="s">
        <v>0</v>
      </c>
      <c r="C126">
        <v>63</v>
      </c>
      <c r="D126">
        <v>329</v>
      </c>
      <c r="E126">
        <v>30</v>
      </c>
      <c r="F126" t="s">
        <v>9</v>
      </c>
      <c r="G126">
        <v>778</v>
      </c>
      <c r="H126">
        <v>198</v>
      </c>
      <c r="I126" s="3">
        <v>14.36</v>
      </c>
      <c r="J126" s="9">
        <v>0.22252010723860591</v>
      </c>
      <c r="K126" s="11">
        <v>88</v>
      </c>
      <c r="L126" s="3">
        <f t="shared" si="5"/>
        <v>14.914323018948039</v>
      </c>
      <c r="M126" s="9"/>
      <c r="O126">
        <v>329</v>
      </c>
      <c r="P126">
        <v>624</v>
      </c>
      <c r="Q126">
        <v>247</v>
      </c>
      <c r="R126" s="3">
        <v>1.7</v>
      </c>
      <c r="S126" s="9">
        <v>0.36317567567567566</v>
      </c>
      <c r="T126" s="11">
        <v>162</v>
      </c>
      <c r="U126" s="3">
        <f t="shared" si="4"/>
        <v>2.488443806986989</v>
      </c>
      <c r="V126" s="11"/>
      <c r="W126" s="9"/>
      <c r="X126">
        <v>329</v>
      </c>
      <c r="Y126">
        <v>635</v>
      </c>
      <c r="Z126">
        <v>157</v>
      </c>
      <c r="AA126" s="3">
        <v>4.38</v>
      </c>
      <c r="AB126" s="9">
        <v>0.20729684908789386</v>
      </c>
    </row>
    <row r="127" spans="1:30" x14ac:dyDescent="0.25">
      <c r="A127" t="s">
        <v>46</v>
      </c>
      <c r="B127" t="s">
        <v>0</v>
      </c>
      <c r="C127">
        <v>63</v>
      </c>
      <c r="D127">
        <v>330</v>
      </c>
      <c r="E127">
        <v>8</v>
      </c>
      <c r="F127" t="s">
        <v>31</v>
      </c>
      <c r="I127" s="3">
        <v>15.04</v>
      </c>
      <c r="J127" s="9">
        <v>0.22252010723860591</v>
      </c>
      <c r="K127" s="11">
        <v>84</v>
      </c>
      <c r="L127" s="3">
        <f t="shared" si="5"/>
        <v>15.554728517594606</v>
      </c>
      <c r="M127" s="9"/>
      <c r="O127">
        <v>330</v>
      </c>
      <c r="R127" s="3">
        <v>11.3</v>
      </c>
      <c r="S127" s="9">
        <v>0.36317567567567566</v>
      </c>
      <c r="T127" s="11">
        <v>111</v>
      </c>
      <c r="U127" s="3">
        <f t="shared" si="4"/>
        <v>11.779131236553633</v>
      </c>
      <c r="V127" s="11"/>
      <c r="W127" s="9"/>
      <c r="X127">
        <v>330</v>
      </c>
      <c r="AA127" s="3">
        <v>4.68</v>
      </c>
      <c r="AB127" s="9">
        <v>0.20729684908789386</v>
      </c>
    </row>
    <row r="128" spans="1:30" x14ac:dyDescent="0.25">
      <c r="A128" t="s">
        <v>46</v>
      </c>
      <c r="B128" t="s">
        <v>0</v>
      </c>
      <c r="C128">
        <v>63</v>
      </c>
      <c r="D128">
        <v>331</v>
      </c>
      <c r="E128">
        <v>17</v>
      </c>
      <c r="F128" t="s">
        <v>17</v>
      </c>
      <c r="I128" s="3">
        <v>15.36</v>
      </c>
      <c r="J128" s="9">
        <v>0.22252010723860591</v>
      </c>
      <c r="K128" s="11">
        <v>93</v>
      </c>
      <c r="L128" s="3">
        <f t="shared" si="5"/>
        <v>15.963816145639827</v>
      </c>
      <c r="M128" s="9"/>
      <c r="O128">
        <v>331</v>
      </c>
      <c r="R128" s="3">
        <v>4.38</v>
      </c>
      <c r="S128" s="9">
        <v>0.36317567567567566</v>
      </c>
      <c r="T128" s="11">
        <v>106</v>
      </c>
      <c r="U128" s="3">
        <f t="shared" si="4"/>
        <v>4.8288064747464396</v>
      </c>
      <c r="V128" s="11"/>
      <c r="W128" s="9"/>
      <c r="X128">
        <v>331</v>
      </c>
      <c r="AA128" s="3">
        <v>4.4000000000000004</v>
      </c>
      <c r="AB128" s="9">
        <v>0.20729684908789386</v>
      </c>
    </row>
    <row r="129" spans="1:28" x14ac:dyDescent="0.25">
      <c r="A129" t="s">
        <v>46</v>
      </c>
      <c r="B129" t="s">
        <v>0</v>
      </c>
      <c r="C129">
        <v>63</v>
      </c>
      <c r="D129">
        <v>332</v>
      </c>
      <c r="E129">
        <v>34</v>
      </c>
      <c r="F129" t="s">
        <v>34</v>
      </c>
      <c r="I129" s="3">
        <v>15.22</v>
      </c>
      <c r="J129" s="9">
        <v>0.22252010723860591</v>
      </c>
      <c r="K129" s="11">
        <v>80</v>
      </c>
      <c r="L129" s="3">
        <f t="shared" si="5"/>
        <v>15.695134016241177</v>
      </c>
      <c r="M129" s="9"/>
      <c r="O129">
        <v>332</v>
      </c>
      <c r="R129" s="3">
        <v>3.94</v>
      </c>
      <c r="S129" s="9">
        <v>0.36317567567567566</v>
      </c>
      <c r="T129" s="11">
        <v>165</v>
      </c>
      <c r="U129" s="3">
        <f t="shared" si="4"/>
        <v>4.7466386640713045</v>
      </c>
      <c r="V129" s="11"/>
      <c r="W129" s="9"/>
      <c r="X129">
        <v>332</v>
      </c>
      <c r="AA129" s="3">
        <v>4.62</v>
      </c>
      <c r="AB129" s="9">
        <v>0.20729684908789386</v>
      </c>
    </row>
    <row r="130" spans="1:28" x14ac:dyDescent="0.25">
      <c r="A130" t="s">
        <v>46</v>
      </c>
      <c r="B130" t="s">
        <v>0</v>
      </c>
      <c r="C130">
        <v>63</v>
      </c>
      <c r="D130">
        <v>333</v>
      </c>
      <c r="E130">
        <v>14</v>
      </c>
      <c r="F130" t="s">
        <v>25</v>
      </c>
      <c r="G130">
        <v>894</v>
      </c>
      <c r="H130">
        <v>246</v>
      </c>
      <c r="I130" s="3">
        <v>13.86</v>
      </c>
      <c r="J130" s="9">
        <v>0.24825986078886311</v>
      </c>
      <c r="K130" s="11">
        <v>71</v>
      </c>
      <c r="L130" s="3">
        <f t="shared" si="5"/>
        <v>14.206020832475605</v>
      </c>
      <c r="M130" s="9"/>
      <c r="O130">
        <v>333</v>
      </c>
      <c r="P130">
        <v>784</v>
      </c>
      <c r="Q130">
        <v>307</v>
      </c>
      <c r="R130" s="3">
        <v>3.32</v>
      </c>
      <c r="S130" s="9">
        <v>0.36569148936170215</v>
      </c>
      <c r="T130" s="11">
        <v>129</v>
      </c>
      <c r="U130" s="3">
        <f t="shared" si="4"/>
        <v>3.9042531037244692</v>
      </c>
      <c r="V130" s="11"/>
      <c r="W130" s="9"/>
      <c r="X130">
        <v>333</v>
      </c>
      <c r="Y130">
        <v>847</v>
      </c>
      <c r="Z130">
        <v>216</v>
      </c>
      <c r="AA130" s="3">
        <v>3.9</v>
      </c>
      <c r="AB130" s="9">
        <v>0.22576687116564417</v>
      </c>
    </row>
    <row r="131" spans="1:28" x14ac:dyDescent="0.25">
      <c r="A131" t="s">
        <v>46</v>
      </c>
      <c r="B131" t="s">
        <v>0</v>
      </c>
      <c r="C131">
        <v>63</v>
      </c>
      <c r="D131">
        <v>334</v>
      </c>
      <c r="E131">
        <v>7</v>
      </c>
      <c r="F131" t="s">
        <v>16</v>
      </c>
      <c r="I131" s="3">
        <v>13.96</v>
      </c>
      <c r="J131" s="9">
        <v>0.24825986078886311</v>
      </c>
      <c r="K131" s="11">
        <v>74</v>
      </c>
      <c r="L131" s="3">
        <f t="shared" si="5"/>
        <v>14.332637819589115</v>
      </c>
      <c r="M131" s="9"/>
      <c r="O131">
        <v>334</v>
      </c>
      <c r="R131" s="3">
        <v>3.3</v>
      </c>
      <c r="S131" s="9">
        <v>0.36569148936170215</v>
      </c>
      <c r="T131" s="11">
        <v>167</v>
      </c>
      <c r="U131" s="3">
        <f t="shared" si="4"/>
        <v>4.1131357629154985</v>
      </c>
      <c r="V131" s="11"/>
      <c r="W131" s="9"/>
      <c r="X131">
        <v>334</v>
      </c>
      <c r="AA131" s="3">
        <v>3.7</v>
      </c>
      <c r="AB131" s="9">
        <v>0.22576687116564417</v>
      </c>
    </row>
    <row r="132" spans="1:28" x14ac:dyDescent="0.25">
      <c r="A132" t="s">
        <v>46</v>
      </c>
      <c r="B132" t="s">
        <v>0</v>
      </c>
      <c r="C132">
        <v>63</v>
      </c>
      <c r="D132">
        <v>335</v>
      </c>
      <c r="E132">
        <v>9</v>
      </c>
      <c r="F132" t="s">
        <v>19</v>
      </c>
      <c r="I132" s="3">
        <v>14.56</v>
      </c>
      <c r="J132" s="9">
        <v>0.24825986078886311</v>
      </c>
      <c r="K132" s="11">
        <v>77</v>
      </c>
      <c r="L132" s="3">
        <f t="shared" si="5"/>
        <v>14.959254806702623</v>
      </c>
      <c r="M132" s="9"/>
      <c r="O132">
        <v>335</v>
      </c>
      <c r="R132" s="3">
        <v>3.5</v>
      </c>
      <c r="S132" s="9">
        <v>0.36569148936170215</v>
      </c>
      <c r="T132" s="11">
        <v>168</v>
      </c>
      <c r="U132" s="3">
        <f t="shared" si="4"/>
        <v>4.3191589907889467</v>
      </c>
      <c r="V132" s="11"/>
      <c r="W132" s="9"/>
      <c r="X132">
        <v>335</v>
      </c>
      <c r="AA132" s="3">
        <v>4.5199999999999996</v>
      </c>
      <c r="AB132" s="9">
        <v>0.22576687116564417</v>
      </c>
    </row>
    <row r="133" spans="1:28" x14ac:dyDescent="0.25">
      <c r="A133" t="s">
        <v>46</v>
      </c>
      <c r="B133" t="s">
        <v>0</v>
      </c>
      <c r="C133">
        <v>63</v>
      </c>
      <c r="D133">
        <v>336</v>
      </c>
      <c r="E133">
        <v>11</v>
      </c>
      <c r="F133" t="s">
        <v>15</v>
      </c>
      <c r="I133" s="3">
        <v>17.079999999999998</v>
      </c>
      <c r="J133" s="9">
        <v>0.24825986078886311</v>
      </c>
      <c r="K133" s="11">
        <v>73</v>
      </c>
      <c r="L133" s="3">
        <f t="shared" si="5"/>
        <v>17.443765490551275</v>
      </c>
      <c r="M133" s="9"/>
      <c r="O133">
        <v>336</v>
      </c>
      <c r="R133" s="3">
        <v>5.36</v>
      </c>
      <c r="S133" s="9">
        <v>0.36569148936170215</v>
      </c>
      <c r="T133" s="11">
        <v>125</v>
      </c>
      <c r="U133" s="3">
        <f t="shared" si="4"/>
        <v>5.9201601922306768</v>
      </c>
      <c r="V133" s="11"/>
      <c r="W133" s="9"/>
      <c r="X133">
        <v>336</v>
      </c>
      <c r="AA133" s="3">
        <v>5.16</v>
      </c>
      <c r="AB133" s="9">
        <v>0.22576687116564417</v>
      </c>
    </row>
    <row r="134" spans="1:28" x14ac:dyDescent="0.25">
      <c r="A134" t="s">
        <v>46</v>
      </c>
      <c r="B134" t="s">
        <v>0</v>
      </c>
      <c r="C134">
        <v>63</v>
      </c>
      <c r="D134">
        <v>337</v>
      </c>
      <c r="E134">
        <v>29</v>
      </c>
      <c r="F134" t="s">
        <v>11</v>
      </c>
      <c r="G134">
        <v>809</v>
      </c>
      <c r="H134">
        <v>219</v>
      </c>
      <c r="I134" s="3">
        <v>16</v>
      </c>
      <c r="J134" s="9">
        <v>0.24066924066924067</v>
      </c>
      <c r="K134" s="11">
        <v>84</v>
      </c>
      <c r="L134" s="3">
        <f t="shared" si="5"/>
        <v>16.475912271196023</v>
      </c>
      <c r="M134" s="9"/>
      <c r="O134">
        <v>337</v>
      </c>
      <c r="P134">
        <v>849</v>
      </c>
      <c r="Q134">
        <v>333</v>
      </c>
      <c r="R134" s="3">
        <v>5.2</v>
      </c>
      <c r="S134" s="9">
        <v>0.36842105263157893</v>
      </c>
      <c r="T134" s="11">
        <v>121</v>
      </c>
      <c r="U134" s="3">
        <f t="shared" si="4"/>
        <v>5.7320956576463189</v>
      </c>
      <c r="V134" s="11"/>
      <c r="W134" s="9"/>
      <c r="X134">
        <v>337</v>
      </c>
      <c r="Y134">
        <v>752</v>
      </c>
      <c r="Z134">
        <v>185</v>
      </c>
      <c r="AA134" s="3">
        <v>5.08</v>
      </c>
      <c r="AB134" s="9">
        <v>0.21249999999999999</v>
      </c>
    </row>
    <row r="135" spans="1:28" x14ac:dyDescent="0.25">
      <c r="A135" t="s">
        <v>46</v>
      </c>
      <c r="B135" t="s">
        <v>0</v>
      </c>
      <c r="C135">
        <v>63</v>
      </c>
      <c r="D135">
        <v>338</v>
      </c>
      <c r="E135">
        <v>26</v>
      </c>
      <c r="F135" t="s">
        <v>21</v>
      </c>
      <c r="I135" s="3">
        <v>16.78</v>
      </c>
      <c r="J135" s="9">
        <v>0.24066924066924067</v>
      </c>
      <c r="K135" s="11">
        <v>81</v>
      </c>
      <c r="L135" s="3">
        <f t="shared" si="5"/>
        <v>17.228455794011637</v>
      </c>
      <c r="M135" s="9"/>
      <c r="O135">
        <v>338</v>
      </c>
      <c r="R135" s="3">
        <v>3.8</v>
      </c>
      <c r="S135" s="9">
        <v>0.36842105263157893</v>
      </c>
      <c r="T135" s="11">
        <v>140</v>
      </c>
      <c r="U135" s="3">
        <f t="shared" si="4"/>
        <v>4.4456891126494646</v>
      </c>
      <c r="V135" s="11"/>
      <c r="W135" s="9"/>
      <c r="X135">
        <v>338</v>
      </c>
      <c r="AA135" s="3">
        <v>5.22</v>
      </c>
      <c r="AB135" s="9">
        <v>0.21249999999999999</v>
      </c>
    </row>
    <row r="136" spans="1:28" x14ac:dyDescent="0.25">
      <c r="A136" t="s">
        <v>46</v>
      </c>
      <c r="B136" t="s">
        <v>0</v>
      </c>
      <c r="C136">
        <v>63</v>
      </c>
      <c r="D136">
        <v>339</v>
      </c>
      <c r="E136">
        <v>28</v>
      </c>
      <c r="F136" t="s">
        <v>13</v>
      </c>
      <c r="I136" s="3">
        <v>16.440000000000001</v>
      </c>
      <c r="J136" s="9">
        <v>0.24066924066924067</v>
      </c>
      <c r="K136" s="11">
        <v>85</v>
      </c>
      <c r="L136" s="3">
        <f t="shared" si="5"/>
        <v>16.925064430257486</v>
      </c>
      <c r="M136" s="9"/>
      <c r="O136">
        <v>339</v>
      </c>
      <c r="R136" s="3">
        <v>3.8</v>
      </c>
      <c r="S136" s="9">
        <v>0.36842105263157893</v>
      </c>
      <c r="T136" s="11">
        <v>107</v>
      </c>
      <c r="U136" s="3">
        <f t="shared" si="4"/>
        <v>4.2483952171176842</v>
      </c>
      <c r="V136" s="11"/>
      <c r="W136" s="9"/>
      <c r="X136">
        <v>339</v>
      </c>
      <c r="AA136" s="3">
        <v>4.84</v>
      </c>
      <c r="AB136" s="9">
        <v>0.21249999999999999</v>
      </c>
    </row>
    <row r="137" spans="1:28" x14ac:dyDescent="0.25">
      <c r="A137" t="s">
        <v>46</v>
      </c>
      <c r="B137" t="s">
        <v>0</v>
      </c>
      <c r="C137">
        <v>63</v>
      </c>
      <c r="D137">
        <v>340</v>
      </c>
      <c r="E137">
        <v>31</v>
      </c>
      <c r="F137" t="s">
        <v>29</v>
      </c>
      <c r="I137" s="3">
        <v>15.5</v>
      </c>
      <c r="J137" s="9">
        <v>0.24066924066924067</v>
      </c>
      <c r="K137" s="11">
        <v>89</v>
      </c>
      <c r="L137" s="3">
        <f t="shared" si="5"/>
        <v>16.021673066503332</v>
      </c>
      <c r="M137" s="9"/>
      <c r="O137">
        <v>340</v>
      </c>
      <c r="R137" s="3">
        <v>3.34</v>
      </c>
      <c r="S137" s="9">
        <v>0.36842105263157893</v>
      </c>
      <c r="T137" s="11">
        <v>171</v>
      </c>
      <c r="U137" s="3">
        <f t="shared" si="4"/>
        <v>4.1710258023914406</v>
      </c>
      <c r="V137" s="11"/>
      <c r="W137" s="9"/>
      <c r="X137">
        <v>340</v>
      </c>
      <c r="AA137" s="3">
        <v>5.42</v>
      </c>
      <c r="AB137" s="9">
        <v>0.21249999999999999</v>
      </c>
    </row>
    <row r="138" spans="1:28" x14ac:dyDescent="0.25">
      <c r="A138" t="s">
        <v>46</v>
      </c>
      <c r="B138" t="s">
        <v>0</v>
      </c>
      <c r="C138">
        <v>63</v>
      </c>
      <c r="D138">
        <v>341</v>
      </c>
      <c r="E138">
        <v>10</v>
      </c>
      <c r="F138" t="s">
        <v>35</v>
      </c>
      <c r="G138">
        <v>942</v>
      </c>
      <c r="H138">
        <v>249</v>
      </c>
      <c r="I138" s="3">
        <v>14.5</v>
      </c>
      <c r="J138" s="9">
        <v>0.23846153846153847</v>
      </c>
      <c r="K138" s="11">
        <v>81</v>
      </c>
      <c r="L138" s="3">
        <f t="shared" si="5"/>
        <v>14.952607645303397</v>
      </c>
      <c r="M138" s="9"/>
      <c r="O138">
        <v>341</v>
      </c>
      <c r="P138">
        <v>642</v>
      </c>
      <c r="Q138">
        <v>267</v>
      </c>
      <c r="R138" s="3">
        <v>3.12</v>
      </c>
      <c r="S138" s="9">
        <v>0.38524590163934425</v>
      </c>
      <c r="T138" s="11">
        <v>105</v>
      </c>
      <c r="U138" s="3">
        <f t="shared" si="4"/>
        <v>3.5373774486831007</v>
      </c>
      <c r="V138" s="11"/>
      <c r="W138" s="9"/>
      <c r="X138">
        <v>341</v>
      </c>
      <c r="Y138">
        <v>878</v>
      </c>
      <c r="Z138">
        <v>208</v>
      </c>
      <c r="AA138" s="3">
        <v>5.19</v>
      </c>
      <c r="AB138" s="9">
        <v>0.20803782505910165</v>
      </c>
    </row>
    <row r="139" spans="1:28" x14ac:dyDescent="0.25">
      <c r="A139" t="s">
        <v>46</v>
      </c>
      <c r="B139" t="s">
        <v>0</v>
      </c>
      <c r="C139">
        <v>63</v>
      </c>
      <c r="D139">
        <v>342</v>
      </c>
      <c r="E139">
        <v>35</v>
      </c>
      <c r="F139" t="s">
        <v>26</v>
      </c>
      <c r="I139" s="3">
        <v>16.04</v>
      </c>
      <c r="J139" s="9">
        <v>0.23846153846153847</v>
      </c>
      <c r="K139" s="11">
        <v>91</v>
      </c>
      <c r="L139" s="3">
        <f t="shared" si="5"/>
        <v>16.58497655250817</v>
      </c>
      <c r="M139" s="9"/>
      <c r="O139">
        <v>342</v>
      </c>
      <c r="R139" s="3">
        <v>3.5</v>
      </c>
      <c r="S139" s="9">
        <v>0.38524590163934425</v>
      </c>
      <c r="T139" s="11">
        <v>159</v>
      </c>
      <c r="U139" s="3">
        <f t="shared" si="4"/>
        <v>4.2261224107226543</v>
      </c>
      <c r="V139" s="11"/>
      <c r="W139" s="9"/>
      <c r="X139">
        <v>342</v>
      </c>
      <c r="AA139" s="3">
        <v>5.9</v>
      </c>
      <c r="AB139" s="9">
        <v>0.20803782505910165</v>
      </c>
    </row>
    <row r="140" spans="1:28" x14ac:dyDescent="0.25">
      <c r="A140" t="s">
        <v>46</v>
      </c>
      <c r="B140" t="s">
        <v>0</v>
      </c>
      <c r="C140">
        <v>63</v>
      </c>
      <c r="D140">
        <v>343</v>
      </c>
      <c r="E140">
        <v>27</v>
      </c>
      <c r="F140" t="s">
        <v>14</v>
      </c>
      <c r="I140" s="3">
        <v>13.36</v>
      </c>
      <c r="J140" s="9">
        <v>0.23846153846153847</v>
      </c>
      <c r="K140" s="11">
        <v>85</v>
      </c>
      <c r="L140" s="3">
        <f t="shared" si="5"/>
        <v>13.849555208185306</v>
      </c>
      <c r="M140" s="9"/>
      <c r="O140">
        <v>343</v>
      </c>
      <c r="R140" s="3">
        <v>3.26</v>
      </c>
      <c r="S140" s="9">
        <v>0.38524590163934425</v>
      </c>
      <c r="T140" s="11">
        <v>127</v>
      </c>
      <c r="U140" s="3">
        <f t="shared" si="4"/>
        <v>3.8031624332177332</v>
      </c>
      <c r="V140" s="11"/>
      <c r="W140" s="9"/>
      <c r="X140">
        <v>343</v>
      </c>
      <c r="AA140" s="3">
        <v>5.2</v>
      </c>
      <c r="AB140" s="9">
        <v>0.20803782505910165</v>
      </c>
    </row>
    <row r="141" spans="1:28" x14ac:dyDescent="0.25">
      <c r="A141" t="s">
        <v>46</v>
      </c>
      <c r="B141" t="s">
        <v>0</v>
      </c>
      <c r="C141">
        <v>63</v>
      </c>
      <c r="D141">
        <v>344</v>
      </c>
      <c r="E141">
        <v>18</v>
      </c>
      <c r="F141" t="s">
        <v>18</v>
      </c>
      <c r="I141" s="3">
        <v>13.16</v>
      </c>
      <c r="J141" s="9">
        <v>0.23846153846153847</v>
      </c>
      <c r="K141" s="11">
        <v>79</v>
      </c>
      <c r="L141" s="3">
        <f t="shared" si="5"/>
        <v>13.594133863862442</v>
      </c>
      <c r="M141" s="9"/>
      <c r="O141">
        <v>344</v>
      </c>
      <c r="R141" s="3">
        <v>3.08</v>
      </c>
      <c r="S141" s="9">
        <v>0.38524590163934425</v>
      </c>
      <c r="T141" s="11">
        <v>141</v>
      </c>
      <c r="U141" s="3">
        <f t="shared" si="4"/>
        <v>3.7032074233761367</v>
      </c>
      <c r="V141" s="11"/>
      <c r="W141" s="9"/>
      <c r="X141">
        <v>344</v>
      </c>
      <c r="AA141" s="3">
        <v>5.3</v>
      </c>
      <c r="AB141" s="9">
        <v>0.20803782505910165</v>
      </c>
    </row>
    <row r="142" spans="1:28" x14ac:dyDescent="0.25">
      <c r="A142" t="s">
        <v>46</v>
      </c>
      <c r="B142" t="s">
        <v>0</v>
      </c>
      <c r="C142">
        <v>63</v>
      </c>
      <c r="D142">
        <v>345</v>
      </c>
      <c r="E142">
        <v>16</v>
      </c>
      <c r="F142" t="s">
        <v>12</v>
      </c>
      <c r="G142">
        <v>944</v>
      </c>
      <c r="H142">
        <v>260</v>
      </c>
      <c r="I142" s="3">
        <v>13.22</v>
      </c>
      <c r="J142" s="9">
        <v>0.25</v>
      </c>
      <c r="K142" s="11">
        <v>82</v>
      </c>
      <c r="L142" s="3">
        <f t="shared" si="5"/>
        <v>13.660528634361235</v>
      </c>
      <c r="M142" s="9"/>
      <c r="O142">
        <v>345</v>
      </c>
      <c r="P142">
        <v>344</v>
      </c>
      <c r="Q142">
        <v>161</v>
      </c>
      <c r="R142" s="3">
        <v>3.14</v>
      </c>
      <c r="S142" s="9">
        <v>0.41346153846153844</v>
      </c>
      <c r="T142" s="11">
        <v>151</v>
      </c>
      <c r="U142" s="3">
        <f t="shared" si="4"/>
        <v>3.7739514394017006</v>
      </c>
      <c r="V142" s="11"/>
      <c r="W142" s="9"/>
      <c r="X142">
        <v>345</v>
      </c>
      <c r="Y142">
        <v>772</v>
      </c>
      <c r="Z142">
        <v>190</v>
      </c>
      <c r="AA142" s="3">
        <v>4.54</v>
      </c>
      <c r="AB142" s="9">
        <v>0.21351351351351353</v>
      </c>
    </row>
    <row r="143" spans="1:28" x14ac:dyDescent="0.25">
      <c r="A143" t="s">
        <v>46</v>
      </c>
      <c r="B143" t="s">
        <v>0</v>
      </c>
      <c r="C143">
        <v>63</v>
      </c>
      <c r="D143">
        <v>346</v>
      </c>
      <c r="E143">
        <v>32</v>
      </c>
      <c r="F143" t="s">
        <v>30</v>
      </c>
      <c r="I143" s="3">
        <v>16.420000000000002</v>
      </c>
      <c r="J143" s="9">
        <v>0.25</v>
      </c>
      <c r="K143" s="11">
        <v>83</v>
      </c>
      <c r="L143" s="3">
        <f t="shared" si="5"/>
        <v>16.869339207048458</v>
      </c>
      <c r="M143" s="9"/>
      <c r="O143">
        <v>346</v>
      </c>
      <c r="R143" s="3">
        <v>3.1</v>
      </c>
      <c r="S143" s="9">
        <v>0.41346153846153844</v>
      </c>
      <c r="T143" s="11">
        <v>147</v>
      </c>
      <c r="U143" s="3">
        <f t="shared" si="4"/>
        <v>3.7126421473209712</v>
      </c>
      <c r="V143" s="11"/>
      <c r="W143" s="9"/>
      <c r="X143">
        <v>346</v>
      </c>
      <c r="AA143" s="3">
        <v>4.92</v>
      </c>
      <c r="AB143" s="9">
        <v>0.21351351351351353</v>
      </c>
    </row>
    <row r="144" spans="1:28" x14ac:dyDescent="0.25">
      <c r="A144" t="s">
        <v>46</v>
      </c>
      <c r="B144" t="s">
        <v>0</v>
      </c>
      <c r="C144">
        <v>63</v>
      </c>
      <c r="D144">
        <v>347</v>
      </c>
      <c r="E144">
        <v>25</v>
      </c>
      <c r="F144" t="s">
        <v>8</v>
      </c>
      <c r="I144" s="3">
        <v>16.52</v>
      </c>
      <c r="J144" s="9">
        <v>0.25</v>
      </c>
      <c r="K144" s="11">
        <v>85</v>
      </c>
      <c r="L144" s="3">
        <f t="shared" si="5"/>
        <v>16.986960352422908</v>
      </c>
      <c r="M144" s="9"/>
      <c r="O144">
        <v>347</v>
      </c>
      <c r="R144" s="3">
        <v>3.42</v>
      </c>
      <c r="S144" s="9">
        <v>0.41346153846153844</v>
      </c>
      <c r="T144" s="11">
        <v>149</v>
      </c>
      <c r="U144" s="3">
        <f t="shared" si="4"/>
        <v>4.0432967933613355</v>
      </c>
      <c r="V144" s="11"/>
      <c r="W144" s="9"/>
      <c r="X144">
        <v>347</v>
      </c>
      <c r="AA144" s="3">
        <v>5.5</v>
      </c>
      <c r="AB144" s="9">
        <v>0.21351351351351353</v>
      </c>
    </row>
    <row r="145" spans="1:30" x14ac:dyDescent="0.25">
      <c r="A145" t="s">
        <v>46</v>
      </c>
      <c r="B145" t="s">
        <v>0</v>
      </c>
      <c r="C145">
        <v>63</v>
      </c>
      <c r="D145">
        <v>348</v>
      </c>
      <c r="E145">
        <v>5</v>
      </c>
      <c r="F145" t="s">
        <v>5</v>
      </c>
      <c r="I145" s="3">
        <v>14.28</v>
      </c>
      <c r="J145" s="9">
        <v>0.25</v>
      </c>
      <c r="K145" s="11">
        <v>83</v>
      </c>
      <c r="L145" s="3">
        <f t="shared" si="5"/>
        <v>14.729339207048458</v>
      </c>
      <c r="M145" s="9"/>
      <c r="O145">
        <v>348</v>
      </c>
      <c r="R145" s="3">
        <v>3.12</v>
      </c>
      <c r="S145" s="9">
        <v>0.41346153846153844</v>
      </c>
      <c r="T145" s="11">
        <v>167</v>
      </c>
      <c r="U145" s="3">
        <f t="shared" si="4"/>
        <v>3.8391886077246182</v>
      </c>
      <c r="V145" s="11"/>
      <c r="W145" s="9"/>
      <c r="X145">
        <v>348</v>
      </c>
      <c r="AA145" s="3">
        <v>4.66</v>
      </c>
      <c r="AB145" s="9">
        <v>0.21351351351351353</v>
      </c>
      <c r="AC145">
        <v>70</v>
      </c>
      <c r="AD145" s="3">
        <f>(AA145+(((AC145-32)/454)/AB145))</f>
        <v>5.0520147214632241</v>
      </c>
    </row>
    <row r="146" spans="1:30" x14ac:dyDescent="0.25">
      <c r="A146" t="s">
        <v>46</v>
      </c>
      <c r="B146" t="s">
        <v>0</v>
      </c>
      <c r="C146">
        <v>63</v>
      </c>
      <c r="D146">
        <v>401</v>
      </c>
      <c r="E146">
        <v>4</v>
      </c>
      <c r="F146" t="s">
        <v>2</v>
      </c>
      <c r="G146">
        <v>817</v>
      </c>
      <c r="H146">
        <v>261</v>
      </c>
      <c r="I146" s="3">
        <v>8.82</v>
      </c>
      <c r="J146" s="9">
        <v>0.29171974522292993</v>
      </c>
      <c r="K146" s="11"/>
      <c r="M146" s="9"/>
      <c r="O146">
        <v>401</v>
      </c>
      <c r="S146" s="9"/>
      <c r="T146" s="11"/>
      <c r="U146" s="9"/>
      <c r="V146" s="11"/>
      <c r="W146" s="9"/>
      <c r="X146">
        <v>401</v>
      </c>
      <c r="Y146">
        <v>750</v>
      </c>
      <c r="Z146">
        <v>170</v>
      </c>
      <c r="AA146" s="3">
        <v>4.24</v>
      </c>
      <c r="AB146" s="9">
        <v>0.19220055710306408</v>
      </c>
    </row>
    <row r="147" spans="1:30" x14ac:dyDescent="0.25">
      <c r="A147" t="s">
        <v>46</v>
      </c>
      <c r="B147" t="s">
        <v>0</v>
      </c>
      <c r="C147">
        <v>63</v>
      </c>
      <c r="D147">
        <v>402</v>
      </c>
      <c r="E147">
        <v>5</v>
      </c>
      <c r="F147" t="s">
        <v>5</v>
      </c>
      <c r="I147" s="3">
        <v>8.82</v>
      </c>
      <c r="J147" s="9">
        <v>0.29171974522292993</v>
      </c>
      <c r="K147" s="11"/>
      <c r="M147" s="9"/>
      <c r="O147">
        <v>402</v>
      </c>
      <c r="S147" s="9"/>
      <c r="T147" s="11"/>
      <c r="U147" s="9"/>
      <c r="V147" s="11"/>
      <c r="W147" s="9"/>
      <c r="X147">
        <v>402</v>
      </c>
      <c r="AA147" s="3">
        <v>4.5</v>
      </c>
      <c r="AB147" s="9">
        <v>0.19220055710306408</v>
      </c>
    </row>
    <row r="148" spans="1:30" x14ac:dyDescent="0.25">
      <c r="A148" t="s">
        <v>46</v>
      </c>
      <c r="B148" t="s">
        <v>0</v>
      </c>
      <c r="C148">
        <v>63</v>
      </c>
      <c r="D148">
        <v>403</v>
      </c>
      <c r="E148">
        <v>3</v>
      </c>
      <c r="F148" t="s">
        <v>3</v>
      </c>
      <c r="I148" s="3">
        <v>10.64</v>
      </c>
      <c r="J148" s="9">
        <v>0.29171974522292993</v>
      </c>
      <c r="K148" s="11"/>
      <c r="M148" s="9"/>
      <c r="O148">
        <v>403</v>
      </c>
      <c r="S148" s="9"/>
      <c r="T148" s="11"/>
      <c r="U148" s="9"/>
      <c r="V148" s="11"/>
      <c r="W148" s="9"/>
      <c r="X148">
        <v>403</v>
      </c>
      <c r="AA148" s="3">
        <v>4.62</v>
      </c>
      <c r="AB148" s="9">
        <v>0.19220055710306408</v>
      </c>
    </row>
    <row r="149" spans="1:30" x14ac:dyDescent="0.25">
      <c r="A149" t="s">
        <v>46</v>
      </c>
      <c r="B149" t="s">
        <v>0</v>
      </c>
      <c r="C149">
        <v>63</v>
      </c>
      <c r="D149">
        <v>404</v>
      </c>
      <c r="E149">
        <v>2</v>
      </c>
      <c r="F149" t="s">
        <v>4</v>
      </c>
      <c r="I149" s="3">
        <v>10.82</v>
      </c>
      <c r="J149" s="9">
        <v>0.29171974522292993</v>
      </c>
      <c r="K149" s="11"/>
      <c r="M149" s="9"/>
      <c r="O149">
        <v>404</v>
      </c>
      <c r="S149" s="9"/>
      <c r="T149" s="11"/>
      <c r="U149" s="9"/>
      <c r="V149" s="11"/>
      <c r="W149" s="9"/>
      <c r="X149">
        <v>404</v>
      </c>
      <c r="AA149" s="3">
        <v>5.26</v>
      </c>
      <c r="AB149" s="9">
        <v>0.19220055710306408</v>
      </c>
    </row>
    <row r="150" spans="1:30" x14ac:dyDescent="0.25">
      <c r="A150" t="s">
        <v>46</v>
      </c>
      <c r="B150" t="s">
        <v>0</v>
      </c>
      <c r="C150">
        <v>63</v>
      </c>
      <c r="D150">
        <v>405</v>
      </c>
      <c r="E150">
        <v>4</v>
      </c>
      <c r="F150" t="s">
        <v>2</v>
      </c>
      <c r="G150">
        <v>672</v>
      </c>
      <c r="H150">
        <v>212</v>
      </c>
      <c r="I150" s="3">
        <v>10.08</v>
      </c>
      <c r="J150" s="9">
        <v>0.28125</v>
      </c>
      <c r="K150" s="11"/>
      <c r="M150" s="9"/>
      <c r="O150">
        <v>405</v>
      </c>
      <c r="S150" s="9"/>
      <c r="T150" s="11"/>
      <c r="U150" s="9"/>
      <c r="V150" s="11"/>
      <c r="W150" s="9"/>
      <c r="X150">
        <v>405</v>
      </c>
      <c r="Y150">
        <v>897</v>
      </c>
      <c r="Z150">
        <v>194</v>
      </c>
      <c r="AA150" s="3">
        <v>4.5</v>
      </c>
      <c r="AB150" s="9">
        <v>0.18728323699421964</v>
      </c>
    </row>
    <row r="151" spans="1:30" x14ac:dyDescent="0.25">
      <c r="A151" t="s">
        <v>46</v>
      </c>
      <c r="B151" t="s">
        <v>0</v>
      </c>
      <c r="C151">
        <v>63</v>
      </c>
      <c r="D151">
        <v>406</v>
      </c>
      <c r="E151">
        <v>2</v>
      </c>
      <c r="F151" t="s">
        <v>4</v>
      </c>
      <c r="I151" s="3">
        <v>11.5</v>
      </c>
      <c r="J151" s="9">
        <v>0.28125</v>
      </c>
      <c r="K151" s="11"/>
      <c r="M151" s="9"/>
      <c r="O151">
        <v>406</v>
      </c>
      <c r="S151" s="9"/>
      <c r="T151" s="11"/>
      <c r="U151" s="9"/>
      <c r="V151" s="11"/>
      <c r="W151" s="9"/>
      <c r="X151">
        <v>406</v>
      </c>
      <c r="AA151" s="3">
        <v>5</v>
      </c>
      <c r="AB151" s="9">
        <v>0.18728323699421964</v>
      </c>
    </row>
    <row r="152" spans="1:30" x14ac:dyDescent="0.25">
      <c r="A152" t="s">
        <v>46</v>
      </c>
      <c r="B152" t="s">
        <v>0</v>
      </c>
      <c r="C152">
        <v>63</v>
      </c>
      <c r="D152">
        <v>407</v>
      </c>
      <c r="E152">
        <v>5</v>
      </c>
      <c r="F152" t="s">
        <v>5</v>
      </c>
      <c r="I152" s="3">
        <v>8.9600000000000009</v>
      </c>
      <c r="J152" s="9">
        <v>0.28125</v>
      </c>
      <c r="K152" s="11"/>
      <c r="M152" s="9"/>
      <c r="O152">
        <v>407</v>
      </c>
      <c r="S152" s="9"/>
      <c r="T152" s="11"/>
      <c r="U152" s="9"/>
      <c r="V152" s="11"/>
      <c r="W152" s="9"/>
      <c r="X152">
        <v>407</v>
      </c>
      <c r="AA152" s="3">
        <v>3.86</v>
      </c>
      <c r="AB152" s="9">
        <v>0.18728323699421964</v>
      </c>
    </row>
    <row r="153" spans="1:30" x14ac:dyDescent="0.25">
      <c r="A153" t="s">
        <v>46</v>
      </c>
      <c r="B153" t="s">
        <v>0</v>
      </c>
      <c r="C153">
        <v>63</v>
      </c>
      <c r="D153">
        <v>408</v>
      </c>
      <c r="E153">
        <v>6</v>
      </c>
      <c r="F153" t="s">
        <v>1</v>
      </c>
      <c r="I153" s="3">
        <v>8.44</v>
      </c>
      <c r="J153" s="9">
        <v>0.28125</v>
      </c>
      <c r="K153" s="11"/>
      <c r="M153" s="9"/>
      <c r="O153">
        <v>408</v>
      </c>
      <c r="S153" s="9"/>
      <c r="T153" s="11"/>
      <c r="U153" s="9"/>
      <c r="V153" s="11"/>
      <c r="W153" s="9"/>
      <c r="X153">
        <v>408</v>
      </c>
      <c r="AA153" s="3">
        <v>3.56</v>
      </c>
      <c r="AB153" s="9">
        <v>0.18728323699421964</v>
      </c>
    </row>
    <row r="154" spans="1:30" x14ac:dyDescent="0.25">
      <c r="A154" t="s">
        <v>46</v>
      </c>
      <c r="B154" t="s">
        <v>0</v>
      </c>
      <c r="C154">
        <v>63</v>
      </c>
      <c r="D154">
        <v>409</v>
      </c>
      <c r="E154">
        <v>1</v>
      </c>
      <c r="F154" t="s">
        <v>6</v>
      </c>
      <c r="G154">
        <v>753</v>
      </c>
      <c r="H154">
        <v>238</v>
      </c>
      <c r="I154" s="3">
        <v>10.3</v>
      </c>
      <c r="J154" s="9">
        <v>0.2857142857142857</v>
      </c>
      <c r="K154" s="11"/>
      <c r="M154" s="9"/>
      <c r="O154">
        <v>409</v>
      </c>
      <c r="S154" s="9"/>
      <c r="T154" s="11"/>
      <c r="U154" s="9"/>
      <c r="V154" s="11"/>
      <c r="W154" s="9"/>
      <c r="X154">
        <v>409</v>
      </c>
      <c r="Y154">
        <v>828</v>
      </c>
      <c r="Z154">
        <v>191</v>
      </c>
      <c r="AA154" s="3">
        <v>5.0199999999999996</v>
      </c>
      <c r="AB154" s="9">
        <v>0.19974874371859297</v>
      </c>
    </row>
    <row r="155" spans="1:30" x14ac:dyDescent="0.25">
      <c r="A155" t="s">
        <v>46</v>
      </c>
      <c r="B155" t="s">
        <v>0</v>
      </c>
      <c r="C155">
        <v>63</v>
      </c>
      <c r="D155">
        <v>410</v>
      </c>
      <c r="E155">
        <v>3</v>
      </c>
      <c r="F155" t="s">
        <v>3</v>
      </c>
      <c r="I155" s="3">
        <v>10.82</v>
      </c>
      <c r="J155" s="9">
        <v>0.2857142857142857</v>
      </c>
      <c r="K155" s="11"/>
      <c r="M155" s="9"/>
      <c r="O155">
        <v>410</v>
      </c>
      <c r="S155" s="9"/>
      <c r="T155" s="11"/>
      <c r="U155" s="9"/>
      <c r="V155" s="11"/>
      <c r="W155" s="9"/>
      <c r="X155">
        <v>410</v>
      </c>
      <c r="AA155" s="3">
        <v>4.4800000000000004</v>
      </c>
      <c r="AB155" s="9">
        <v>0.19974874371859297</v>
      </c>
    </row>
    <row r="156" spans="1:30" x14ac:dyDescent="0.25">
      <c r="A156" t="s">
        <v>46</v>
      </c>
      <c r="B156" t="s">
        <v>0</v>
      </c>
      <c r="C156">
        <v>63</v>
      </c>
      <c r="D156">
        <v>411</v>
      </c>
      <c r="E156">
        <v>6</v>
      </c>
      <c r="F156" t="s">
        <v>1</v>
      </c>
      <c r="I156" s="3">
        <v>8.6999999999999993</v>
      </c>
      <c r="J156" s="9">
        <v>0.2857142857142857</v>
      </c>
      <c r="K156" s="11"/>
      <c r="M156" s="9"/>
      <c r="O156">
        <v>411</v>
      </c>
      <c r="S156" s="9"/>
      <c r="T156" s="11"/>
      <c r="U156" s="9"/>
      <c r="V156" s="11"/>
      <c r="W156" s="9"/>
      <c r="X156">
        <v>411</v>
      </c>
      <c r="AA156" s="3">
        <v>3.5</v>
      </c>
      <c r="AB156" s="9">
        <v>0.19974874371859297</v>
      </c>
    </row>
    <row r="157" spans="1:30" x14ac:dyDescent="0.25">
      <c r="A157" t="s">
        <v>46</v>
      </c>
      <c r="B157" t="s">
        <v>0</v>
      </c>
      <c r="C157">
        <v>63</v>
      </c>
      <c r="D157">
        <v>412</v>
      </c>
      <c r="E157">
        <v>1</v>
      </c>
      <c r="F157" t="s">
        <v>6</v>
      </c>
      <c r="I157" s="3">
        <v>10.34</v>
      </c>
      <c r="J157" s="9">
        <v>0.2857142857142857</v>
      </c>
      <c r="K157" s="11"/>
      <c r="M157" s="9"/>
      <c r="O157">
        <v>412</v>
      </c>
      <c r="S157" s="9"/>
      <c r="T157" s="11"/>
      <c r="U157" s="9"/>
      <c r="V157" s="11"/>
      <c r="W157" s="9"/>
      <c r="X157">
        <v>412</v>
      </c>
      <c r="AA157" s="3">
        <v>3.76</v>
      </c>
      <c r="AB157" s="9">
        <v>0.19974874371859297</v>
      </c>
    </row>
    <row r="158" spans="1:30" x14ac:dyDescent="0.25">
      <c r="A158" t="s">
        <v>46</v>
      </c>
      <c r="B158" t="s">
        <v>0</v>
      </c>
      <c r="C158">
        <v>63</v>
      </c>
      <c r="D158">
        <v>413</v>
      </c>
      <c r="E158">
        <v>6</v>
      </c>
      <c r="F158" t="s">
        <v>1</v>
      </c>
      <c r="G158">
        <v>841</v>
      </c>
      <c r="H158">
        <v>245</v>
      </c>
      <c r="I158" s="3">
        <v>10.1</v>
      </c>
      <c r="J158" s="9">
        <v>0.26328800988875156</v>
      </c>
      <c r="K158" s="11"/>
      <c r="M158" s="9"/>
      <c r="O158">
        <v>413</v>
      </c>
      <c r="P158">
        <v>527</v>
      </c>
      <c r="Q158">
        <v>233</v>
      </c>
      <c r="R158" s="3">
        <v>2.1800000000000002</v>
      </c>
      <c r="S158" s="9">
        <v>0.40606060606060607</v>
      </c>
      <c r="T158" s="11"/>
      <c r="U158" s="9"/>
      <c r="V158" s="11"/>
      <c r="W158" s="9"/>
      <c r="X158">
        <v>413</v>
      </c>
      <c r="Y158">
        <v>904</v>
      </c>
      <c r="Z158">
        <v>212</v>
      </c>
      <c r="AA158" s="3">
        <v>3.4</v>
      </c>
      <c r="AB158" s="9">
        <v>0.20642201834862386</v>
      </c>
    </row>
    <row r="159" spans="1:30" x14ac:dyDescent="0.25">
      <c r="A159" t="s">
        <v>46</v>
      </c>
      <c r="B159" t="s">
        <v>0</v>
      </c>
      <c r="C159">
        <v>63</v>
      </c>
      <c r="D159">
        <v>414</v>
      </c>
      <c r="E159">
        <v>29</v>
      </c>
      <c r="F159" t="s">
        <v>11</v>
      </c>
      <c r="I159" s="3">
        <v>9.42</v>
      </c>
      <c r="J159" s="9">
        <v>0.26328800988875156</v>
      </c>
      <c r="K159" s="11"/>
      <c r="M159" s="9"/>
      <c r="O159">
        <v>414</v>
      </c>
      <c r="R159" s="3">
        <v>2.1</v>
      </c>
      <c r="S159" s="9">
        <v>0.40606060606060607</v>
      </c>
      <c r="T159" s="11"/>
      <c r="U159" s="9"/>
      <c r="V159" s="11"/>
      <c r="W159" s="9"/>
      <c r="X159">
        <v>414</v>
      </c>
      <c r="AA159" s="3">
        <v>3.42</v>
      </c>
      <c r="AB159" s="9">
        <v>0.20642201834862386</v>
      </c>
    </row>
    <row r="160" spans="1:30" x14ac:dyDescent="0.25">
      <c r="A160" t="s">
        <v>46</v>
      </c>
      <c r="B160" t="s">
        <v>0</v>
      </c>
      <c r="C160">
        <v>63</v>
      </c>
      <c r="D160">
        <v>415</v>
      </c>
      <c r="E160">
        <v>5</v>
      </c>
      <c r="F160" t="s">
        <v>5</v>
      </c>
      <c r="I160" s="3">
        <v>9.6</v>
      </c>
      <c r="J160" s="9">
        <v>0.26328800988875156</v>
      </c>
      <c r="K160" s="11"/>
      <c r="M160" s="9"/>
      <c r="O160">
        <v>415</v>
      </c>
      <c r="R160" s="3">
        <v>2.42</v>
      </c>
      <c r="S160" s="9">
        <v>0.40606060606060607</v>
      </c>
      <c r="T160" s="11"/>
      <c r="U160" s="9"/>
      <c r="V160" s="11"/>
      <c r="W160" s="9"/>
      <c r="X160">
        <v>415</v>
      </c>
      <c r="AA160" s="3">
        <v>3.84</v>
      </c>
      <c r="AB160" s="9">
        <v>0.20642201834862386</v>
      </c>
    </row>
    <row r="161" spans="1:28" x14ac:dyDescent="0.25">
      <c r="A161" t="s">
        <v>46</v>
      </c>
      <c r="B161" t="s">
        <v>0</v>
      </c>
      <c r="C161">
        <v>63</v>
      </c>
      <c r="D161">
        <v>416</v>
      </c>
      <c r="E161">
        <v>17</v>
      </c>
      <c r="F161" t="s">
        <v>17</v>
      </c>
      <c r="I161" s="3">
        <v>9.14</v>
      </c>
      <c r="J161" s="9">
        <v>0.26328800988875156</v>
      </c>
      <c r="K161" s="11"/>
      <c r="M161" s="9"/>
      <c r="O161">
        <v>416</v>
      </c>
      <c r="R161" s="3">
        <v>2.16</v>
      </c>
      <c r="S161" s="9">
        <v>0.40606060606060607</v>
      </c>
      <c r="T161" s="11"/>
      <c r="U161" s="9"/>
      <c r="V161" s="11"/>
      <c r="W161" s="9"/>
      <c r="X161">
        <v>416</v>
      </c>
      <c r="AA161" s="3">
        <v>3.22</v>
      </c>
      <c r="AB161" s="9">
        <v>0.20642201834862386</v>
      </c>
    </row>
    <row r="162" spans="1:28" x14ac:dyDescent="0.25">
      <c r="A162" t="s">
        <v>46</v>
      </c>
      <c r="B162" t="s">
        <v>0</v>
      </c>
      <c r="C162">
        <v>63</v>
      </c>
      <c r="D162">
        <v>417</v>
      </c>
      <c r="E162">
        <v>24</v>
      </c>
      <c r="F162" t="s">
        <v>32</v>
      </c>
      <c r="G162">
        <v>875</v>
      </c>
      <c r="H162">
        <v>278</v>
      </c>
      <c r="I162" s="3">
        <v>9.9</v>
      </c>
      <c r="J162" s="9">
        <v>0.29181494661921709</v>
      </c>
      <c r="K162" s="11"/>
      <c r="M162" s="9"/>
      <c r="O162">
        <v>417</v>
      </c>
      <c r="P162">
        <v>608</v>
      </c>
      <c r="Q162">
        <v>271</v>
      </c>
      <c r="R162" s="3">
        <v>2.06</v>
      </c>
      <c r="S162" s="9">
        <v>0.41493055555555558</v>
      </c>
      <c r="T162" s="11"/>
      <c r="U162" s="9"/>
      <c r="V162" s="11"/>
      <c r="W162" s="9"/>
      <c r="X162">
        <v>417</v>
      </c>
      <c r="Y162">
        <v>791</v>
      </c>
      <c r="Z162">
        <v>190</v>
      </c>
      <c r="AA162" s="3">
        <v>3.84</v>
      </c>
      <c r="AB162" s="9">
        <v>0.20816864295125165</v>
      </c>
    </row>
    <row r="163" spans="1:28" x14ac:dyDescent="0.25">
      <c r="A163" t="s">
        <v>46</v>
      </c>
      <c r="B163" t="s">
        <v>0</v>
      </c>
      <c r="C163">
        <v>63</v>
      </c>
      <c r="D163">
        <v>418</v>
      </c>
      <c r="E163">
        <v>27</v>
      </c>
      <c r="F163" t="s">
        <v>14</v>
      </c>
      <c r="I163" s="3">
        <v>8.3800000000000008</v>
      </c>
      <c r="J163" s="9">
        <v>0.29181494661921709</v>
      </c>
      <c r="K163" s="11"/>
      <c r="M163" s="9"/>
      <c r="O163">
        <v>418</v>
      </c>
      <c r="R163" s="3">
        <v>1.84</v>
      </c>
      <c r="S163" s="9">
        <v>0.41493055555555558</v>
      </c>
      <c r="T163" s="11"/>
      <c r="U163" s="9"/>
      <c r="V163" s="11"/>
      <c r="W163" s="9"/>
      <c r="X163">
        <v>418</v>
      </c>
      <c r="AA163" s="3">
        <v>3.78</v>
      </c>
      <c r="AB163" s="9">
        <v>0.20816864295125165</v>
      </c>
    </row>
    <row r="164" spans="1:28" x14ac:dyDescent="0.25">
      <c r="A164" t="s">
        <v>46</v>
      </c>
      <c r="B164" t="s">
        <v>0</v>
      </c>
      <c r="C164">
        <v>63</v>
      </c>
      <c r="D164">
        <v>419</v>
      </c>
      <c r="E164">
        <v>7</v>
      </c>
      <c r="F164" t="s">
        <v>16</v>
      </c>
      <c r="I164" s="3">
        <v>11.04</v>
      </c>
      <c r="J164" s="9">
        <v>0.29181494661921709</v>
      </c>
      <c r="K164" s="11"/>
      <c r="M164" s="9"/>
      <c r="O164">
        <v>419</v>
      </c>
      <c r="R164" s="3">
        <v>2.44</v>
      </c>
      <c r="S164" s="9">
        <v>0.41493055555555558</v>
      </c>
      <c r="T164" s="11"/>
      <c r="U164" s="9"/>
      <c r="V164" s="11"/>
      <c r="W164" s="9"/>
      <c r="X164">
        <v>419</v>
      </c>
      <c r="AA164" s="3">
        <v>3.44</v>
      </c>
      <c r="AB164" s="9">
        <v>0.20816864295125165</v>
      </c>
    </row>
    <row r="165" spans="1:28" x14ac:dyDescent="0.25">
      <c r="A165" t="s">
        <v>46</v>
      </c>
      <c r="B165" t="s">
        <v>0</v>
      </c>
      <c r="C165">
        <v>63</v>
      </c>
      <c r="D165">
        <v>420</v>
      </c>
      <c r="E165">
        <v>18</v>
      </c>
      <c r="F165" t="s">
        <v>18</v>
      </c>
      <c r="I165" s="3">
        <v>11.16</v>
      </c>
      <c r="J165" s="9">
        <v>0.29181494661921709</v>
      </c>
      <c r="K165" s="11"/>
      <c r="M165" s="9"/>
      <c r="O165">
        <v>420</v>
      </c>
      <c r="R165" s="3">
        <v>2.36</v>
      </c>
      <c r="S165" s="9">
        <v>0.41493055555555558</v>
      </c>
      <c r="T165" s="11"/>
      <c r="U165" s="9"/>
      <c r="V165" s="11"/>
      <c r="W165" s="9"/>
      <c r="X165">
        <v>420</v>
      </c>
      <c r="AA165" s="3">
        <v>4.4400000000000004</v>
      </c>
      <c r="AB165" s="9">
        <v>0.20816864295125165</v>
      </c>
    </row>
    <row r="166" spans="1:28" x14ac:dyDescent="0.25">
      <c r="A166" t="s">
        <v>46</v>
      </c>
      <c r="B166" t="s">
        <v>0</v>
      </c>
      <c r="C166">
        <v>63</v>
      </c>
      <c r="D166">
        <v>421</v>
      </c>
      <c r="E166">
        <v>34</v>
      </c>
      <c r="F166" t="s">
        <v>34</v>
      </c>
      <c r="G166">
        <v>754</v>
      </c>
      <c r="H166">
        <v>221</v>
      </c>
      <c r="I166" s="3">
        <v>12.08</v>
      </c>
      <c r="J166" s="9">
        <v>0.26177285318559557</v>
      </c>
      <c r="K166" s="11"/>
      <c r="M166" s="9"/>
      <c r="O166">
        <v>421</v>
      </c>
      <c r="P166">
        <v>590</v>
      </c>
      <c r="Q166">
        <v>246</v>
      </c>
      <c r="R166" s="3">
        <v>3.2</v>
      </c>
      <c r="S166" s="9">
        <v>0.38351254480286739</v>
      </c>
      <c r="T166" s="11"/>
      <c r="U166" s="9"/>
      <c r="V166" s="11"/>
      <c r="W166" s="9"/>
      <c r="X166">
        <v>421</v>
      </c>
      <c r="Y166">
        <v>926</v>
      </c>
      <c r="Z166">
        <v>224</v>
      </c>
      <c r="AA166" s="3">
        <v>4.84</v>
      </c>
      <c r="AB166" s="9">
        <v>0.21476510067114093</v>
      </c>
    </row>
    <row r="167" spans="1:28" x14ac:dyDescent="0.25">
      <c r="A167" t="s">
        <v>46</v>
      </c>
      <c r="B167" t="s">
        <v>0</v>
      </c>
      <c r="C167">
        <v>63</v>
      </c>
      <c r="D167">
        <v>422</v>
      </c>
      <c r="E167">
        <v>31</v>
      </c>
      <c r="F167" t="s">
        <v>29</v>
      </c>
      <c r="I167" s="3">
        <v>11.42</v>
      </c>
      <c r="J167" s="9">
        <v>0.26177285318559557</v>
      </c>
      <c r="K167" s="11"/>
      <c r="M167" s="9"/>
      <c r="O167">
        <v>422</v>
      </c>
      <c r="R167" s="3">
        <v>3.04</v>
      </c>
      <c r="S167" s="9">
        <v>0.38351254480286739</v>
      </c>
      <c r="T167" s="11"/>
      <c r="U167" s="9"/>
      <c r="V167" s="11"/>
      <c r="W167" s="9"/>
      <c r="X167">
        <v>422</v>
      </c>
      <c r="AA167" s="3">
        <v>4.34</v>
      </c>
      <c r="AB167" s="9">
        <v>0.21476510067114093</v>
      </c>
    </row>
    <row r="168" spans="1:28" x14ac:dyDescent="0.25">
      <c r="A168" t="s">
        <v>46</v>
      </c>
      <c r="B168" t="s">
        <v>0</v>
      </c>
      <c r="C168">
        <v>63</v>
      </c>
      <c r="D168">
        <v>423</v>
      </c>
      <c r="E168">
        <v>10</v>
      </c>
      <c r="F168" t="s">
        <v>35</v>
      </c>
      <c r="I168" s="3">
        <v>12.24</v>
      </c>
      <c r="J168" s="9">
        <v>0.26177285318559557</v>
      </c>
      <c r="K168" s="11"/>
      <c r="M168" s="9"/>
      <c r="O168">
        <v>423</v>
      </c>
      <c r="R168" s="3">
        <v>3.32</v>
      </c>
      <c r="S168" s="9">
        <v>0.38351254480286739</v>
      </c>
      <c r="T168" s="11"/>
      <c r="U168" s="9"/>
      <c r="V168" s="11"/>
      <c r="W168" s="9"/>
      <c r="X168">
        <v>423</v>
      </c>
      <c r="AA168" s="3">
        <v>4.6399999999999997</v>
      </c>
      <c r="AB168" s="9">
        <v>0.21476510067114093</v>
      </c>
    </row>
    <row r="169" spans="1:28" x14ac:dyDescent="0.25">
      <c r="A169" t="s">
        <v>46</v>
      </c>
      <c r="B169" t="s">
        <v>0</v>
      </c>
      <c r="C169">
        <v>63</v>
      </c>
      <c r="D169">
        <v>424</v>
      </c>
      <c r="E169">
        <v>36</v>
      </c>
      <c r="F169" t="s">
        <v>27</v>
      </c>
      <c r="I169" s="3">
        <v>14.8</v>
      </c>
      <c r="J169" s="9">
        <v>0.26177285318559557</v>
      </c>
      <c r="K169" s="11"/>
      <c r="M169" s="9"/>
      <c r="O169">
        <v>424</v>
      </c>
      <c r="R169" s="3">
        <v>3</v>
      </c>
      <c r="S169" s="9">
        <v>0.38351254480286739</v>
      </c>
      <c r="T169" s="11"/>
      <c r="U169" s="9"/>
      <c r="V169" s="11"/>
      <c r="W169" s="9"/>
      <c r="X169">
        <v>424</v>
      </c>
      <c r="AA169" s="3">
        <v>4.8</v>
      </c>
      <c r="AB169" s="9">
        <v>0.21476510067114093</v>
      </c>
    </row>
    <row r="170" spans="1:28" x14ac:dyDescent="0.25">
      <c r="A170" t="s">
        <v>46</v>
      </c>
      <c r="B170" t="s">
        <v>0</v>
      </c>
      <c r="C170">
        <v>63</v>
      </c>
      <c r="D170">
        <v>425</v>
      </c>
      <c r="E170">
        <v>11</v>
      </c>
      <c r="F170" t="s">
        <v>15</v>
      </c>
      <c r="G170">
        <v>957</v>
      </c>
      <c r="H170">
        <v>276</v>
      </c>
      <c r="I170" s="3">
        <v>12.42</v>
      </c>
      <c r="J170" s="9">
        <v>0.26378378378378381</v>
      </c>
      <c r="K170" s="11"/>
      <c r="M170" s="9"/>
      <c r="O170">
        <v>425</v>
      </c>
      <c r="P170">
        <v>606</v>
      </c>
      <c r="Q170">
        <v>242</v>
      </c>
      <c r="R170" s="3">
        <v>2.3199999999999998</v>
      </c>
      <c r="S170" s="9">
        <v>0.36585365853658536</v>
      </c>
      <c r="T170" s="11"/>
      <c r="U170" s="9"/>
      <c r="V170" s="11"/>
      <c r="W170" s="9"/>
      <c r="X170">
        <v>425</v>
      </c>
      <c r="Y170">
        <v>704</v>
      </c>
      <c r="Z170">
        <v>178</v>
      </c>
      <c r="AA170" s="3">
        <v>4.74</v>
      </c>
      <c r="AB170" s="9">
        <v>0.21726190476190477</v>
      </c>
    </row>
    <row r="171" spans="1:28" x14ac:dyDescent="0.25">
      <c r="A171" t="s">
        <v>46</v>
      </c>
      <c r="B171" t="s">
        <v>0</v>
      </c>
      <c r="C171">
        <v>63</v>
      </c>
      <c r="D171">
        <v>426</v>
      </c>
      <c r="E171">
        <v>4</v>
      </c>
      <c r="F171" t="s">
        <v>2</v>
      </c>
      <c r="I171" s="3">
        <v>10.36</v>
      </c>
      <c r="J171" s="9">
        <v>0.26378378378378381</v>
      </c>
      <c r="K171" s="11"/>
      <c r="M171" s="9"/>
      <c r="O171">
        <v>426</v>
      </c>
      <c r="R171" s="3">
        <v>1.54</v>
      </c>
      <c r="S171" s="9">
        <v>0.36585365853658536</v>
      </c>
      <c r="T171" s="11"/>
      <c r="U171" s="9"/>
      <c r="V171" s="11"/>
      <c r="W171" s="9"/>
      <c r="X171">
        <v>426</v>
      </c>
      <c r="AA171" s="3">
        <v>3.84</v>
      </c>
      <c r="AB171" s="9">
        <v>0.21726190476190477</v>
      </c>
    </row>
    <row r="172" spans="1:28" x14ac:dyDescent="0.25">
      <c r="A172" t="s">
        <v>46</v>
      </c>
      <c r="B172" t="s">
        <v>0</v>
      </c>
      <c r="C172">
        <v>63</v>
      </c>
      <c r="D172">
        <v>427</v>
      </c>
      <c r="E172">
        <v>30</v>
      </c>
      <c r="F172" t="s">
        <v>9</v>
      </c>
      <c r="I172" s="3">
        <v>10.46</v>
      </c>
      <c r="J172" s="9">
        <v>0.26378378378378381</v>
      </c>
      <c r="K172" s="11"/>
      <c r="M172" s="9"/>
      <c r="O172">
        <v>427</v>
      </c>
      <c r="R172" s="3">
        <v>2.08</v>
      </c>
      <c r="S172" s="9">
        <v>0.36585365853658536</v>
      </c>
      <c r="T172" s="11"/>
      <c r="U172" s="9"/>
      <c r="V172" s="11"/>
      <c r="W172" s="9"/>
      <c r="X172">
        <v>427</v>
      </c>
      <c r="AA172" s="3">
        <v>3.44</v>
      </c>
      <c r="AB172" s="9">
        <v>0.21726190476190477</v>
      </c>
    </row>
    <row r="173" spans="1:28" x14ac:dyDescent="0.25">
      <c r="A173" t="s">
        <v>46</v>
      </c>
      <c r="B173" t="s">
        <v>0</v>
      </c>
      <c r="C173">
        <v>63</v>
      </c>
      <c r="D173">
        <v>428</v>
      </c>
      <c r="E173">
        <v>22</v>
      </c>
      <c r="F173" t="s">
        <v>7</v>
      </c>
      <c r="I173" s="3">
        <v>11.6</v>
      </c>
      <c r="J173" s="9">
        <v>0.26378378378378381</v>
      </c>
      <c r="K173" s="11"/>
      <c r="M173" s="9"/>
      <c r="O173">
        <v>428</v>
      </c>
      <c r="R173" s="3">
        <v>2.6</v>
      </c>
      <c r="S173" s="9">
        <v>0.36585365853658536</v>
      </c>
      <c r="T173" s="11"/>
      <c r="U173" s="9"/>
      <c r="V173" s="11"/>
      <c r="W173" s="9"/>
      <c r="X173">
        <v>428</v>
      </c>
      <c r="AA173" s="3">
        <v>3.32</v>
      </c>
      <c r="AB173" s="9">
        <v>0.21726190476190477</v>
      </c>
    </row>
    <row r="174" spans="1:28" x14ac:dyDescent="0.25">
      <c r="A174" t="s">
        <v>46</v>
      </c>
      <c r="B174" t="s">
        <v>0</v>
      </c>
      <c r="C174">
        <v>63</v>
      </c>
      <c r="D174">
        <v>429</v>
      </c>
      <c r="E174">
        <v>35</v>
      </c>
      <c r="F174" t="s">
        <v>26</v>
      </c>
      <c r="G174">
        <v>866</v>
      </c>
      <c r="H174">
        <v>243</v>
      </c>
      <c r="I174" s="3">
        <v>12.66</v>
      </c>
      <c r="J174" s="9">
        <v>0.25299760191846521</v>
      </c>
      <c r="K174" s="11"/>
      <c r="M174" s="9"/>
      <c r="O174">
        <v>429</v>
      </c>
      <c r="P174">
        <v>705</v>
      </c>
      <c r="Q174">
        <v>253</v>
      </c>
      <c r="R174" s="3">
        <v>1.88</v>
      </c>
      <c r="S174" s="9">
        <v>0.32838038632986627</v>
      </c>
      <c r="T174" s="11"/>
      <c r="U174" s="9"/>
      <c r="V174" s="11"/>
      <c r="W174" s="9"/>
      <c r="X174">
        <v>429</v>
      </c>
      <c r="Y174">
        <v>612</v>
      </c>
      <c r="Z174">
        <v>168</v>
      </c>
      <c r="AA174" s="3">
        <v>3.9</v>
      </c>
      <c r="AB174" s="9">
        <v>0.23448275862068965</v>
      </c>
    </row>
    <row r="175" spans="1:28" x14ac:dyDescent="0.25">
      <c r="A175" t="s">
        <v>46</v>
      </c>
      <c r="B175" t="s">
        <v>0</v>
      </c>
      <c r="C175">
        <v>63</v>
      </c>
      <c r="D175">
        <v>430</v>
      </c>
      <c r="E175">
        <v>20</v>
      </c>
      <c r="F175" t="s">
        <v>28</v>
      </c>
      <c r="I175" s="3">
        <v>13.06</v>
      </c>
      <c r="J175" s="9">
        <v>0.25299760191846521</v>
      </c>
      <c r="K175" s="11"/>
      <c r="M175" s="9"/>
      <c r="O175">
        <v>430</v>
      </c>
      <c r="R175" s="3">
        <v>5.16</v>
      </c>
      <c r="S175" s="9">
        <v>0.32838038632986627</v>
      </c>
      <c r="T175" s="11"/>
      <c r="U175" s="9"/>
      <c r="V175" s="11"/>
      <c r="W175" s="9"/>
      <c r="X175">
        <v>430</v>
      </c>
      <c r="AA175" s="3">
        <v>4.2</v>
      </c>
      <c r="AB175" s="9">
        <v>0.23448275862068965</v>
      </c>
    </row>
    <row r="176" spans="1:28" x14ac:dyDescent="0.25">
      <c r="A176" t="s">
        <v>46</v>
      </c>
      <c r="B176" t="s">
        <v>0</v>
      </c>
      <c r="C176">
        <v>63</v>
      </c>
      <c r="D176">
        <v>431</v>
      </c>
      <c r="E176">
        <v>26</v>
      </c>
      <c r="F176" t="s">
        <v>21</v>
      </c>
      <c r="I176" s="3">
        <v>14.02</v>
      </c>
      <c r="J176" s="9">
        <v>0.25299760191846521</v>
      </c>
      <c r="K176" s="11"/>
      <c r="M176" s="9"/>
      <c r="O176">
        <v>431</v>
      </c>
      <c r="R176" s="3">
        <v>4.2</v>
      </c>
      <c r="S176" s="9">
        <v>0.32838038632986627</v>
      </c>
      <c r="T176" s="11"/>
      <c r="U176" s="9"/>
      <c r="V176" s="11"/>
      <c r="W176" s="9"/>
      <c r="X176">
        <v>431</v>
      </c>
      <c r="AA176" s="3">
        <v>4.7</v>
      </c>
      <c r="AB176" s="9">
        <v>0.23448275862068965</v>
      </c>
    </row>
    <row r="177" spans="1:28" x14ac:dyDescent="0.25">
      <c r="A177" t="s">
        <v>46</v>
      </c>
      <c r="B177" t="s">
        <v>0</v>
      </c>
      <c r="C177">
        <v>63</v>
      </c>
      <c r="D177">
        <v>432</v>
      </c>
      <c r="E177">
        <v>9</v>
      </c>
      <c r="F177" t="s">
        <v>19</v>
      </c>
      <c r="I177" s="3">
        <v>12.7</v>
      </c>
      <c r="J177" s="9">
        <v>0.25299760191846521</v>
      </c>
      <c r="K177" s="11"/>
      <c r="M177" s="9"/>
      <c r="O177">
        <v>432</v>
      </c>
      <c r="R177" s="3">
        <v>4.5999999999999996</v>
      </c>
      <c r="S177" s="9">
        <v>0.32838038632986627</v>
      </c>
      <c r="T177" s="11"/>
      <c r="U177" s="9"/>
      <c r="V177" s="11"/>
      <c r="W177" s="9"/>
      <c r="X177">
        <v>432</v>
      </c>
      <c r="AA177" s="3">
        <v>4.3600000000000003</v>
      </c>
      <c r="AB177" s="9">
        <v>0.23448275862068965</v>
      </c>
    </row>
    <row r="178" spans="1:28" x14ac:dyDescent="0.25">
      <c r="A178" t="s">
        <v>46</v>
      </c>
      <c r="B178" t="s">
        <v>0</v>
      </c>
      <c r="C178">
        <v>63</v>
      </c>
      <c r="D178">
        <v>433</v>
      </c>
      <c r="E178">
        <v>16</v>
      </c>
      <c r="F178" t="s">
        <v>12</v>
      </c>
      <c r="G178">
        <v>922</v>
      </c>
      <c r="H178">
        <v>259</v>
      </c>
      <c r="I178" s="3">
        <v>11.22</v>
      </c>
      <c r="J178" s="9">
        <v>0.25505617977528089</v>
      </c>
      <c r="K178" s="11"/>
      <c r="M178" s="9"/>
      <c r="O178">
        <v>433</v>
      </c>
      <c r="P178">
        <v>772</v>
      </c>
      <c r="Q178">
        <v>269</v>
      </c>
      <c r="R178" s="3">
        <v>4.74</v>
      </c>
      <c r="S178" s="9">
        <v>0.32027027027027027</v>
      </c>
      <c r="T178" s="11"/>
      <c r="U178" s="9"/>
      <c r="V178" s="11"/>
      <c r="W178" s="9"/>
      <c r="X178">
        <v>433</v>
      </c>
      <c r="Y178">
        <v>820</v>
      </c>
      <c r="Z178">
        <v>208</v>
      </c>
      <c r="AA178" s="3">
        <v>3.58</v>
      </c>
      <c r="AB178" s="9">
        <v>0.2233502538071066</v>
      </c>
    </row>
    <row r="179" spans="1:28" x14ac:dyDescent="0.25">
      <c r="A179" t="s">
        <v>46</v>
      </c>
      <c r="B179" t="s">
        <v>0</v>
      </c>
      <c r="C179">
        <v>63</v>
      </c>
      <c r="D179">
        <v>434</v>
      </c>
      <c r="E179">
        <v>21</v>
      </c>
      <c r="F179" t="s">
        <v>22</v>
      </c>
      <c r="I179" s="3">
        <v>11.56</v>
      </c>
      <c r="J179" s="9">
        <v>0.25505617977528089</v>
      </c>
      <c r="K179" s="11"/>
      <c r="M179" s="9"/>
      <c r="O179">
        <v>434</v>
      </c>
      <c r="R179" s="3">
        <v>4.22</v>
      </c>
      <c r="S179" s="9">
        <v>0.32027027027027027</v>
      </c>
      <c r="T179" s="11"/>
      <c r="U179" s="9"/>
      <c r="V179" s="11"/>
      <c r="W179" s="9"/>
      <c r="X179">
        <v>434</v>
      </c>
      <c r="AA179" s="3">
        <v>4.16</v>
      </c>
      <c r="AB179" s="9">
        <v>0.2233502538071066</v>
      </c>
    </row>
    <row r="180" spans="1:28" x14ac:dyDescent="0.25">
      <c r="A180" t="s">
        <v>46</v>
      </c>
      <c r="B180" t="s">
        <v>0</v>
      </c>
      <c r="C180">
        <v>63</v>
      </c>
      <c r="D180">
        <v>435</v>
      </c>
      <c r="E180">
        <v>25</v>
      </c>
      <c r="F180" t="s">
        <v>8</v>
      </c>
      <c r="I180" s="3">
        <v>12.8</v>
      </c>
      <c r="J180" s="9">
        <v>0.25505617977528089</v>
      </c>
      <c r="K180" s="11"/>
      <c r="M180" s="9"/>
      <c r="O180">
        <v>435</v>
      </c>
      <c r="R180" s="3">
        <v>4.0999999999999996</v>
      </c>
      <c r="S180" s="9">
        <v>0.32027027027027027</v>
      </c>
      <c r="T180" s="11"/>
      <c r="U180" s="9"/>
      <c r="V180" s="11"/>
      <c r="W180" s="9"/>
      <c r="X180">
        <v>435</v>
      </c>
      <c r="AA180" s="3">
        <v>3.76</v>
      </c>
      <c r="AB180" s="9">
        <v>0.2233502538071066</v>
      </c>
    </row>
    <row r="181" spans="1:28" x14ac:dyDescent="0.25">
      <c r="A181" t="s">
        <v>46</v>
      </c>
      <c r="B181" t="s">
        <v>0</v>
      </c>
      <c r="C181">
        <v>63</v>
      </c>
      <c r="D181">
        <v>436</v>
      </c>
      <c r="E181">
        <v>14</v>
      </c>
      <c r="F181" t="s">
        <v>25</v>
      </c>
      <c r="I181" s="3">
        <v>12.92</v>
      </c>
      <c r="J181" s="9">
        <v>0.25505617977528089</v>
      </c>
      <c r="K181" s="11"/>
      <c r="M181" s="9"/>
      <c r="O181">
        <v>436</v>
      </c>
      <c r="R181" s="3">
        <v>2.84</v>
      </c>
      <c r="S181" s="9">
        <v>0.32027027027027027</v>
      </c>
      <c r="T181" s="11"/>
      <c r="U181" s="9"/>
      <c r="V181" s="11"/>
      <c r="W181" s="9"/>
      <c r="X181">
        <v>436</v>
      </c>
      <c r="AA181" s="3">
        <v>4.38</v>
      </c>
      <c r="AB181" s="9">
        <v>0.2233502538071066</v>
      </c>
    </row>
    <row r="182" spans="1:28" x14ac:dyDescent="0.25">
      <c r="A182" t="s">
        <v>46</v>
      </c>
      <c r="B182" t="s">
        <v>0</v>
      </c>
      <c r="C182">
        <v>63</v>
      </c>
      <c r="D182">
        <v>437</v>
      </c>
      <c r="E182">
        <v>33</v>
      </c>
      <c r="F182" t="s">
        <v>23</v>
      </c>
      <c r="G182">
        <v>731</v>
      </c>
      <c r="H182">
        <v>220</v>
      </c>
      <c r="I182" s="3">
        <v>13.86</v>
      </c>
      <c r="J182" s="9">
        <v>0.26895565092989987</v>
      </c>
      <c r="K182" s="11"/>
      <c r="M182" s="9"/>
      <c r="O182">
        <v>437</v>
      </c>
      <c r="P182">
        <v>638</v>
      </c>
      <c r="Q182">
        <v>260</v>
      </c>
      <c r="R182" s="3">
        <v>3.96</v>
      </c>
      <c r="S182" s="9">
        <v>0.37623762376237624</v>
      </c>
      <c r="T182" s="11"/>
      <c r="U182" s="9"/>
      <c r="V182" s="11"/>
      <c r="W182" s="9"/>
      <c r="X182">
        <v>437</v>
      </c>
      <c r="Y182">
        <v>800</v>
      </c>
      <c r="Z182">
        <v>205</v>
      </c>
      <c r="AA182" s="3">
        <v>5.14</v>
      </c>
      <c r="AB182" s="9">
        <v>0.22526041666666666</v>
      </c>
    </row>
    <row r="183" spans="1:28" x14ac:dyDescent="0.25">
      <c r="A183" t="s">
        <v>46</v>
      </c>
      <c r="B183" t="s">
        <v>0</v>
      </c>
      <c r="C183">
        <v>63</v>
      </c>
      <c r="D183">
        <v>438</v>
      </c>
      <c r="E183">
        <v>2</v>
      </c>
      <c r="F183" t="s">
        <v>4</v>
      </c>
      <c r="I183" s="3">
        <v>12.04</v>
      </c>
      <c r="J183" s="9">
        <v>0.26895565092989987</v>
      </c>
      <c r="K183" s="11"/>
      <c r="M183" s="9"/>
      <c r="O183">
        <v>438</v>
      </c>
      <c r="R183" s="3">
        <v>4.22</v>
      </c>
      <c r="S183" s="9">
        <v>0.37623762376237624</v>
      </c>
      <c r="T183" s="11"/>
      <c r="U183" s="9"/>
      <c r="V183" s="11"/>
      <c r="W183" s="9"/>
      <c r="X183">
        <v>438</v>
      </c>
      <c r="AA183" s="3">
        <v>5.46</v>
      </c>
      <c r="AB183" s="9">
        <v>0.22526041666666666</v>
      </c>
    </row>
    <row r="184" spans="1:28" x14ac:dyDescent="0.25">
      <c r="A184" t="s">
        <v>46</v>
      </c>
      <c r="B184" t="s">
        <v>0</v>
      </c>
      <c r="C184">
        <v>63</v>
      </c>
      <c r="D184">
        <v>439</v>
      </c>
      <c r="E184">
        <v>23</v>
      </c>
      <c r="F184" t="s">
        <v>36</v>
      </c>
      <c r="I184" s="3">
        <v>10.68</v>
      </c>
      <c r="J184" s="9">
        <v>0.26895565092989987</v>
      </c>
      <c r="K184" s="11"/>
      <c r="M184" s="9"/>
      <c r="O184">
        <v>439</v>
      </c>
      <c r="R184" s="3">
        <v>3.48</v>
      </c>
      <c r="S184" s="9">
        <v>0.37623762376237624</v>
      </c>
      <c r="T184" s="11"/>
      <c r="U184" s="9"/>
      <c r="V184" s="11"/>
      <c r="W184" s="9"/>
      <c r="X184">
        <v>439</v>
      </c>
      <c r="AA184" s="3">
        <v>4.62</v>
      </c>
      <c r="AB184" s="9">
        <v>0.22526041666666666</v>
      </c>
    </row>
    <row r="185" spans="1:28" x14ac:dyDescent="0.25">
      <c r="A185" t="s">
        <v>46</v>
      </c>
      <c r="B185" t="s">
        <v>0</v>
      </c>
      <c r="C185">
        <v>63</v>
      </c>
      <c r="D185">
        <v>440</v>
      </c>
      <c r="E185">
        <v>13</v>
      </c>
      <c r="F185" t="s">
        <v>24</v>
      </c>
      <c r="I185" s="3">
        <v>12.08</v>
      </c>
      <c r="J185" s="9">
        <v>0.26895565092989987</v>
      </c>
      <c r="K185" s="11"/>
      <c r="M185" s="9"/>
      <c r="O185">
        <v>440</v>
      </c>
      <c r="R185" s="3">
        <v>4.1399999999999997</v>
      </c>
      <c r="S185" s="9">
        <v>0.37623762376237624</v>
      </c>
      <c r="T185" s="11"/>
      <c r="U185" s="9"/>
      <c r="V185" s="11"/>
      <c r="W185" s="9"/>
      <c r="X185">
        <v>440</v>
      </c>
      <c r="AA185" s="3">
        <v>4.28</v>
      </c>
      <c r="AB185" s="9">
        <v>0.22526041666666666</v>
      </c>
    </row>
    <row r="186" spans="1:28" x14ac:dyDescent="0.25">
      <c r="A186" t="s">
        <v>46</v>
      </c>
      <c r="B186" t="s">
        <v>0</v>
      </c>
      <c r="C186">
        <v>63</v>
      </c>
      <c r="D186">
        <v>441</v>
      </c>
      <c r="E186">
        <v>28</v>
      </c>
      <c r="F186" t="s">
        <v>13</v>
      </c>
      <c r="G186">
        <v>679</v>
      </c>
      <c r="H186">
        <v>201</v>
      </c>
      <c r="I186" s="3">
        <v>13.66</v>
      </c>
      <c r="J186" s="9">
        <v>0.26120556414219476</v>
      </c>
      <c r="K186" s="11"/>
      <c r="M186" s="9"/>
      <c r="O186">
        <v>441</v>
      </c>
      <c r="P186">
        <v>577</v>
      </c>
      <c r="Q186">
        <v>235</v>
      </c>
      <c r="R186" s="3">
        <v>4.18</v>
      </c>
      <c r="S186" s="9">
        <v>0.37247706422018351</v>
      </c>
      <c r="T186" s="11"/>
      <c r="U186" s="9"/>
      <c r="V186" s="11"/>
      <c r="W186" s="9"/>
      <c r="X186">
        <v>441</v>
      </c>
      <c r="Y186">
        <v>714</v>
      </c>
      <c r="Z186">
        <v>195</v>
      </c>
      <c r="AA186" s="3">
        <v>5.0199999999999996</v>
      </c>
      <c r="AB186" s="9">
        <v>0.23900293255131966</v>
      </c>
    </row>
    <row r="187" spans="1:28" x14ac:dyDescent="0.25">
      <c r="A187" t="s">
        <v>46</v>
      </c>
      <c r="B187" t="s">
        <v>0</v>
      </c>
      <c r="C187">
        <v>63</v>
      </c>
      <c r="D187">
        <v>442</v>
      </c>
      <c r="E187">
        <v>3</v>
      </c>
      <c r="F187" t="s">
        <v>3</v>
      </c>
      <c r="I187" s="3">
        <v>14.22</v>
      </c>
      <c r="J187" s="9">
        <v>0.26120556414219476</v>
      </c>
      <c r="K187" s="11"/>
      <c r="M187" s="9"/>
      <c r="O187">
        <v>442</v>
      </c>
      <c r="R187" s="3">
        <v>4.7</v>
      </c>
      <c r="S187" s="9">
        <v>0.37247706422018351</v>
      </c>
      <c r="T187" s="11"/>
      <c r="U187" s="9"/>
      <c r="V187" s="11"/>
      <c r="W187" s="9"/>
      <c r="X187">
        <v>442</v>
      </c>
      <c r="AA187" s="3">
        <v>4.68</v>
      </c>
      <c r="AB187" s="9">
        <v>0.23900293255131966</v>
      </c>
    </row>
    <row r="188" spans="1:28" x14ac:dyDescent="0.25">
      <c r="A188" t="s">
        <v>46</v>
      </c>
      <c r="B188" t="s">
        <v>0</v>
      </c>
      <c r="C188">
        <v>63</v>
      </c>
      <c r="D188">
        <v>443</v>
      </c>
      <c r="E188">
        <v>1</v>
      </c>
      <c r="F188" t="s">
        <v>6</v>
      </c>
      <c r="I188" s="3">
        <v>12.56</v>
      </c>
      <c r="J188" s="9">
        <v>0.26120556414219476</v>
      </c>
      <c r="K188" s="11"/>
      <c r="M188" s="9"/>
      <c r="O188">
        <v>443</v>
      </c>
      <c r="R188" s="3">
        <v>5.28</v>
      </c>
      <c r="S188" s="9">
        <v>0.37247706422018351</v>
      </c>
      <c r="T188" s="11"/>
      <c r="U188" s="9"/>
      <c r="V188" s="11"/>
      <c r="W188" s="9"/>
      <c r="X188">
        <v>443</v>
      </c>
      <c r="AA188" s="3">
        <v>5.08</v>
      </c>
      <c r="AB188" s="9">
        <v>0.23900293255131966</v>
      </c>
    </row>
    <row r="189" spans="1:28" x14ac:dyDescent="0.25">
      <c r="A189" t="s">
        <v>46</v>
      </c>
      <c r="B189" t="s">
        <v>0</v>
      </c>
      <c r="C189">
        <v>63</v>
      </c>
      <c r="D189">
        <v>444</v>
      </c>
      <c r="E189">
        <v>32</v>
      </c>
      <c r="F189" t="s">
        <v>30</v>
      </c>
      <c r="I189" s="3">
        <v>13.5</v>
      </c>
      <c r="J189" s="9">
        <v>0.26120556414219476</v>
      </c>
      <c r="K189" s="11"/>
      <c r="M189" s="9"/>
      <c r="O189">
        <v>444</v>
      </c>
      <c r="R189" s="3">
        <v>4.9400000000000004</v>
      </c>
      <c r="S189" s="9">
        <v>0.37247706422018351</v>
      </c>
      <c r="T189" s="11"/>
      <c r="U189" s="9"/>
      <c r="V189" s="11"/>
      <c r="W189" s="9"/>
      <c r="X189">
        <v>444</v>
      </c>
      <c r="AA189" s="3">
        <v>5.58</v>
      </c>
      <c r="AB189" s="9">
        <v>0.23900293255131966</v>
      </c>
    </row>
    <row r="190" spans="1:28" x14ac:dyDescent="0.25">
      <c r="A190" t="s">
        <v>46</v>
      </c>
      <c r="B190" t="s">
        <v>0</v>
      </c>
      <c r="C190">
        <v>63</v>
      </c>
      <c r="D190">
        <v>445</v>
      </c>
      <c r="E190">
        <v>15</v>
      </c>
      <c r="F190" t="s">
        <v>20</v>
      </c>
      <c r="G190">
        <v>760</v>
      </c>
      <c r="H190">
        <v>211</v>
      </c>
      <c r="I190" s="3">
        <v>12.1</v>
      </c>
      <c r="J190" s="9">
        <v>0.24587912087912087</v>
      </c>
      <c r="K190" s="11"/>
      <c r="M190" s="9"/>
      <c r="O190">
        <v>445</v>
      </c>
      <c r="P190">
        <v>684</v>
      </c>
      <c r="Q190">
        <v>281</v>
      </c>
      <c r="R190" s="3">
        <v>4.32</v>
      </c>
      <c r="S190" s="9">
        <v>0.38190184049079756</v>
      </c>
      <c r="T190" s="11"/>
      <c r="U190" s="9"/>
      <c r="V190" s="11"/>
      <c r="W190" s="9"/>
      <c r="X190">
        <v>445</v>
      </c>
      <c r="Y190">
        <v>847</v>
      </c>
      <c r="Z190">
        <v>211</v>
      </c>
      <c r="AA190" s="3">
        <v>5.8</v>
      </c>
      <c r="AB190" s="9">
        <v>0.21963190184049081</v>
      </c>
    </row>
    <row r="191" spans="1:28" x14ac:dyDescent="0.25">
      <c r="A191" t="s">
        <v>46</v>
      </c>
      <c r="B191" t="s">
        <v>0</v>
      </c>
      <c r="C191">
        <v>63</v>
      </c>
      <c r="D191">
        <v>446</v>
      </c>
      <c r="E191">
        <v>12</v>
      </c>
      <c r="F191" t="s">
        <v>33</v>
      </c>
      <c r="I191" s="3">
        <v>15.22</v>
      </c>
      <c r="J191" s="9">
        <v>0.24587912087912087</v>
      </c>
      <c r="K191" s="11"/>
      <c r="M191" s="9"/>
      <c r="O191">
        <v>446</v>
      </c>
      <c r="R191" s="3">
        <v>4.82</v>
      </c>
      <c r="S191" s="9">
        <v>0.38190184049079756</v>
      </c>
      <c r="T191" s="11"/>
      <c r="U191" s="9"/>
      <c r="V191" s="11"/>
      <c r="W191" s="9"/>
      <c r="X191">
        <v>446</v>
      </c>
      <c r="AA191" s="3">
        <v>6.8</v>
      </c>
      <c r="AB191" s="9">
        <v>0.21963190184049081</v>
      </c>
    </row>
    <row r="192" spans="1:28" x14ac:dyDescent="0.25">
      <c r="A192" t="s">
        <v>46</v>
      </c>
      <c r="B192" t="s">
        <v>0</v>
      </c>
      <c r="C192">
        <v>63</v>
      </c>
      <c r="D192">
        <v>447</v>
      </c>
      <c r="E192">
        <v>8</v>
      </c>
      <c r="F192" t="s">
        <v>31</v>
      </c>
      <c r="I192" s="3">
        <v>15.96</v>
      </c>
      <c r="J192" s="9">
        <v>0.24587912087912087</v>
      </c>
      <c r="K192" s="11"/>
      <c r="M192" s="9"/>
      <c r="O192">
        <v>447</v>
      </c>
      <c r="R192" s="3">
        <v>5.2</v>
      </c>
      <c r="S192" s="9">
        <v>0.38190184049079756</v>
      </c>
      <c r="T192" s="11"/>
      <c r="U192" s="9"/>
      <c r="V192" s="11"/>
      <c r="W192" s="9"/>
      <c r="X192">
        <v>447</v>
      </c>
      <c r="AA192" s="3">
        <v>7.14</v>
      </c>
      <c r="AB192" s="9">
        <v>0.21963190184049081</v>
      </c>
    </row>
    <row r="193" spans="1:28" x14ac:dyDescent="0.25">
      <c r="A193" t="s">
        <v>46</v>
      </c>
      <c r="B193" t="s">
        <v>0</v>
      </c>
      <c r="C193">
        <v>63</v>
      </c>
      <c r="D193">
        <v>448</v>
      </c>
      <c r="E193">
        <v>19</v>
      </c>
      <c r="F193" t="s">
        <v>10</v>
      </c>
      <c r="I193" s="3">
        <v>16.98</v>
      </c>
      <c r="J193" s="9">
        <v>0.24587912087912087</v>
      </c>
      <c r="K193" s="11"/>
      <c r="M193" s="9"/>
      <c r="O193">
        <v>448</v>
      </c>
      <c r="R193" s="3">
        <v>4.8600000000000003</v>
      </c>
      <c r="S193" s="9">
        <v>0.38190184049079756</v>
      </c>
      <c r="T193" s="11"/>
      <c r="U193" s="9"/>
      <c r="V193" s="11"/>
      <c r="W193" s="9"/>
      <c r="X193">
        <v>448</v>
      </c>
      <c r="AA193" s="3">
        <v>7.54</v>
      </c>
      <c r="AB193" s="9">
        <v>0.21963190184049081</v>
      </c>
    </row>
    <row r="194" spans="1:28" x14ac:dyDescent="0.25">
      <c r="A194" t="s">
        <v>47</v>
      </c>
      <c r="B194" t="s">
        <v>0</v>
      </c>
      <c r="C194">
        <v>64</v>
      </c>
      <c r="D194">
        <v>101</v>
      </c>
      <c r="E194">
        <v>10</v>
      </c>
      <c r="F194" t="s">
        <v>35</v>
      </c>
      <c r="G194">
        <v>741</v>
      </c>
      <c r="H194">
        <v>191</v>
      </c>
      <c r="I194" s="3">
        <v>14.9</v>
      </c>
      <c r="J194" s="9">
        <v>0.22425952045133993</v>
      </c>
      <c r="K194" s="11"/>
      <c r="M194" s="9"/>
      <c r="O194">
        <v>101</v>
      </c>
      <c r="R194" s="3"/>
      <c r="S194" s="9"/>
      <c r="T194" s="11"/>
      <c r="U194" s="9"/>
      <c r="V194" s="11"/>
      <c r="W194" s="9"/>
      <c r="X194">
        <v>101</v>
      </c>
      <c r="Y194">
        <v>766</v>
      </c>
      <c r="Z194">
        <v>205</v>
      </c>
      <c r="AA194" s="3">
        <v>13.3</v>
      </c>
      <c r="AB194" s="9">
        <v>0.23569482288828339</v>
      </c>
    </row>
    <row r="195" spans="1:28" x14ac:dyDescent="0.25">
      <c r="A195" t="s">
        <v>47</v>
      </c>
      <c r="B195" t="s">
        <v>0</v>
      </c>
      <c r="C195">
        <v>64</v>
      </c>
      <c r="D195">
        <v>102</v>
      </c>
      <c r="E195">
        <v>9</v>
      </c>
      <c r="F195" t="s">
        <v>19</v>
      </c>
      <c r="I195" s="3">
        <v>15.48</v>
      </c>
      <c r="J195" s="9">
        <v>0.22425952045133993</v>
      </c>
      <c r="K195" s="11"/>
      <c r="M195" s="9"/>
      <c r="O195">
        <v>102</v>
      </c>
      <c r="R195" s="3"/>
      <c r="S195" s="9"/>
      <c r="T195" s="11"/>
      <c r="U195" s="9"/>
      <c r="V195" s="11"/>
      <c r="W195" s="9"/>
      <c r="X195">
        <v>102</v>
      </c>
      <c r="AA195" s="3">
        <v>15</v>
      </c>
      <c r="AB195" s="9">
        <v>0.23569482288828339</v>
      </c>
    </row>
    <row r="196" spans="1:28" x14ac:dyDescent="0.25">
      <c r="A196" t="s">
        <v>47</v>
      </c>
      <c r="B196" t="s">
        <v>0</v>
      </c>
      <c r="C196">
        <v>64</v>
      </c>
      <c r="D196">
        <v>103</v>
      </c>
      <c r="E196">
        <v>7</v>
      </c>
      <c r="F196" t="s">
        <v>16</v>
      </c>
      <c r="I196" s="3">
        <v>16.5</v>
      </c>
      <c r="J196" s="9">
        <v>0.22425952045133993</v>
      </c>
      <c r="K196" s="11"/>
      <c r="M196" s="9"/>
      <c r="O196">
        <v>103</v>
      </c>
      <c r="R196" s="3"/>
      <c r="S196" s="9"/>
      <c r="T196" s="11"/>
      <c r="U196" s="9"/>
      <c r="V196" s="11"/>
      <c r="W196" s="9"/>
      <c r="X196">
        <v>103</v>
      </c>
      <c r="AA196" s="3">
        <v>11.46</v>
      </c>
      <c r="AB196" s="9">
        <v>0.23569482288828339</v>
      </c>
    </row>
    <row r="197" spans="1:28" x14ac:dyDescent="0.25">
      <c r="A197" t="s">
        <v>47</v>
      </c>
      <c r="B197" t="s">
        <v>0</v>
      </c>
      <c r="C197">
        <v>64</v>
      </c>
      <c r="D197">
        <v>104</v>
      </c>
      <c r="E197">
        <v>12</v>
      </c>
      <c r="F197" t="s">
        <v>33</v>
      </c>
      <c r="I197" s="3">
        <v>15.7</v>
      </c>
      <c r="J197" s="9">
        <v>0.22425952045133993</v>
      </c>
      <c r="K197" s="11"/>
      <c r="M197" s="9"/>
      <c r="O197">
        <v>104</v>
      </c>
      <c r="R197" s="3"/>
      <c r="S197" s="9"/>
      <c r="T197" s="11"/>
      <c r="U197" s="9"/>
      <c r="V197" s="11"/>
      <c r="W197" s="9"/>
      <c r="X197">
        <v>104</v>
      </c>
      <c r="AA197" s="3">
        <v>12.04</v>
      </c>
      <c r="AB197" s="9">
        <v>0.23569482288828339</v>
      </c>
    </row>
    <row r="198" spans="1:28" x14ac:dyDescent="0.25">
      <c r="A198" t="s">
        <v>47</v>
      </c>
      <c r="B198" t="s">
        <v>0</v>
      </c>
      <c r="C198">
        <v>64</v>
      </c>
      <c r="D198">
        <v>105</v>
      </c>
      <c r="E198">
        <v>9</v>
      </c>
      <c r="F198" t="s">
        <v>19</v>
      </c>
      <c r="G198">
        <v>762</v>
      </c>
      <c r="H198">
        <v>193</v>
      </c>
      <c r="I198" s="3">
        <v>16.68</v>
      </c>
      <c r="J198" s="9">
        <v>0.22054794520547946</v>
      </c>
      <c r="K198" s="11"/>
      <c r="M198" s="9"/>
      <c r="O198">
        <v>105</v>
      </c>
      <c r="R198" s="3"/>
      <c r="S198" s="9"/>
      <c r="T198" s="11"/>
      <c r="U198" s="9"/>
      <c r="V198" s="11"/>
      <c r="W198" s="9"/>
      <c r="X198">
        <v>105</v>
      </c>
      <c r="Y198">
        <v>807</v>
      </c>
      <c r="Z198">
        <v>218</v>
      </c>
      <c r="AA198" s="3">
        <v>10.78</v>
      </c>
      <c r="AB198" s="9">
        <v>0.24</v>
      </c>
    </row>
    <row r="199" spans="1:28" x14ac:dyDescent="0.25">
      <c r="A199" t="s">
        <v>47</v>
      </c>
      <c r="B199" t="s">
        <v>0</v>
      </c>
      <c r="C199">
        <v>64</v>
      </c>
      <c r="D199">
        <v>106</v>
      </c>
      <c r="E199">
        <v>11</v>
      </c>
      <c r="F199" t="s">
        <v>15</v>
      </c>
      <c r="I199" s="3">
        <v>18</v>
      </c>
      <c r="J199" s="9">
        <v>0.22054794520547946</v>
      </c>
      <c r="K199" s="11"/>
      <c r="M199" s="9"/>
      <c r="O199">
        <v>106</v>
      </c>
      <c r="R199" s="3"/>
      <c r="S199" s="9"/>
      <c r="T199" s="11"/>
      <c r="U199" s="9"/>
      <c r="V199" s="11"/>
      <c r="W199" s="9"/>
      <c r="X199">
        <v>106</v>
      </c>
      <c r="AA199" s="3">
        <v>14.42</v>
      </c>
      <c r="AB199" s="9">
        <v>0.24</v>
      </c>
    </row>
    <row r="200" spans="1:28" x14ac:dyDescent="0.25">
      <c r="A200" t="s">
        <v>47</v>
      </c>
      <c r="B200" t="s">
        <v>0</v>
      </c>
      <c r="C200">
        <v>64</v>
      </c>
      <c r="D200">
        <v>107</v>
      </c>
      <c r="E200">
        <v>7</v>
      </c>
      <c r="F200" t="s">
        <v>16</v>
      </c>
      <c r="I200" s="3">
        <v>15</v>
      </c>
      <c r="J200" s="9">
        <v>0.22054794520547946</v>
      </c>
      <c r="K200" s="11"/>
      <c r="M200" s="9"/>
      <c r="O200">
        <v>107</v>
      </c>
      <c r="R200" s="3"/>
      <c r="S200" s="9"/>
      <c r="T200" s="11"/>
      <c r="U200" s="9"/>
      <c r="V200" s="11"/>
      <c r="W200" s="9"/>
      <c r="X200">
        <v>107</v>
      </c>
      <c r="AA200" s="3">
        <v>10.64</v>
      </c>
      <c r="AB200" s="9">
        <v>0.24</v>
      </c>
    </row>
    <row r="201" spans="1:28" x14ac:dyDescent="0.25">
      <c r="A201" t="s">
        <v>47</v>
      </c>
      <c r="B201" t="s">
        <v>0</v>
      </c>
      <c r="C201">
        <v>64</v>
      </c>
      <c r="D201">
        <v>108</v>
      </c>
      <c r="E201">
        <v>12</v>
      </c>
      <c r="F201" t="s">
        <v>33</v>
      </c>
      <c r="I201" s="3">
        <v>17.72</v>
      </c>
      <c r="J201" s="9">
        <v>0.22054794520547946</v>
      </c>
      <c r="K201" s="11"/>
      <c r="M201" s="9"/>
      <c r="O201">
        <v>108</v>
      </c>
      <c r="R201" s="3"/>
      <c r="S201" s="9"/>
      <c r="T201" s="11"/>
      <c r="U201" s="9"/>
      <c r="V201" s="11"/>
      <c r="W201" s="9"/>
      <c r="X201">
        <v>108</v>
      </c>
      <c r="AA201" s="3">
        <v>12.16</v>
      </c>
      <c r="AB201" s="9">
        <v>0.24</v>
      </c>
    </row>
    <row r="202" spans="1:28" x14ac:dyDescent="0.25">
      <c r="A202" t="s">
        <v>47</v>
      </c>
      <c r="B202" t="s">
        <v>0</v>
      </c>
      <c r="C202">
        <v>64</v>
      </c>
      <c r="D202">
        <v>109</v>
      </c>
      <c r="E202">
        <v>8</v>
      </c>
      <c r="F202" t="s">
        <v>31</v>
      </c>
      <c r="G202">
        <v>808</v>
      </c>
      <c r="H202">
        <v>194</v>
      </c>
      <c r="I202" s="3">
        <v>18.559999999999999</v>
      </c>
      <c r="J202" s="9">
        <v>0.20876288659793815</v>
      </c>
      <c r="K202" s="11"/>
      <c r="M202" s="9"/>
      <c r="O202">
        <v>109</v>
      </c>
      <c r="R202" s="3"/>
      <c r="S202" s="9"/>
      <c r="T202" s="11"/>
      <c r="U202" s="9"/>
      <c r="V202" s="11"/>
      <c r="W202" s="9"/>
      <c r="X202">
        <v>109</v>
      </c>
      <c r="Y202">
        <v>581</v>
      </c>
      <c r="Z202">
        <v>180</v>
      </c>
      <c r="AA202" s="3">
        <v>10.220000000000001</v>
      </c>
      <c r="AB202" s="9">
        <v>0.26958105646630237</v>
      </c>
    </row>
    <row r="203" spans="1:28" x14ac:dyDescent="0.25">
      <c r="A203" t="s">
        <v>47</v>
      </c>
      <c r="B203" t="s">
        <v>0</v>
      </c>
      <c r="C203">
        <v>64</v>
      </c>
      <c r="D203">
        <v>110</v>
      </c>
      <c r="E203">
        <v>10</v>
      </c>
      <c r="F203" t="s">
        <v>35</v>
      </c>
      <c r="I203" s="3">
        <v>16.36</v>
      </c>
      <c r="J203" s="9">
        <v>0.20876288659793815</v>
      </c>
      <c r="K203" s="11"/>
      <c r="M203" s="9"/>
      <c r="O203">
        <v>110</v>
      </c>
      <c r="R203" s="3"/>
      <c r="S203" s="9"/>
      <c r="T203" s="11"/>
      <c r="U203" s="9"/>
      <c r="V203" s="11"/>
      <c r="W203" s="9"/>
      <c r="X203">
        <v>110</v>
      </c>
      <c r="AA203" s="3">
        <v>10.24</v>
      </c>
      <c r="AB203" s="9">
        <v>0.26958105646630237</v>
      </c>
    </row>
    <row r="204" spans="1:28" x14ac:dyDescent="0.25">
      <c r="A204" t="s">
        <v>47</v>
      </c>
      <c r="B204" t="s">
        <v>0</v>
      </c>
      <c r="C204">
        <v>64</v>
      </c>
      <c r="D204">
        <v>111</v>
      </c>
      <c r="E204">
        <v>11</v>
      </c>
      <c r="F204" t="s">
        <v>15</v>
      </c>
      <c r="I204" s="3">
        <v>19.02</v>
      </c>
      <c r="J204" s="9">
        <v>0.20876288659793815</v>
      </c>
      <c r="K204" s="11"/>
      <c r="M204" s="9"/>
      <c r="O204">
        <v>111</v>
      </c>
      <c r="R204" s="3"/>
      <c r="S204" s="9"/>
      <c r="T204" s="11"/>
      <c r="U204" s="9"/>
      <c r="V204" s="11"/>
      <c r="W204" s="9"/>
      <c r="X204">
        <v>111</v>
      </c>
      <c r="AA204" s="3">
        <v>14.62</v>
      </c>
      <c r="AB204" s="9">
        <v>0.26958105646630237</v>
      </c>
    </row>
    <row r="205" spans="1:28" x14ac:dyDescent="0.25">
      <c r="A205" t="s">
        <v>47</v>
      </c>
      <c r="B205" t="s">
        <v>0</v>
      </c>
      <c r="C205">
        <v>64</v>
      </c>
      <c r="D205">
        <v>112</v>
      </c>
      <c r="E205">
        <v>8</v>
      </c>
      <c r="F205" t="s">
        <v>31</v>
      </c>
      <c r="I205" s="3">
        <v>18.079999999999998</v>
      </c>
      <c r="J205" s="9">
        <v>0.20876288659793815</v>
      </c>
      <c r="K205" s="11"/>
      <c r="M205" s="9"/>
      <c r="O205">
        <v>112</v>
      </c>
      <c r="R205" s="3"/>
      <c r="S205" s="9"/>
      <c r="T205" s="11"/>
      <c r="U205" s="9"/>
      <c r="V205" s="11"/>
      <c r="W205" s="9"/>
      <c r="X205">
        <v>112</v>
      </c>
      <c r="AA205" s="3">
        <v>9.64</v>
      </c>
      <c r="AB205" s="9">
        <v>0.26958105646630237</v>
      </c>
    </row>
    <row r="206" spans="1:28" x14ac:dyDescent="0.25">
      <c r="A206" t="s">
        <v>47</v>
      </c>
      <c r="B206" t="s">
        <v>0</v>
      </c>
      <c r="C206">
        <v>64</v>
      </c>
      <c r="D206">
        <v>113</v>
      </c>
      <c r="E206">
        <v>10</v>
      </c>
      <c r="F206" t="s">
        <v>35</v>
      </c>
      <c r="G206">
        <v>839</v>
      </c>
      <c r="H206">
        <v>211</v>
      </c>
      <c r="I206" s="3">
        <v>18.559999999999999</v>
      </c>
      <c r="J206" s="9">
        <v>0.22180916976456011</v>
      </c>
      <c r="K206" s="11"/>
      <c r="M206" s="9"/>
      <c r="O206">
        <v>113</v>
      </c>
      <c r="P206">
        <v>602</v>
      </c>
      <c r="Q206">
        <v>174</v>
      </c>
      <c r="R206" s="3">
        <v>15</v>
      </c>
      <c r="S206" s="9">
        <v>0.24912280701754386</v>
      </c>
      <c r="T206" s="11"/>
      <c r="U206" s="9"/>
      <c r="V206" s="11"/>
      <c r="W206" s="9"/>
      <c r="X206">
        <v>113</v>
      </c>
      <c r="Y206">
        <v>688</v>
      </c>
      <c r="Z206">
        <v>177</v>
      </c>
      <c r="AA206" s="3">
        <v>12.4</v>
      </c>
      <c r="AB206" s="9">
        <v>0.22103658536585366</v>
      </c>
    </row>
    <row r="207" spans="1:28" x14ac:dyDescent="0.25">
      <c r="A207" t="s">
        <v>47</v>
      </c>
      <c r="B207" t="s">
        <v>0</v>
      </c>
      <c r="C207">
        <v>64</v>
      </c>
      <c r="D207">
        <v>114</v>
      </c>
      <c r="E207">
        <v>14</v>
      </c>
      <c r="F207" t="s">
        <v>25</v>
      </c>
      <c r="I207" s="3">
        <v>18.899999999999999</v>
      </c>
      <c r="J207" s="9">
        <v>0.22180916976456011</v>
      </c>
      <c r="K207" s="11"/>
      <c r="M207" s="9"/>
      <c r="O207">
        <v>114</v>
      </c>
      <c r="R207" s="3">
        <v>13.66</v>
      </c>
      <c r="S207" s="9">
        <v>0.24912280701754386</v>
      </c>
      <c r="T207" s="11"/>
      <c r="U207" s="9"/>
      <c r="V207" s="11"/>
      <c r="W207" s="9"/>
      <c r="X207">
        <v>114</v>
      </c>
      <c r="AA207" s="3">
        <v>11.42</v>
      </c>
      <c r="AB207" s="9">
        <v>0.22103658536585366</v>
      </c>
    </row>
    <row r="208" spans="1:28" x14ac:dyDescent="0.25">
      <c r="A208" t="s">
        <v>47</v>
      </c>
      <c r="B208" t="s">
        <v>0</v>
      </c>
      <c r="C208">
        <v>64</v>
      </c>
      <c r="D208">
        <v>115</v>
      </c>
      <c r="E208">
        <v>31</v>
      </c>
      <c r="F208" t="s">
        <v>29</v>
      </c>
      <c r="I208" s="3">
        <v>20.260000000000002</v>
      </c>
      <c r="J208" s="9">
        <v>0.22180916976456011</v>
      </c>
      <c r="K208" s="11"/>
      <c r="M208" s="9"/>
      <c r="O208">
        <v>115</v>
      </c>
      <c r="R208" s="3">
        <v>15.22</v>
      </c>
      <c r="S208" s="9">
        <v>0.24912280701754386</v>
      </c>
      <c r="T208" s="11"/>
      <c r="U208" s="9"/>
      <c r="V208" s="11"/>
      <c r="W208" s="9"/>
      <c r="X208">
        <v>115</v>
      </c>
      <c r="AA208" s="3">
        <v>13.84</v>
      </c>
      <c r="AB208" s="9">
        <v>0.22103658536585366</v>
      </c>
    </row>
    <row r="209" spans="1:28" x14ac:dyDescent="0.25">
      <c r="A209" t="s">
        <v>47</v>
      </c>
      <c r="B209" t="s">
        <v>0</v>
      </c>
      <c r="C209">
        <v>64</v>
      </c>
      <c r="D209">
        <v>116</v>
      </c>
      <c r="E209">
        <v>30</v>
      </c>
      <c r="F209" t="s">
        <v>9</v>
      </c>
      <c r="I209" s="3">
        <v>17.899999999999999</v>
      </c>
      <c r="J209" s="9">
        <v>0.22180916976456011</v>
      </c>
      <c r="K209" s="11"/>
      <c r="M209" s="9"/>
      <c r="O209">
        <v>116</v>
      </c>
      <c r="R209" s="3">
        <v>15.2</v>
      </c>
      <c r="S209" s="9">
        <v>0.24912280701754386</v>
      </c>
      <c r="T209" s="11"/>
      <c r="U209" s="9"/>
      <c r="V209" s="11"/>
      <c r="W209" s="9"/>
      <c r="X209">
        <v>116</v>
      </c>
      <c r="AA209" s="3">
        <v>12.04</v>
      </c>
      <c r="AB209" s="9">
        <v>0.22103658536585366</v>
      </c>
    </row>
    <row r="210" spans="1:28" x14ac:dyDescent="0.25">
      <c r="A210" t="s">
        <v>47</v>
      </c>
      <c r="B210" t="s">
        <v>0</v>
      </c>
      <c r="C210">
        <v>64</v>
      </c>
      <c r="D210">
        <v>117</v>
      </c>
      <c r="E210">
        <v>7</v>
      </c>
      <c r="F210" t="s">
        <v>16</v>
      </c>
      <c r="G210">
        <v>804</v>
      </c>
      <c r="H210">
        <v>206</v>
      </c>
      <c r="I210" s="3">
        <v>16.899999999999999</v>
      </c>
      <c r="J210" s="9">
        <v>0.22538860103626943</v>
      </c>
      <c r="K210" s="11"/>
      <c r="M210" s="9"/>
      <c r="O210">
        <v>117</v>
      </c>
      <c r="P210">
        <v>784</v>
      </c>
      <c r="Q210">
        <v>222</v>
      </c>
      <c r="R210" s="3">
        <v>14.16</v>
      </c>
      <c r="S210" s="9">
        <v>0.25265957446808512</v>
      </c>
      <c r="T210" s="11"/>
      <c r="U210" s="9"/>
      <c r="V210" s="11"/>
      <c r="W210" s="9"/>
      <c r="X210">
        <v>117</v>
      </c>
      <c r="Y210">
        <v>587</v>
      </c>
      <c r="Z210">
        <v>157</v>
      </c>
      <c r="AA210" s="3">
        <v>11.78</v>
      </c>
      <c r="AB210" s="9">
        <v>0.22522522522522523</v>
      </c>
    </row>
    <row r="211" spans="1:28" x14ac:dyDescent="0.25">
      <c r="A211" t="s">
        <v>47</v>
      </c>
      <c r="B211" t="s">
        <v>0</v>
      </c>
      <c r="C211">
        <v>64</v>
      </c>
      <c r="D211">
        <v>118</v>
      </c>
      <c r="E211">
        <v>29</v>
      </c>
      <c r="F211" t="s">
        <v>11</v>
      </c>
      <c r="I211" s="3">
        <v>15.68</v>
      </c>
      <c r="J211" s="9">
        <v>0.22538860103626943</v>
      </c>
      <c r="K211" s="11"/>
      <c r="M211" s="9"/>
      <c r="O211">
        <v>118</v>
      </c>
      <c r="R211" s="3">
        <v>14.54</v>
      </c>
      <c r="S211" s="9">
        <v>0.25265957446808512</v>
      </c>
      <c r="T211" s="11"/>
      <c r="U211" s="9"/>
      <c r="V211" s="11"/>
      <c r="W211" s="9"/>
      <c r="X211">
        <v>118</v>
      </c>
      <c r="AA211" s="3">
        <v>9.64</v>
      </c>
      <c r="AB211" s="9">
        <v>0.22522522522522523</v>
      </c>
    </row>
    <row r="212" spans="1:28" x14ac:dyDescent="0.25">
      <c r="A212" t="s">
        <v>47</v>
      </c>
      <c r="B212" t="s">
        <v>0</v>
      </c>
      <c r="C212">
        <v>64</v>
      </c>
      <c r="D212">
        <v>119</v>
      </c>
      <c r="E212">
        <v>3</v>
      </c>
      <c r="F212" t="s">
        <v>3</v>
      </c>
      <c r="I212" s="3">
        <v>18.98</v>
      </c>
      <c r="J212" s="9">
        <v>0.22538860103626943</v>
      </c>
      <c r="K212" s="11"/>
      <c r="M212" s="9"/>
      <c r="O212">
        <v>119</v>
      </c>
      <c r="R212" s="3">
        <v>12.76</v>
      </c>
      <c r="S212" s="9">
        <v>0.25265957446808512</v>
      </c>
      <c r="T212" s="11"/>
      <c r="U212" s="9"/>
      <c r="V212" s="11"/>
      <c r="W212" s="9"/>
      <c r="X212">
        <v>119</v>
      </c>
      <c r="AA212" s="3">
        <v>10.76</v>
      </c>
      <c r="AB212" s="9">
        <v>0.22522522522522523</v>
      </c>
    </row>
    <row r="213" spans="1:28" x14ac:dyDescent="0.25">
      <c r="A213" t="s">
        <v>47</v>
      </c>
      <c r="B213" t="s">
        <v>0</v>
      </c>
      <c r="C213">
        <v>64</v>
      </c>
      <c r="D213">
        <v>120</v>
      </c>
      <c r="E213">
        <v>26</v>
      </c>
      <c r="F213" t="s">
        <v>21</v>
      </c>
      <c r="I213" s="3">
        <v>18.72</v>
      </c>
      <c r="J213" s="9">
        <v>0.22538860103626943</v>
      </c>
      <c r="K213" s="11"/>
      <c r="M213" s="9"/>
      <c r="O213">
        <v>120</v>
      </c>
      <c r="R213" s="3">
        <v>12.7</v>
      </c>
      <c r="S213" s="9">
        <v>0.25265957446808512</v>
      </c>
      <c r="T213" s="11"/>
      <c r="U213" s="9"/>
      <c r="V213" s="11"/>
      <c r="W213" s="9"/>
      <c r="X213">
        <v>120</v>
      </c>
      <c r="AA213" s="3">
        <v>11.66</v>
      </c>
      <c r="AB213" s="9">
        <v>0.22522522522522523</v>
      </c>
    </row>
    <row r="214" spans="1:28" x14ac:dyDescent="0.25">
      <c r="A214" t="s">
        <v>47</v>
      </c>
      <c r="B214" t="s">
        <v>0</v>
      </c>
      <c r="C214">
        <v>64</v>
      </c>
      <c r="D214">
        <v>121</v>
      </c>
      <c r="E214">
        <v>6</v>
      </c>
      <c r="F214" t="s">
        <v>1</v>
      </c>
      <c r="G214">
        <v>730</v>
      </c>
      <c r="H214">
        <v>184</v>
      </c>
      <c r="I214" s="3">
        <v>16.62</v>
      </c>
      <c r="J214" s="9">
        <v>0.2177650429799427</v>
      </c>
      <c r="K214" s="11"/>
      <c r="M214" s="9"/>
      <c r="O214">
        <v>121</v>
      </c>
      <c r="P214">
        <v>659</v>
      </c>
      <c r="Q214">
        <v>187</v>
      </c>
      <c r="R214" s="3">
        <v>14.44</v>
      </c>
      <c r="S214" s="9">
        <v>0.24720893141945774</v>
      </c>
      <c r="T214" s="11"/>
      <c r="U214" s="9"/>
      <c r="V214" s="11"/>
      <c r="W214" s="9"/>
      <c r="X214">
        <v>121</v>
      </c>
      <c r="Y214">
        <v>780</v>
      </c>
      <c r="Z214">
        <v>203</v>
      </c>
      <c r="AA214" s="3">
        <v>10.48</v>
      </c>
      <c r="AB214" s="9">
        <v>0.2286096256684492</v>
      </c>
    </row>
    <row r="215" spans="1:28" x14ac:dyDescent="0.25">
      <c r="A215" t="s">
        <v>47</v>
      </c>
      <c r="B215" t="s">
        <v>0</v>
      </c>
      <c r="C215">
        <v>64</v>
      </c>
      <c r="D215">
        <v>122</v>
      </c>
      <c r="E215">
        <v>24</v>
      </c>
      <c r="F215" t="s">
        <v>32</v>
      </c>
      <c r="I215" s="3">
        <v>18.88</v>
      </c>
      <c r="J215" s="9">
        <v>0.2177650429799427</v>
      </c>
      <c r="K215" s="11"/>
      <c r="M215" s="9"/>
      <c r="O215">
        <v>122</v>
      </c>
      <c r="R215" s="3">
        <v>15.78</v>
      </c>
      <c r="S215" s="9">
        <v>0.24720893141945774</v>
      </c>
      <c r="T215" s="11"/>
      <c r="U215" s="9"/>
      <c r="V215" s="11"/>
      <c r="W215" s="9"/>
      <c r="X215">
        <v>122</v>
      </c>
      <c r="AA215" s="3">
        <v>12.08</v>
      </c>
      <c r="AB215" s="9">
        <v>0.2286096256684492</v>
      </c>
    </row>
    <row r="216" spans="1:28" x14ac:dyDescent="0.25">
      <c r="A216" t="s">
        <v>47</v>
      </c>
      <c r="B216" t="s">
        <v>0</v>
      </c>
      <c r="C216">
        <v>64</v>
      </c>
      <c r="D216">
        <v>123</v>
      </c>
      <c r="E216">
        <v>32</v>
      </c>
      <c r="F216" t="s">
        <v>30</v>
      </c>
      <c r="I216" s="3">
        <v>14.18</v>
      </c>
      <c r="J216" s="9">
        <v>0.2177650429799427</v>
      </c>
      <c r="K216" s="11"/>
      <c r="M216" s="9"/>
      <c r="O216">
        <v>123</v>
      </c>
      <c r="R216" s="3">
        <v>13.08</v>
      </c>
      <c r="S216" s="9">
        <v>0.24720893141945774</v>
      </c>
      <c r="T216" s="11"/>
      <c r="U216" s="9"/>
      <c r="V216" s="11"/>
      <c r="W216" s="9"/>
      <c r="X216">
        <v>123</v>
      </c>
      <c r="AA216" s="3">
        <v>9.6199999999999992</v>
      </c>
      <c r="AB216" s="9">
        <v>0.2286096256684492</v>
      </c>
    </row>
    <row r="217" spans="1:28" x14ac:dyDescent="0.25">
      <c r="A217" t="s">
        <v>47</v>
      </c>
      <c r="B217" t="s">
        <v>0</v>
      </c>
      <c r="C217">
        <v>64</v>
      </c>
      <c r="D217">
        <v>124</v>
      </c>
      <c r="E217">
        <v>18</v>
      </c>
      <c r="F217" t="s">
        <v>18</v>
      </c>
      <c r="I217" s="3">
        <v>17.72</v>
      </c>
      <c r="J217" s="9">
        <v>0.2177650429799427</v>
      </c>
      <c r="K217" s="11"/>
      <c r="M217" s="9"/>
      <c r="O217">
        <v>124</v>
      </c>
      <c r="R217" s="3">
        <v>14.54</v>
      </c>
      <c r="S217" s="9">
        <v>0.24720893141945774</v>
      </c>
      <c r="T217" s="11"/>
      <c r="U217" s="9"/>
      <c r="V217" s="11"/>
      <c r="W217" s="9"/>
      <c r="X217">
        <v>124</v>
      </c>
      <c r="AA217" s="3">
        <v>12.5</v>
      </c>
      <c r="AB217" s="9">
        <v>0.2286096256684492</v>
      </c>
    </row>
    <row r="218" spans="1:28" x14ac:dyDescent="0.25">
      <c r="A218" t="s">
        <v>47</v>
      </c>
      <c r="B218" t="s">
        <v>0</v>
      </c>
      <c r="C218">
        <v>64</v>
      </c>
      <c r="D218">
        <v>125</v>
      </c>
      <c r="E218">
        <v>34</v>
      </c>
      <c r="F218" t="s">
        <v>34</v>
      </c>
      <c r="G218">
        <v>589</v>
      </c>
      <c r="H218">
        <v>153</v>
      </c>
      <c r="I218" s="3">
        <v>19.440000000000001</v>
      </c>
      <c r="J218" s="9">
        <v>0.21723518850987433</v>
      </c>
      <c r="K218" s="11"/>
      <c r="M218" s="9"/>
      <c r="O218">
        <v>125</v>
      </c>
      <c r="P218">
        <v>833</v>
      </c>
      <c r="Q218">
        <v>219</v>
      </c>
      <c r="R218" s="3">
        <v>16</v>
      </c>
      <c r="S218" s="9">
        <v>0.23345817727840198</v>
      </c>
      <c r="T218" s="11"/>
      <c r="U218" s="9"/>
      <c r="V218" s="11"/>
      <c r="W218" s="9"/>
      <c r="X218">
        <v>125</v>
      </c>
      <c r="Y218">
        <v>827</v>
      </c>
      <c r="Z218">
        <v>215</v>
      </c>
      <c r="AA218" s="3">
        <v>11.72</v>
      </c>
      <c r="AB218" s="9">
        <v>0.23018867924528302</v>
      </c>
    </row>
    <row r="219" spans="1:28" x14ac:dyDescent="0.25">
      <c r="A219" t="s">
        <v>47</v>
      </c>
      <c r="B219" t="s">
        <v>0</v>
      </c>
      <c r="C219">
        <v>64</v>
      </c>
      <c r="D219">
        <v>126</v>
      </c>
      <c r="E219">
        <v>23</v>
      </c>
      <c r="F219" t="s">
        <v>36</v>
      </c>
      <c r="I219" s="3">
        <v>15.32</v>
      </c>
      <c r="J219" s="9">
        <v>0.21723518850987433</v>
      </c>
      <c r="K219" s="11"/>
      <c r="M219" s="9"/>
      <c r="O219">
        <v>126</v>
      </c>
      <c r="R219" s="3">
        <v>13.08</v>
      </c>
      <c r="S219" s="9">
        <v>0.23345817727840198</v>
      </c>
      <c r="T219" s="11"/>
      <c r="U219" s="9"/>
      <c r="V219" s="11"/>
      <c r="W219" s="9"/>
      <c r="X219">
        <v>126</v>
      </c>
      <c r="AA219" s="3">
        <v>10.36</v>
      </c>
      <c r="AB219" s="9">
        <v>0.23018867924528302</v>
      </c>
    </row>
    <row r="220" spans="1:28" x14ac:dyDescent="0.25">
      <c r="A220" t="s">
        <v>47</v>
      </c>
      <c r="B220" t="s">
        <v>0</v>
      </c>
      <c r="C220">
        <v>64</v>
      </c>
      <c r="D220">
        <v>127</v>
      </c>
      <c r="E220">
        <v>5</v>
      </c>
      <c r="F220" t="s">
        <v>5</v>
      </c>
      <c r="I220" s="3">
        <v>15.58</v>
      </c>
      <c r="J220" s="9">
        <v>0.21723518850987433</v>
      </c>
      <c r="K220" s="11"/>
      <c r="M220" s="9"/>
      <c r="O220">
        <v>127</v>
      </c>
      <c r="R220" s="3">
        <v>14.52</v>
      </c>
      <c r="S220" s="9">
        <v>0.23345817727840198</v>
      </c>
      <c r="T220" s="11"/>
      <c r="U220" s="9"/>
      <c r="V220" s="11"/>
      <c r="W220" s="9"/>
      <c r="X220">
        <v>127</v>
      </c>
      <c r="AA220" s="3">
        <v>9.8800000000000008</v>
      </c>
      <c r="AB220" s="9">
        <v>0.23018867924528302</v>
      </c>
    </row>
    <row r="221" spans="1:28" x14ac:dyDescent="0.25">
      <c r="A221" t="s">
        <v>47</v>
      </c>
      <c r="B221" t="s">
        <v>0</v>
      </c>
      <c r="C221">
        <v>64</v>
      </c>
      <c r="D221">
        <v>128</v>
      </c>
      <c r="E221">
        <v>35</v>
      </c>
      <c r="F221" t="s">
        <v>26</v>
      </c>
      <c r="I221" s="3">
        <v>16.98</v>
      </c>
      <c r="J221" s="9">
        <v>0.21723518850987433</v>
      </c>
      <c r="K221" s="11"/>
      <c r="M221" s="9"/>
      <c r="O221">
        <v>128</v>
      </c>
      <c r="R221" s="3">
        <v>14.64</v>
      </c>
      <c r="S221" s="9">
        <v>0.23345817727840198</v>
      </c>
      <c r="T221" s="11"/>
      <c r="U221" s="9"/>
      <c r="V221" s="11"/>
      <c r="W221" s="9"/>
      <c r="X221">
        <v>128</v>
      </c>
      <c r="AA221" s="3">
        <v>11.26</v>
      </c>
      <c r="AB221" s="9">
        <v>0.23018867924528302</v>
      </c>
    </row>
    <row r="222" spans="1:28" x14ac:dyDescent="0.25">
      <c r="A222" t="s">
        <v>47</v>
      </c>
      <c r="B222" t="s">
        <v>0</v>
      </c>
      <c r="C222">
        <v>64</v>
      </c>
      <c r="D222">
        <v>129</v>
      </c>
      <c r="E222">
        <v>1</v>
      </c>
      <c r="F222" t="s">
        <v>6</v>
      </c>
      <c r="G222">
        <v>772</v>
      </c>
      <c r="H222">
        <v>202</v>
      </c>
      <c r="I222" s="3">
        <v>14.98</v>
      </c>
      <c r="J222" s="9">
        <v>0.22972972972972974</v>
      </c>
      <c r="K222" s="11"/>
      <c r="M222" s="9"/>
      <c r="O222">
        <v>129</v>
      </c>
      <c r="P222">
        <v>774</v>
      </c>
      <c r="Q222">
        <v>218</v>
      </c>
      <c r="R222" s="3">
        <v>13.6</v>
      </c>
      <c r="S222" s="9">
        <v>0.25067385444743934</v>
      </c>
      <c r="T222" s="11"/>
      <c r="U222" s="9"/>
      <c r="V222" s="11"/>
      <c r="W222" s="9"/>
      <c r="X222">
        <v>129</v>
      </c>
      <c r="Y222">
        <v>898</v>
      </c>
      <c r="Z222">
        <v>238</v>
      </c>
      <c r="AA222" s="3">
        <v>11.02</v>
      </c>
      <c r="AB222" s="9">
        <v>0.23787528868360278</v>
      </c>
    </row>
    <row r="223" spans="1:28" x14ac:dyDescent="0.25">
      <c r="A223" t="s">
        <v>47</v>
      </c>
      <c r="B223" t="s">
        <v>0</v>
      </c>
      <c r="C223">
        <v>64</v>
      </c>
      <c r="D223">
        <v>130</v>
      </c>
      <c r="E223">
        <v>25</v>
      </c>
      <c r="F223" t="s">
        <v>8</v>
      </c>
      <c r="I223" s="3">
        <v>13.88</v>
      </c>
      <c r="J223" s="9">
        <v>0.22972972972972974</v>
      </c>
      <c r="K223" s="11"/>
      <c r="M223" s="9"/>
      <c r="O223">
        <v>130</v>
      </c>
      <c r="R223" s="3">
        <v>13.64</v>
      </c>
      <c r="S223" s="9">
        <v>0.25067385444743934</v>
      </c>
      <c r="T223" s="11"/>
      <c r="U223" s="9"/>
      <c r="V223" s="11"/>
      <c r="W223" s="9"/>
      <c r="X223">
        <v>130</v>
      </c>
      <c r="AA223" s="3">
        <v>9.44</v>
      </c>
      <c r="AB223" s="9">
        <v>0.23787528868360278</v>
      </c>
    </row>
    <row r="224" spans="1:28" x14ac:dyDescent="0.25">
      <c r="A224" t="s">
        <v>47</v>
      </c>
      <c r="B224" t="s">
        <v>0</v>
      </c>
      <c r="C224">
        <v>64</v>
      </c>
      <c r="D224">
        <v>131</v>
      </c>
      <c r="E224">
        <v>11</v>
      </c>
      <c r="F224" t="s">
        <v>15</v>
      </c>
      <c r="I224" s="3">
        <v>16.66</v>
      </c>
      <c r="J224" s="9">
        <v>0.22972972972972974</v>
      </c>
      <c r="K224" s="11"/>
      <c r="M224" s="9"/>
      <c r="O224">
        <v>131</v>
      </c>
      <c r="R224" s="3">
        <v>15.04</v>
      </c>
      <c r="S224" s="9">
        <v>0.25067385444743934</v>
      </c>
      <c r="T224" s="11"/>
      <c r="U224" s="9"/>
      <c r="V224" s="11"/>
      <c r="W224" s="9"/>
      <c r="X224">
        <v>131</v>
      </c>
      <c r="AA224" s="3">
        <v>11.4</v>
      </c>
      <c r="AB224" s="9">
        <v>0.23787528868360278</v>
      </c>
    </row>
    <row r="225" spans="1:28" x14ac:dyDescent="0.25">
      <c r="A225" t="s">
        <v>47</v>
      </c>
      <c r="B225" t="s">
        <v>0</v>
      </c>
      <c r="C225">
        <v>64</v>
      </c>
      <c r="D225">
        <v>132</v>
      </c>
      <c r="E225">
        <v>4</v>
      </c>
      <c r="F225" t="s">
        <v>2</v>
      </c>
      <c r="I225" s="3">
        <v>14.9</v>
      </c>
      <c r="J225" s="9">
        <v>0.22972972972972974</v>
      </c>
      <c r="K225" s="11"/>
      <c r="M225" s="9"/>
      <c r="O225">
        <v>132</v>
      </c>
      <c r="R225" s="3">
        <v>11.56</v>
      </c>
      <c r="S225" s="9">
        <v>0.25067385444743934</v>
      </c>
      <c r="T225" s="11"/>
      <c r="U225" s="9"/>
      <c r="V225" s="11"/>
      <c r="W225" s="9"/>
      <c r="X225">
        <v>132</v>
      </c>
      <c r="AA225" s="3">
        <v>9.74</v>
      </c>
      <c r="AB225" s="9">
        <v>0.23787528868360278</v>
      </c>
    </row>
    <row r="226" spans="1:28" x14ac:dyDescent="0.25">
      <c r="A226" t="s">
        <v>47</v>
      </c>
      <c r="B226" t="s">
        <v>0</v>
      </c>
      <c r="C226">
        <v>64</v>
      </c>
      <c r="D226">
        <v>133</v>
      </c>
      <c r="E226">
        <v>20</v>
      </c>
      <c r="F226" t="s">
        <v>28</v>
      </c>
      <c r="G226">
        <v>844</v>
      </c>
      <c r="H226">
        <v>210</v>
      </c>
      <c r="I226" s="3">
        <v>14.9</v>
      </c>
      <c r="J226" s="9">
        <v>0.21921182266009853</v>
      </c>
      <c r="K226" s="11"/>
      <c r="M226" s="9"/>
      <c r="O226">
        <v>133</v>
      </c>
      <c r="P226">
        <v>881</v>
      </c>
      <c r="Q226">
        <v>252</v>
      </c>
      <c r="R226" s="3">
        <v>13.54</v>
      </c>
      <c r="S226" s="9">
        <v>0.25912838633686691</v>
      </c>
      <c r="T226" s="11"/>
      <c r="U226" s="9"/>
      <c r="V226" s="11"/>
      <c r="W226" s="9"/>
      <c r="X226">
        <v>133</v>
      </c>
      <c r="Y226">
        <v>601</v>
      </c>
      <c r="Z226">
        <v>171</v>
      </c>
      <c r="AA226" s="3">
        <v>9.56</v>
      </c>
      <c r="AB226" s="9">
        <v>0.24428822495606328</v>
      </c>
    </row>
    <row r="227" spans="1:28" x14ac:dyDescent="0.25">
      <c r="A227" t="s">
        <v>47</v>
      </c>
      <c r="B227" t="s">
        <v>0</v>
      </c>
      <c r="C227">
        <v>64</v>
      </c>
      <c r="D227">
        <v>134</v>
      </c>
      <c r="E227">
        <v>21</v>
      </c>
      <c r="F227" t="s">
        <v>22</v>
      </c>
      <c r="I227" s="3">
        <v>18.22</v>
      </c>
      <c r="J227" s="9">
        <v>0.21921182266009853</v>
      </c>
      <c r="K227" s="11"/>
      <c r="M227" s="9"/>
      <c r="O227">
        <v>134</v>
      </c>
      <c r="R227" s="3">
        <v>13.86</v>
      </c>
      <c r="S227" s="9">
        <v>0.25912838633686691</v>
      </c>
      <c r="T227" s="11"/>
      <c r="U227" s="9"/>
      <c r="V227" s="11"/>
      <c r="W227" s="9"/>
      <c r="X227">
        <v>134</v>
      </c>
      <c r="AA227" s="3">
        <v>12.16</v>
      </c>
      <c r="AB227" s="9">
        <v>0.24428822495606328</v>
      </c>
    </row>
    <row r="228" spans="1:28" x14ac:dyDescent="0.25">
      <c r="A228" t="s">
        <v>47</v>
      </c>
      <c r="B228" t="s">
        <v>0</v>
      </c>
      <c r="C228">
        <v>64</v>
      </c>
      <c r="D228">
        <v>135</v>
      </c>
      <c r="E228">
        <v>9</v>
      </c>
      <c r="F228" t="s">
        <v>19</v>
      </c>
      <c r="I228" s="3">
        <v>15.72</v>
      </c>
      <c r="J228" s="9">
        <v>0.21921182266009853</v>
      </c>
      <c r="K228" s="11"/>
      <c r="M228" s="9"/>
      <c r="O228">
        <v>135</v>
      </c>
      <c r="R228" s="3">
        <v>12.22</v>
      </c>
      <c r="S228" s="9">
        <v>0.25912838633686691</v>
      </c>
      <c r="T228" s="11"/>
      <c r="U228" s="9"/>
      <c r="V228" s="11"/>
      <c r="W228" s="9"/>
      <c r="X228">
        <v>135</v>
      </c>
      <c r="AA228" s="3">
        <v>9.36</v>
      </c>
      <c r="AB228" s="9">
        <v>0.24428822495606328</v>
      </c>
    </row>
    <row r="229" spans="1:28" x14ac:dyDescent="0.25">
      <c r="A229" t="s">
        <v>47</v>
      </c>
      <c r="B229" t="s">
        <v>0</v>
      </c>
      <c r="C229">
        <v>64</v>
      </c>
      <c r="D229">
        <v>136</v>
      </c>
      <c r="E229">
        <v>27</v>
      </c>
      <c r="F229" t="s">
        <v>14</v>
      </c>
      <c r="I229" s="3">
        <v>17.3</v>
      </c>
      <c r="J229" s="9">
        <v>0.21921182266009853</v>
      </c>
      <c r="K229" s="11"/>
      <c r="M229" s="9"/>
      <c r="O229">
        <v>136</v>
      </c>
      <c r="R229" s="3">
        <v>13.92</v>
      </c>
      <c r="S229" s="9">
        <v>0.25912838633686691</v>
      </c>
      <c r="T229" s="11"/>
      <c r="U229" s="9"/>
      <c r="V229" s="11"/>
      <c r="W229" s="9"/>
      <c r="X229">
        <v>136</v>
      </c>
      <c r="AA229" s="3">
        <v>11.2</v>
      </c>
      <c r="AB229" s="9">
        <v>0.24428822495606328</v>
      </c>
    </row>
    <row r="230" spans="1:28" x14ac:dyDescent="0.25">
      <c r="A230" t="s">
        <v>47</v>
      </c>
      <c r="B230" t="s">
        <v>0</v>
      </c>
      <c r="C230">
        <v>64</v>
      </c>
      <c r="D230">
        <v>137</v>
      </c>
      <c r="E230">
        <v>36</v>
      </c>
      <c r="F230" t="s">
        <v>27</v>
      </c>
      <c r="G230">
        <v>840</v>
      </c>
      <c r="H230">
        <v>222</v>
      </c>
      <c r="I230" s="3">
        <v>17.82</v>
      </c>
      <c r="J230" s="9">
        <v>0.23514851485148514</v>
      </c>
      <c r="K230" s="11"/>
      <c r="M230" s="9"/>
      <c r="O230">
        <v>137</v>
      </c>
      <c r="P230">
        <v>829</v>
      </c>
      <c r="Q230">
        <v>248</v>
      </c>
      <c r="R230" s="3">
        <v>13.52</v>
      </c>
      <c r="S230" s="9">
        <v>0.2710163111668758</v>
      </c>
      <c r="T230" s="11"/>
      <c r="U230" s="9"/>
      <c r="V230" s="11"/>
      <c r="W230" s="9"/>
      <c r="X230">
        <v>137</v>
      </c>
      <c r="Y230">
        <v>668</v>
      </c>
      <c r="Z230">
        <v>184</v>
      </c>
      <c r="AA230" s="3">
        <v>11.06</v>
      </c>
      <c r="AB230" s="9">
        <v>0.2389937106918239</v>
      </c>
    </row>
    <row r="231" spans="1:28" x14ac:dyDescent="0.25">
      <c r="A231" t="s">
        <v>47</v>
      </c>
      <c r="B231" t="s">
        <v>0</v>
      </c>
      <c r="C231">
        <v>64</v>
      </c>
      <c r="D231">
        <v>138</v>
      </c>
      <c r="E231">
        <v>19</v>
      </c>
      <c r="F231" t="s">
        <v>10</v>
      </c>
      <c r="I231" s="3">
        <v>17.899999999999999</v>
      </c>
      <c r="J231" s="9">
        <v>0.23514851485148514</v>
      </c>
      <c r="K231" s="11"/>
      <c r="M231" s="9"/>
      <c r="O231">
        <v>138</v>
      </c>
      <c r="R231" s="3">
        <v>14.3</v>
      </c>
      <c r="S231" s="9">
        <v>0.2710163111668758</v>
      </c>
      <c r="T231" s="11"/>
      <c r="U231" s="9"/>
      <c r="V231" s="11"/>
      <c r="W231" s="9"/>
      <c r="X231">
        <v>138</v>
      </c>
      <c r="AA231" s="3">
        <v>10.18</v>
      </c>
      <c r="AB231" s="9">
        <v>0.2389937106918239</v>
      </c>
    </row>
    <row r="232" spans="1:28" x14ac:dyDescent="0.25">
      <c r="A232" t="s">
        <v>47</v>
      </c>
      <c r="B232" t="s">
        <v>0</v>
      </c>
      <c r="C232">
        <v>64</v>
      </c>
      <c r="D232">
        <v>139</v>
      </c>
      <c r="E232">
        <v>12</v>
      </c>
      <c r="F232" t="s">
        <v>33</v>
      </c>
      <c r="I232" s="3">
        <v>17.48</v>
      </c>
      <c r="J232" s="9">
        <v>0.23514851485148514</v>
      </c>
      <c r="K232" s="11"/>
      <c r="M232" s="9"/>
      <c r="O232">
        <v>139</v>
      </c>
      <c r="R232" s="3">
        <v>13.54</v>
      </c>
      <c r="S232" s="9">
        <v>0.2710163111668758</v>
      </c>
      <c r="T232" s="11"/>
      <c r="U232" s="9"/>
      <c r="V232" s="11"/>
      <c r="W232" s="9"/>
      <c r="X232">
        <v>139</v>
      </c>
      <c r="AA232" s="3">
        <v>10.14</v>
      </c>
      <c r="AB232" s="9">
        <v>0.2389937106918239</v>
      </c>
    </row>
    <row r="233" spans="1:28" x14ac:dyDescent="0.25">
      <c r="A233" t="s">
        <v>47</v>
      </c>
      <c r="B233" t="s">
        <v>0</v>
      </c>
      <c r="C233">
        <v>64</v>
      </c>
      <c r="D233">
        <v>140</v>
      </c>
      <c r="E233">
        <v>28</v>
      </c>
      <c r="F233" t="s">
        <v>13</v>
      </c>
      <c r="I233" s="3">
        <v>17.7</v>
      </c>
      <c r="J233" s="9">
        <v>0.23514851485148514</v>
      </c>
      <c r="K233" s="11"/>
      <c r="M233" s="9"/>
      <c r="O233">
        <v>140</v>
      </c>
      <c r="R233" s="3">
        <v>13.3</v>
      </c>
      <c r="S233" s="9">
        <v>0.2710163111668758</v>
      </c>
      <c r="T233" s="11"/>
      <c r="U233" s="9"/>
      <c r="V233" s="11"/>
      <c r="W233" s="9"/>
      <c r="X233">
        <v>140</v>
      </c>
      <c r="AA233" s="3">
        <v>10.78</v>
      </c>
      <c r="AB233" s="9">
        <v>0.2389937106918239</v>
      </c>
    </row>
    <row r="234" spans="1:28" x14ac:dyDescent="0.25">
      <c r="A234" t="s">
        <v>47</v>
      </c>
      <c r="B234" t="s">
        <v>0</v>
      </c>
      <c r="C234">
        <v>64</v>
      </c>
      <c r="D234">
        <v>141</v>
      </c>
      <c r="E234">
        <v>16</v>
      </c>
      <c r="F234" t="s">
        <v>12</v>
      </c>
      <c r="G234">
        <v>547</v>
      </c>
      <c r="H234">
        <v>145</v>
      </c>
      <c r="I234" s="3">
        <v>14.46</v>
      </c>
      <c r="J234" s="9">
        <v>0.21941747572815534</v>
      </c>
      <c r="K234" s="11"/>
      <c r="M234" s="9"/>
      <c r="O234">
        <v>141</v>
      </c>
      <c r="P234">
        <v>699</v>
      </c>
      <c r="Q234">
        <v>198</v>
      </c>
      <c r="R234" s="3">
        <v>13.02</v>
      </c>
      <c r="S234" s="9">
        <v>0.24887556221889057</v>
      </c>
      <c r="T234" s="11"/>
      <c r="U234" s="9"/>
      <c r="V234" s="11"/>
      <c r="W234" s="9"/>
      <c r="X234">
        <v>141</v>
      </c>
      <c r="Y234">
        <v>709</v>
      </c>
      <c r="Z234">
        <v>192</v>
      </c>
      <c r="AA234" s="3">
        <v>8.68</v>
      </c>
      <c r="AB234" s="9">
        <v>0.2363367799113737</v>
      </c>
    </row>
    <row r="235" spans="1:28" x14ac:dyDescent="0.25">
      <c r="A235" t="s">
        <v>47</v>
      </c>
      <c r="B235" t="s">
        <v>0</v>
      </c>
      <c r="C235">
        <v>64</v>
      </c>
      <c r="D235">
        <v>142</v>
      </c>
      <c r="E235">
        <v>8</v>
      </c>
      <c r="F235" t="s">
        <v>31</v>
      </c>
      <c r="I235" s="3">
        <v>16.420000000000002</v>
      </c>
      <c r="J235" s="9">
        <v>0.21941747572815534</v>
      </c>
      <c r="K235" s="11"/>
      <c r="M235" s="9"/>
      <c r="O235">
        <v>142</v>
      </c>
      <c r="R235" s="3">
        <v>13.36</v>
      </c>
      <c r="S235" s="9">
        <v>0.24887556221889057</v>
      </c>
      <c r="T235" s="11"/>
      <c r="U235" s="9"/>
      <c r="V235" s="11"/>
      <c r="W235" s="9"/>
      <c r="X235">
        <v>142</v>
      </c>
      <c r="AA235" s="3">
        <v>9.56</v>
      </c>
      <c r="AB235" s="9">
        <v>0.2363367799113737</v>
      </c>
    </row>
    <row r="236" spans="1:28" x14ac:dyDescent="0.25">
      <c r="A236" t="s">
        <v>47</v>
      </c>
      <c r="B236" t="s">
        <v>0</v>
      </c>
      <c r="C236">
        <v>64</v>
      </c>
      <c r="D236">
        <v>143</v>
      </c>
      <c r="E236">
        <v>33</v>
      </c>
      <c r="F236" t="s">
        <v>23</v>
      </c>
      <c r="I236" s="3">
        <v>17.8</v>
      </c>
      <c r="J236" s="9">
        <v>0.21941747572815534</v>
      </c>
      <c r="K236" s="11"/>
      <c r="M236" s="9"/>
      <c r="O236">
        <v>143</v>
      </c>
      <c r="R236" s="3">
        <v>14.88</v>
      </c>
      <c r="S236" s="9">
        <v>0.24887556221889057</v>
      </c>
      <c r="T236" s="11"/>
      <c r="U236" s="9"/>
      <c r="V236" s="11"/>
      <c r="W236" s="9"/>
      <c r="X236">
        <v>143</v>
      </c>
      <c r="AA236" s="3">
        <v>10.1</v>
      </c>
      <c r="AB236" s="9">
        <v>0.2363367799113737</v>
      </c>
    </row>
    <row r="237" spans="1:28" x14ac:dyDescent="0.25">
      <c r="A237" t="s">
        <v>47</v>
      </c>
      <c r="B237" t="s">
        <v>0</v>
      </c>
      <c r="C237">
        <v>64</v>
      </c>
      <c r="D237">
        <v>144</v>
      </c>
      <c r="E237">
        <v>13</v>
      </c>
      <c r="F237" t="s">
        <v>24</v>
      </c>
      <c r="I237" s="3">
        <v>15.26</v>
      </c>
      <c r="J237" s="9">
        <v>0.21941747572815534</v>
      </c>
      <c r="K237" s="11"/>
      <c r="M237" s="9"/>
      <c r="O237">
        <v>144</v>
      </c>
      <c r="R237" s="3">
        <v>14.28</v>
      </c>
      <c r="S237" s="9">
        <v>0.24887556221889057</v>
      </c>
      <c r="T237" s="11"/>
      <c r="U237" s="9"/>
      <c r="V237" s="11"/>
      <c r="W237" s="9"/>
      <c r="X237">
        <v>144</v>
      </c>
      <c r="AA237" s="3">
        <v>9.74</v>
      </c>
      <c r="AB237" s="9">
        <v>0.2363367799113737</v>
      </c>
    </row>
    <row r="238" spans="1:28" x14ac:dyDescent="0.25">
      <c r="A238" t="s">
        <v>47</v>
      </c>
      <c r="B238" t="s">
        <v>0</v>
      </c>
      <c r="C238">
        <v>64</v>
      </c>
      <c r="D238">
        <v>145</v>
      </c>
      <c r="E238">
        <v>15</v>
      </c>
      <c r="F238" t="s">
        <v>20</v>
      </c>
      <c r="G238">
        <v>668</v>
      </c>
      <c r="H238">
        <v>174</v>
      </c>
      <c r="I238" s="3">
        <v>14.8</v>
      </c>
      <c r="J238" s="9">
        <v>0.22327044025157233</v>
      </c>
      <c r="K238" s="11"/>
      <c r="M238" s="9"/>
      <c r="O238">
        <v>145</v>
      </c>
      <c r="P238">
        <v>611</v>
      </c>
      <c r="Q238">
        <v>175</v>
      </c>
      <c r="R238" s="3">
        <v>14.08</v>
      </c>
      <c r="S238" s="9">
        <v>0.24697754749568221</v>
      </c>
      <c r="T238" s="11"/>
      <c r="U238" s="9"/>
      <c r="V238" s="11"/>
      <c r="W238" s="9"/>
      <c r="X238">
        <v>145</v>
      </c>
      <c r="Y238">
        <v>690</v>
      </c>
      <c r="Z238">
        <v>183</v>
      </c>
      <c r="AA238" s="3">
        <v>9.2799999999999994</v>
      </c>
      <c r="AB238" s="9">
        <v>0.22948328267477203</v>
      </c>
    </row>
    <row r="239" spans="1:28" x14ac:dyDescent="0.25">
      <c r="A239" t="s">
        <v>47</v>
      </c>
      <c r="B239" t="s">
        <v>0</v>
      </c>
      <c r="C239">
        <v>64</v>
      </c>
      <c r="D239">
        <v>146</v>
      </c>
      <c r="E239">
        <v>22</v>
      </c>
      <c r="F239" t="s">
        <v>7</v>
      </c>
      <c r="I239" s="3">
        <v>17.3</v>
      </c>
      <c r="J239" s="9">
        <v>0.22327044025157233</v>
      </c>
      <c r="K239" s="11"/>
      <c r="M239" s="9"/>
      <c r="O239">
        <v>146</v>
      </c>
      <c r="R239" s="3">
        <v>15.48</v>
      </c>
      <c r="S239" s="9">
        <v>0.24697754749568221</v>
      </c>
      <c r="T239" s="11"/>
      <c r="U239" s="9"/>
      <c r="V239" s="11"/>
      <c r="W239" s="9"/>
      <c r="X239">
        <v>146</v>
      </c>
      <c r="AA239" s="3">
        <v>10.64</v>
      </c>
      <c r="AB239" s="9">
        <v>0.22948328267477203</v>
      </c>
    </row>
    <row r="240" spans="1:28" x14ac:dyDescent="0.25">
      <c r="A240" t="s">
        <v>47</v>
      </c>
      <c r="B240" t="s">
        <v>0</v>
      </c>
      <c r="C240">
        <v>64</v>
      </c>
      <c r="D240">
        <v>147</v>
      </c>
      <c r="E240">
        <v>17</v>
      </c>
      <c r="F240" t="s">
        <v>17</v>
      </c>
      <c r="I240" s="3">
        <v>12.7</v>
      </c>
      <c r="J240" s="9">
        <v>0.22327044025157233</v>
      </c>
      <c r="K240" s="11"/>
      <c r="M240" s="9"/>
      <c r="O240">
        <v>147</v>
      </c>
      <c r="R240" s="3">
        <v>14.16</v>
      </c>
      <c r="S240" s="9">
        <v>0.24697754749568221</v>
      </c>
      <c r="T240" s="11"/>
      <c r="U240" s="9"/>
      <c r="V240" s="11"/>
      <c r="W240" s="9"/>
      <c r="X240">
        <v>147</v>
      </c>
      <c r="AA240" s="3">
        <v>8.68</v>
      </c>
      <c r="AB240" s="9">
        <v>0.22948328267477203</v>
      </c>
    </row>
    <row r="241" spans="1:28" x14ac:dyDescent="0.25">
      <c r="A241" t="s">
        <v>47</v>
      </c>
      <c r="B241" t="s">
        <v>0</v>
      </c>
      <c r="C241">
        <v>64</v>
      </c>
      <c r="D241">
        <v>148</v>
      </c>
      <c r="E241">
        <v>2</v>
      </c>
      <c r="F241" t="s">
        <v>4</v>
      </c>
      <c r="I241" s="3">
        <v>19.600000000000001</v>
      </c>
      <c r="J241" s="9">
        <v>0.22327044025157233</v>
      </c>
      <c r="K241" s="11"/>
      <c r="M241" s="9"/>
      <c r="O241">
        <v>148</v>
      </c>
      <c r="R241" s="3">
        <v>16.46</v>
      </c>
      <c r="S241" s="9">
        <v>0.24697754749568221</v>
      </c>
      <c r="T241" s="11"/>
      <c r="U241" s="9"/>
      <c r="V241" s="11"/>
      <c r="W241" s="9"/>
      <c r="X241">
        <v>148</v>
      </c>
      <c r="AA241" s="3">
        <v>11.18</v>
      </c>
      <c r="AB241" s="9">
        <v>0.22948328267477203</v>
      </c>
    </row>
    <row r="242" spans="1:28" x14ac:dyDescent="0.25">
      <c r="A242" t="s">
        <v>47</v>
      </c>
      <c r="B242" t="s">
        <v>0</v>
      </c>
      <c r="C242">
        <v>64</v>
      </c>
      <c r="D242">
        <v>201</v>
      </c>
      <c r="E242">
        <v>10</v>
      </c>
      <c r="F242" t="s">
        <v>35</v>
      </c>
      <c r="G242">
        <v>651</v>
      </c>
      <c r="H242">
        <v>169</v>
      </c>
      <c r="I242" s="3">
        <v>13.82</v>
      </c>
      <c r="J242" s="9">
        <v>0.22132471728594508</v>
      </c>
      <c r="K242" s="11">
        <v>102</v>
      </c>
      <c r="L242" s="3">
        <f t="shared" ref="L242:L305" si="6">(I242+(((K242-32)/454)/J242))</f>
        <v>14.516646194411397</v>
      </c>
      <c r="M242" s="9"/>
      <c r="O242">
        <v>201</v>
      </c>
      <c r="R242" s="3"/>
      <c r="S242" s="9"/>
      <c r="T242" s="11"/>
      <c r="U242" s="9"/>
      <c r="V242" s="11"/>
      <c r="W242" s="9"/>
      <c r="X242">
        <v>201</v>
      </c>
      <c r="Y242">
        <v>847</v>
      </c>
      <c r="Z242">
        <v>222</v>
      </c>
      <c r="AA242" s="3">
        <v>11.54</v>
      </c>
      <c r="AB242" s="9">
        <v>0.23312883435582821</v>
      </c>
    </row>
    <row r="243" spans="1:28" x14ac:dyDescent="0.25">
      <c r="A243" t="s">
        <v>47</v>
      </c>
      <c r="B243" t="s">
        <v>0</v>
      </c>
      <c r="C243">
        <v>64</v>
      </c>
      <c r="D243">
        <v>202</v>
      </c>
      <c r="E243">
        <v>9</v>
      </c>
      <c r="F243" t="s">
        <v>19</v>
      </c>
      <c r="I243" s="3">
        <v>16.14</v>
      </c>
      <c r="J243" s="9">
        <v>0.22132471728594508</v>
      </c>
      <c r="K243" s="11">
        <v>120</v>
      </c>
      <c r="L243" s="3">
        <f t="shared" si="6"/>
        <v>17.015783787260041</v>
      </c>
      <c r="M243" s="9"/>
      <c r="O243">
        <v>202</v>
      </c>
      <c r="R243" s="3"/>
      <c r="S243" s="9"/>
      <c r="T243" s="11"/>
      <c r="U243" s="9"/>
      <c r="V243" s="11"/>
      <c r="W243" s="9"/>
      <c r="X243">
        <v>202</v>
      </c>
      <c r="AA243" s="3">
        <v>11.78</v>
      </c>
      <c r="AB243" s="9">
        <v>0.23312883435582821</v>
      </c>
    </row>
    <row r="244" spans="1:28" x14ac:dyDescent="0.25">
      <c r="A244" t="s">
        <v>47</v>
      </c>
      <c r="B244" t="s">
        <v>0</v>
      </c>
      <c r="C244">
        <v>64</v>
      </c>
      <c r="D244">
        <v>203</v>
      </c>
      <c r="E244">
        <v>12</v>
      </c>
      <c r="F244" t="s">
        <v>33</v>
      </c>
      <c r="I244" s="3">
        <v>16.68</v>
      </c>
      <c r="J244" s="9">
        <v>0.22132471728594508</v>
      </c>
      <c r="K244" s="11">
        <v>161</v>
      </c>
      <c r="L244" s="3">
        <f t="shared" si="6"/>
        <v>17.963819415415287</v>
      </c>
      <c r="M244" s="9"/>
      <c r="O244">
        <v>203</v>
      </c>
      <c r="R244" s="3"/>
      <c r="S244" s="9"/>
      <c r="T244" s="11"/>
      <c r="U244" s="9"/>
      <c r="V244" s="11"/>
      <c r="W244" s="9"/>
      <c r="X244">
        <v>203</v>
      </c>
      <c r="AA244" s="3">
        <v>11.32</v>
      </c>
      <c r="AB244" s="9">
        <v>0.23312883435582821</v>
      </c>
    </row>
    <row r="245" spans="1:28" x14ac:dyDescent="0.25">
      <c r="A245" t="s">
        <v>47</v>
      </c>
      <c r="B245" t="s">
        <v>0</v>
      </c>
      <c r="C245">
        <v>64</v>
      </c>
      <c r="D245">
        <v>204</v>
      </c>
      <c r="E245">
        <v>8</v>
      </c>
      <c r="F245" t="s">
        <v>31</v>
      </c>
      <c r="I245" s="3">
        <v>16.440000000000001</v>
      </c>
      <c r="J245" s="9">
        <v>0.22132471728594508</v>
      </c>
      <c r="K245" s="11">
        <v>144</v>
      </c>
      <c r="L245" s="3">
        <f t="shared" si="6"/>
        <v>17.554633911058236</v>
      </c>
      <c r="M245" s="9"/>
      <c r="O245">
        <v>204</v>
      </c>
      <c r="R245" s="3"/>
      <c r="S245" s="9"/>
      <c r="T245" s="11"/>
      <c r="U245" s="9"/>
      <c r="V245" s="11"/>
      <c r="W245" s="9"/>
      <c r="X245">
        <v>204</v>
      </c>
      <c r="AA245" s="3">
        <v>10.36</v>
      </c>
      <c r="AB245" s="9">
        <v>0.23312883435582821</v>
      </c>
    </row>
    <row r="246" spans="1:28" x14ac:dyDescent="0.25">
      <c r="A246" t="s">
        <v>47</v>
      </c>
      <c r="B246" t="s">
        <v>0</v>
      </c>
      <c r="C246">
        <v>64</v>
      </c>
      <c r="D246">
        <v>205</v>
      </c>
      <c r="E246">
        <v>11</v>
      </c>
      <c r="F246" t="s">
        <v>15</v>
      </c>
      <c r="G246">
        <v>692</v>
      </c>
      <c r="H246">
        <v>182</v>
      </c>
      <c r="I246" s="3">
        <v>15.26</v>
      </c>
      <c r="J246" s="9">
        <v>0.22727272727272727</v>
      </c>
      <c r="K246" s="11">
        <v>144</v>
      </c>
      <c r="L246" s="3">
        <f t="shared" si="6"/>
        <v>16.345462555066078</v>
      </c>
      <c r="M246" s="9"/>
      <c r="O246">
        <v>205</v>
      </c>
      <c r="R246" s="3"/>
      <c r="S246" s="9"/>
      <c r="T246" s="11"/>
      <c r="U246" s="9"/>
      <c r="V246" s="11"/>
      <c r="W246" s="9"/>
      <c r="X246">
        <v>205</v>
      </c>
      <c r="Y246">
        <v>762</v>
      </c>
      <c r="Z246">
        <v>213</v>
      </c>
      <c r="AA246" s="3">
        <v>11.98</v>
      </c>
      <c r="AB246" s="9">
        <v>0.24794520547945206</v>
      </c>
    </row>
    <row r="247" spans="1:28" x14ac:dyDescent="0.25">
      <c r="A247" t="s">
        <v>47</v>
      </c>
      <c r="B247" t="s">
        <v>0</v>
      </c>
      <c r="C247">
        <v>64</v>
      </c>
      <c r="D247">
        <v>206</v>
      </c>
      <c r="E247">
        <v>7</v>
      </c>
      <c r="F247" t="s">
        <v>16</v>
      </c>
      <c r="I247" s="3">
        <v>14.36</v>
      </c>
      <c r="J247" s="9">
        <v>0.22727272727272727</v>
      </c>
      <c r="K247" s="11">
        <v>157</v>
      </c>
      <c r="L247" s="3">
        <f t="shared" si="6"/>
        <v>15.571453744493391</v>
      </c>
      <c r="M247" s="9"/>
      <c r="O247">
        <v>206</v>
      </c>
      <c r="R247" s="3"/>
      <c r="S247" s="9"/>
      <c r="T247" s="11"/>
      <c r="U247" s="9"/>
      <c r="V247" s="11"/>
      <c r="W247" s="9"/>
      <c r="X247">
        <v>206</v>
      </c>
      <c r="AA247" s="3">
        <v>10.4</v>
      </c>
      <c r="AB247" s="9">
        <v>0.24794520547945206</v>
      </c>
    </row>
    <row r="248" spans="1:28" x14ac:dyDescent="0.25">
      <c r="A248" t="s">
        <v>47</v>
      </c>
      <c r="B248" t="s">
        <v>0</v>
      </c>
      <c r="C248">
        <v>64</v>
      </c>
      <c r="D248">
        <v>207</v>
      </c>
      <c r="E248">
        <v>12</v>
      </c>
      <c r="F248" t="s">
        <v>33</v>
      </c>
      <c r="I248" s="3">
        <v>16.7</v>
      </c>
      <c r="J248" s="9">
        <v>0.22727272727272727</v>
      </c>
      <c r="K248" s="11">
        <v>100</v>
      </c>
      <c r="L248" s="3">
        <f t="shared" si="6"/>
        <v>17.359030837004404</v>
      </c>
      <c r="M248" s="9"/>
      <c r="O248">
        <v>207</v>
      </c>
      <c r="R248" s="3"/>
      <c r="S248" s="9"/>
      <c r="T248" s="11"/>
      <c r="U248" s="9"/>
      <c r="V248" s="11"/>
      <c r="W248" s="9"/>
      <c r="X248">
        <v>207</v>
      </c>
      <c r="AA248" s="3">
        <v>10.38</v>
      </c>
      <c r="AB248" s="9">
        <v>0.24794520547945206</v>
      </c>
    </row>
    <row r="249" spans="1:28" x14ac:dyDescent="0.25">
      <c r="A249" t="s">
        <v>47</v>
      </c>
      <c r="B249" t="s">
        <v>0</v>
      </c>
      <c r="C249">
        <v>64</v>
      </c>
      <c r="D249">
        <v>208</v>
      </c>
      <c r="E249">
        <v>9</v>
      </c>
      <c r="F249" t="s">
        <v>19</v>
      </c>
      <c r="I249" s="3">
        <v>13.88</v>
      </c>
      <c r="J249" s="9">
        <v>0.22727272727272727</v>
      </c>
      <c r="K249" s="11">
        <v>119</v>
      </c>
      <c r="L249" s="3">
        <f t="shared" si="6"/>
        <v>14.723171806167402</v>
      </c>
      <c r="M249" s="9"/>
      <c r="O249">
        <v>208</v>
      </c>
      <c r="R249" s="3"/>
      <c r="S249" s="9"/>
      <c r="T249" s="11"/>
      <c r="U249" s="9"/>
      <c r="V249" s="11"/>
      <c r="W249" s="9"/>
      <c r="X249">
        <v>208</v>
      </c>
      <c r="AA249" s="3">
        <v>11.2</v>
      </c>
      <c r="AB249" s="9">
        <v>0.24794520547945206</v>
      </c>
    </row>
    <row r="250" spans="1:28" x14ac:dyDescent="0.25">
      <c r="A250" t="s">
        <v>47</v>
      </c>
      <c r="B250" t="s">
        <v>0</v>
      </c>
      <c r="C250">
        <v>64</v>
      </c>
      <c r="D250">
        <v>209</v>
      </c>
      <c r="E250">
        <v>11</v>
      </c>
      <c r="F250" t="s">
        <v>15</v>
      </c>
      <c r="G250">
        <v>705</v>
      </c>
      <c r="H250">
        <v>185</v>
      </c>
      <c r="I250" s="3">
        <v>16.66</v>
      </c>
      <c r="J250" s="9">
        <v>0.22734026745913818</v>
      </c>
      <c r="K250" s="11">
        <v>161</v>
      </c>
      <c r="L250" s="3">
        <f t="shared" si="6"/>
        <v>17.909848838213701</v>
      </c>
      <c r="M250" s="9"/>
      <c r="O250">
        <v>209</v>
      </c>
      <c r="R250" s="3"/>
      <c r="S250" s="9"/>
      <c r="T250" s="11"/>
      <c r="U250" s="9"/>
      <c r="V250" s="11"/>
      <c r="W250" s="9"/>
      <c r="X250">
        <v>209</v>
      </c>
      <c r="Y250">
        <v>581</v>
      </c>
      <c r="Z250">
        <v>164</v>
      </c>
      <c r="AA250" s="3">
        <v>12.56</v>
      </c>
      <c r="AB250" s="9">
        <v>0.24043715846994534</v>
      </c>
    </row>
    <row r="251" spans="1:28" x14ac:dyDescent="0.25">
      <c r="A251" t="s">
        <v>47</v>
      </c>
      <c r="B251" t="s">
        <v>0</v>
      </c>
      <c r="C251">
        <v>64</v>
      </c>
      <c r="D251">
        <v>210</v>
      </c>
      <c r="E251">
        <v>8</v>
      </c>
      <c r="F251" t="s">
        <v>31</v>
      </c>
      <c r="I251" s="3">
        <v>16.36</v>
      </c>
      <c r="J251" s="9">
        <v>0.22734026745913818</v>
      </c>
      <c r="K251" s="11">
        <v>138</v>
      </c>
      <c r="L251" s="3">
        <f t="shared" si="6"/>
        <v>17.387007572485675</v>
      </c>
      <c r="M251" s="9"/>
      <c r="O251">
        <v>210</v>
      </c>
      <c r="R251" s="3"/>
      <c r="S251" s="9"/>
      <c r="T251" s="11"/>
      <c r="U251" s="9"/>
      <c r="V251" s="11"/>
      <c r="W251" s="9"/>
      <c r="X251">
        <v>210</v>
      </c>
      <c r="AA251" s="3">
        <v>11.12</v>
      </c>
      <c r="AB251" s="9">
        <v>0.24043715846994534</v>
      </c>
    </row>
    <row r="252" spans="1:28" x14ac:dyDescent="0.25">
      <c r="A252" t="s">
        <v>47</v>
      </c>
      <c r="B252" t="s">
        <v>0</v>
      </c>
      <c r="C252">
        <v>64</v>
      </c>
      <c r="D252">
        <v>211</v>
      </c>
      <c r="E252">
        <v>7</v>
      </c>
      <c r="F252" t="s">
        <v>16</v>
      </c>
      <c r="I252" s="3">
        <v>16.420000000000002</v>
      </c>
      <c r="J252" s="9">
        <v>0.22734026745913818</v>
      </c>
      <c r="K252" s="11">
        <v>87</v>
      </c>
      <c r="L252" s="3">
        <f t="shared" si="6"/>
        <v>16.952881287610495</v>
      </c>
      <c r="M252" s="9"/>
      <c r="O252">
        <v>211</v>
      </c>
      <c r="R252" s="3"/>
      <c r="S252" s="9"/>
      <c r="T252" s="11"/>
      <c r="U252" s="9"/>
      <c r="V252" s="11"/>
      <c r="W252" s="9"/>
      <c r="X252">
        <v>211</v>
      </c>
      <c r="AA252" s="3">
        <v>11.1</v>
      </c>
      <c r="AB252" s="9">
        <v>0.24043715846994534</v>
      </c>
    </row>
    <row r="253" spans="1:28" x14ac:dyDescent="0.25">
      <c r="A253" t="s">
        <v>47</v>
      </c>
      <c r="B253" t="s">
        <v>0</v>
      </c>
      <c r="C253">
        <v>64</v>
      </c>
      <c r="D253">
        <v>212</v>
      </c>
      <c r="E253">
        <v>10</v>
      </c>
      <c r="F253" t="s">
        <v>35</v>
      </c>
      <c r="I253" s="3">
        <v>16.04</v>
      </c>
      <c r="J253" s="9">
        <v>0.22734026745913818</v>
      </c>
      <c r="K253" s="11">
        <v>143</v>
      </c>
      <c r="L253" s="3">
        <f t="shared" si="6"/>
        <v>17.115451325904811</v>
      </c>
      <c r="M253" s="9"/>
      <c r="O253">
        <v>212</v>
      </c>
      <c r="R253" s="3"/>
      <c r="S253" s="9"/>
      <c r="T253" s="11"/>
      <c r="U253" s="9"/>
      <c r="V253" s="11"/>
      <c r="W253" s="9"/>
      <c r="X253">
        <v>212</v>
      </c>
      <c r="AA253" s="3">
        <v>10.28</v>
      </c>
      <c r="AB253" s="9">
        <v>0.24043715846994534</v>
      </c>
    </row>
    <row r="254" spans="1:28" x14ac:dyDescent="0.25">
      <c r="A254" t="s">
        <v>47</v>
      </c>
      <c r="B254" t="s">
        <v>0</v>
      </c>
      <c r="C254">
        <v>64</v>
      </c>
      <c r="D254">
        <v>213</v>
      </c>
      <c r="E254">
        <v>6</v>
      </c>
      <c r="F254" t="s">
        <v>1</v>
      </c>
      <c r="G254">
        <v>520</v>
      </c>
      <c r="H254">
        <v>144</v>
      </c>
      <c r="I254" s="3">
        <v>15.28</v>
      </c>
      <c r="J254" s="9">
        <v>0.22950819672131148</v>
      </c>
      <c r="K254" s="11">
        <v>132</v>
      </c>
      <c r="L254" s="3">
        <f t="shared" si="6"/>
        <v>16.239723096286973</v>
      </c>
      <c r="M254" s="9"/>
      <c r="O254">
        <v>213</v>
      </c>
      <c r="P254">
        <v>571</v>
      </c>
      <c r="Q254">
        <v>162</v>
      </c>
      <c r="R254" s="3">
        <v>13.98</v>
      </c>
      <c r="S254" s="9">
        <v>0.24118738404452691</v>
      </c>
      <c r="T254" s="11">
        <v>124</v>
      </c>
      <c r="U254" s="3">
        <f t="shared" ref="U254:U289" si="7">(R254+(((T254-32)/454)/S254))</f>
        <v>14.820189766180956</v>
      </c>
      <c r="V254" s="11"/>
      <c r="W254" s="9"/>
      <c r="X254">
        <v>213</v>
      </c>
      <c r="Y254">
        <v>800</v>
      </c>
      <c r="Z254">
        <v>211</v>
      </c>
      <c r="AA254" s="3">
        <v>10.52</v>
      </c>
      <c r="AB254" s="9">
        <v>0.23307291666666666</v>
      </c>
    </row>
    <row r="255" spans="1:28" x14ac:dyDescent="0.25">
      <c r="A255" t="s">
        <v>47</v>
      </c>
      <c r="B255" t="s">
        <v>0</v>
      </c>
      <c r="C255">
        <v>64</v>
      </c>
      <c r="D255">
        <v>214</v>
      </c>
      <c r="E255">
        <v>18</v>
      </c>
      <c r="F255" t="s">
        <v>18</v>
      </c>
      <c r="I255" s="3">
        <v>18.52</v>
      </c>
      <c r="J255" s="9">
        <v>0.22950819672131148</v>
      </c>
      <c r="K255" s="11">
        <v>103</v>
      </c>
      <c r="L255" s="3">
        <f t="shared" si="6"/>
        <v>19.201403398363752</v>
      </c>
      <c r="M255" s="9"/>
      <c r="O255">
        <v>214</v>
      </c>
      <c r="R255" s="3">
        <v>14.74</v>
      </c>
      <c r="S255" s="9">
        <v>0.24118738404452691</v>
      </c>
      <c r="T255" s="11">
        <v>123</v>
      </c>
      <c r="U255" s="3">
        <f t="shared" si="7"/>
        <v>15.571057268722466</v>
      </c>
      <c r="V255" s="11"/>
      <c r="W255" s="9"/>
      <c r="X255">
        <v>214</v>
      </c>
      <c r="AA255" s="3">
        <v>12.62</v>
      </c>
      <c r="AB255" s="9">
        <v>0.23307291666666666</v>
      </c>
    </row>
    <row r="256" spans="1:28" x14ac:dyDescent="0.25">
      <c r="A256" t="s">
        <v>47</v>
      </c>
      <c r="B256" t="s">
        <v>0</v>
      </c>
      <c r="C256">
        <v>64</v>
      </c>
      <c r="D256">
        <v>215</v>
      </c>
      <c r="E256">
        <v>27</v>
      </c>
      <c r="F256" t="s">
        <v>14</v>
      </c>
      <c r="I256" s="3">
        <v>17.5</v>
      </c>
      <c r="J256" s="9">
        <v>0.22950819672131148</v>
      </c>
      <c r="K256" s="11">
        <v>112</v>
      </c>
      <c r="L256" s="3">
        <f t="shared" si="6"/>
        <v>18.26777847702958</v>
      </c>
      <c r="M256" s="9"/>
      <c r="O256">
        <v>215</v>
      </c>
      <c r="R256" s="3">
        <v>14.6</v>
      </c>
      <c r="S256" s="9">
        <v>0.24118738404452691</v>
      </c>
      <c r="T256" s="11">
        <v>133</v>
      </c>
      <c r="U256" s="3">
        <f t="shared" si="7"/>
        <v>15.522382243307353</v>
      </c>
      <c r="V256" s="11"/>
      <c r="W256" s="9"/>
      <c r="X256">
        <v>215</v>
      </c>
      <c r="AA256" s="3">
        <v>11.62</v>
      </c>
      <c r="AB256" s="9">
        <v>0.23307291666666666</v>
      </c>
    </row>
    <row r="257" spans="1:30" x14ac:dyDescent="0.25">
      <c r="A257" t="s">
        <v>47</v>
      </c>
      <c r="B257" t="s">
        <v>0</v>
      </c>
      <c r="C257">
        <v>64</v>
      </c>
      <c r="D257">
        <v>216</v>
      </c>
      <c r="E257">
        <v>16</v>
      </c>
      <c r="F257" t="s">
        <v>12</v>
      </c>
      <c r="I257" s="3">
        <v>14.84</v>
      </c>
      <c r="J257" s="9">
        <v>0.22950819672131148</v>
      </c>
      <c r="K257" s="11">
        <v>76</v>
      </c>
      <c r="L257" s="3">
        <f t="shared" si="6"/>
        <v>15.262278162366268</v>
      </c>
      <c r="M257" s="9"/>
      <c r="O257">
        <v>216</v>
      </c>
      <c r="R257" s="3">
        <v>14.34</v>
      </c>
      <c r="S257" s="9">
        <v>0.24118738404452691</v>
      </c>
      <c r="T257" s="11">
        <v>99</v>
      </c>
      <c r="U257" s="3">
        <f t="shared" si="7"/>
        <v>14.951877329718739</v>
      </c>
      <c r="V257" s="11"/>
      <c r="W257" s="9"/>
      <c r="X257">
        <v>216</v>
      </c>
      <c r="AA257" s="3">
        <v>9.76</v>
      </c>
      <c r="AB257" s="9">
        <v>0.23307291666666666</v>
      </c>
    </row>
    <row r="258" spans="1:30" x14ac:dyDescent="0.25">
      <c r="A258" t="s">
        <v>47</v>
      </c>
      <c r="B258" t="s">
        <v>0</v>
      </c>
      <c r="C258">
        <v>64</v>
      </c>
      <c r="D258">
        <v>217</v>
      </c>
      <c r="E258">
        <v>22</v>
      </c>
      <c r="F258" t="s">
        <v>7</v>
      </c>
      <c r="G258">
        <v>750</v>
      </c>
      <c r="H258">
        <v>194</v>
      </c>
      <c r="I258" s="3">
        <v>18.86</v>
      </c>
      <c r="J258" s="9">
        <v>0.22562674094707522</v>
      </c>
      <c r="K258" s="11">
        <v>159</v>
      </c>
      <c r="L258" s="3">
        <f t="shared" si="6"/>
        <v>20.099816174471094</v>
      </c>
      <c r="M258" s="9"/>
      <c r="O258">
        <v>217</v>
      </c>
      <c r="P258">
        <v>831</v>
      </c>
      <c r="Q258">
        <v>226</v>
      </c>
      <c r="R258" s="3">
        <v>15.62</v>
      </c>
      <c r="S258" s="9">
        <v>0.2428035043804756</v>
      </c>
      <c r="T258" s="11">
        <v>151</v>
      </c>
      <c r="U258" s="3">
        <f t="shared" si="7"/>
        <v>16.699533584631453</v>
      </c>
      <c r="V258" s="11"/>
      <c r="W258" s="9"/>
      <c r="X258">
        <v>217</v>
      </c>
      <c r="Y258">
        <v>643</v>
      </c>
      <c r="Z258">
        <v>175</v>
      </c>
      <c r="AA258" s="3">
        <v>12.42</v>
      </c>
      <c r="AB258" s="9">
        <v>0.23404255319148937</v>
      </c>
    </row>
    <row r="259" spans="1:30" x14ac:dyDescent="0.25">
      <c r="A259" t="s">
        <v>47</v>
      </c>
      <c r="B259" t="s">
        <v>0</v>
      </c>
      <c r="C259">
        <v>64</v>
      </c>
      <c r="D259">
        <v>218</v>
      </c>
      <c r="E259">
        <v>1</v>
      </c>
      <c r="F259" t="s">
        <v>6</v>
      </c>
      <c r="I259" s="3">
        <v>17.5</v>
      </c>
      <c r="J259" s="9">
        <v>0.22562674094707522</v>
      </c>
      <c r="K259" s="11">
        <v>129</v>
      </c>
      <c r="L259" s="3">
        <f t="shared" si="6"/>
        <v>18.446946211997606</v>
      </c>
      <c r="M259" s="9"/>
      <c r="O259">
        <v>218</v>
      </c>
      <c r="R259" s="3">
        <v>15.66</v>
      </c>
      <c r="S259" s="9">
        <v>0.2428035043804756</v>
      </c>
      <c r="T259" s="11">
        <v>105</v>
      </c>
      <c r="U259" s="3">
        <f t="shared" si="7"/>
        <v>16.322234888051227</v>
      </c>
      <c r="V259" s="11"/>
      <c r="W259" s="9"/>
      <c r="X259">
        <v>218</v>
      </c>
      <c r="AA259" s="3">
        <v>12.78</v>
      </c>
      <c r="AB259" s="9">
        <v>0.23404255319148937</v>
      </c>
    </row>
    <row r="260" spans="1:30" x14ac:dyDescent="0.25">
      <c r="A260" t="s">
        <v>47</v>
      </c>
      <c r="B260" t="s">
        <v>0</v>
      </c>
      <c r="C260">
        <v>64</v>
      </c>
      <c r="D260">
        <v>219</v>
      </c>
      <c r="E260">
        <v>14</v>
      </c>
      <c r="F260" t="s">
        <v>25</v>
      </c>
      <c r="I260" s="3">
        <v>16.84</v>
      </c>
      <c r="J260" s="9">
        <v>0.22562674094707522</v>
      </c>
      <c r="K260" s="11">
        <v>124</v>
      </c>
      <c r="L260" s="3">
        <f t="shared" si="6"/>
        <v>17.738134551585357</v>
      </c>
      <c r="M260" s="9"/>
      <c r="O260">
        <v>219</v>
      </c>
      <c r="R260" s="3">
        <v>11.74</v>
      </c>
      <c r="S260" s="9">
        <v>0.2428035043804756</v>
      </c>
      <c r="T260" s="11">
        <v>185</v>
      </c>
      <c r="U260" s="3">
        <f t="shared" si="7"/>
        <v>13.127971751669014</v>
      </c>
      <c r="V260" s="11"/>
      <c r="W260" s="9"/>
      <c r="X260">
        <v>219</v>
      </c>
      <c r="AA260" s="3">
        <v>11.16</v>
      </c>
      <c r="AB260" s="9">
        <v>0.23404255319148937</v>
      </c>
    </row>
    <row r="261" spans="1:30" x14ac:dyDescent="0.25">
      <c r="A261" t="s">
        <v>47</v>
      </c>
      <c r="B261" t="s">
        <v>0</v>
      </c>
      <c r="C261">
        <v>64</v>
      </c>
      <c r="D261">
        <v>220</v>
      </c>
      <c r="E261">
        <v>21</v>
      </c>
      <c r="F261" t="s">
        <v>22</v>
      </c>
      <c r="I261" s="3">
        <v>19.079999999999998</v>
      </c>
      <c r="J261" s="9">
        <v>0.22562674094707522</v>
      </c>
      <c r="K261" s="11">
        <v>112</v>
      </c>
      <c r="L261" s="3">
        <f t="shared" si="6"/>
        <v>19.860986566595962</v>
      </c>
      <c r="M261" s="9"/>
      <c r="O261">
        <v>220</v>
      </c>
      <c r="R261" s="3">
        <v>16.16</v>
      </c>
      <c r="S261" s="9">
        <v>0.2428035043804756</v>
      </c>
      <c r="T261" s="11">
        <v>89</v>
      </c>
      <c r="U261" s="3">
        <f t="shared" si="7"/>
        <v>16.677087515327671</v>
      </c>
      <c r="V261" s="11"/>
      <c r="W261" s="9"/>
      <c r="X261">
        <v>220</v>
      </c>
      <c r="AA261" s="3">
        <v>14.34</v>
      </c>
      <c r="AB261" s="9">
        <v>0.23404255319148937</v>
      </c>
    </row>
    <row r="262" spans="1:30" x14ac:dyDescent="0.25">
      <c r="A262" t="s">
        <v>47</v>
      </c>
      <c r="B262" t="s">
        <v>0</v>
      </c>
      <c r="C262">
        <v>64</v>
      </c>
      <c r="D262">
        <v>221</v>
      </c>
      <c r="E262">
        <v>11</v>
      </c>
      <c r="F262" t="s">
        <v>15</v>
      </c>
      <c r="G262">
        <v>772</v>
      </c>
      <c r="H262">
        <v>186</v>
      </c>
      <c r="I262" s="3">
        <v>17</v>
      </c>
      <c r="J262" s="9">
        <v>0.20810810810810812</v>
      </c>
      <c r="K262" s="11">
        <v>122</v>
      </c>
      <c r="L262" s="3">
        <f t="shared" si="6"/>
        <v>17.952571657417472</v>
      </c>
      <c r="M262" s="9"/>
      <c r="O262">
        <v>221</v>
      </c>
      <c r="P262">
        <v>753</v>
      </c>
      <c r="Q262">
        <v>206</v>
      </c>
      <c r="R262" s="3">
        <v>16.32</v>
      </c>
      <c r="S262" s="9">
        <v>0.24133148404993066</v>
      </c>
      <c r="T262" s="11">
        <v>80</v>
      </c>
      <c r="U262" s="3">
        <f t="shared" si="7"/>
        <v>16.758098131550966</v>
      </c>
      <c r="V262" s="11"/>
      <c r="W262" s="9"/>
      <c r="X262">
        <v>221</v>
      </c>
      <c r="Y262">
        <v>446</v>
      </c>
      <c r="Z262">
        <v>129</v>
      </c>
      <c r="AA262" s="3">
        <v>10.5</v>
      </c>
      <c r="AB262" s="9">
        <v>0.23429951690821257</v>
      </c>
      <c r="AC262">
        <v>90</v>
      </c>
      <c r="AD262" s="3">
        <f>(AA262+(((AC262-32)/454)/AB262))</f>
        <v>11.04525636949907</v>
      </c>
    </row>
    <row r="263" spans="1:30" x14ac:dyDescent="0.25">
      <c r="A263" t="s">
        <v>47</v>
      </c>
      <c r="B263" t="s">
        <v>0</v>
      </c>
      <c r="C263">
        <v>64</v>
      </c>
      <c r="D263">
        <v>222</v>
      </c>
      <c r="E263">
        <v>34</v>
      </c>
      <c r="F263" t="s">
        <v>34</v>
      </c>
      <c r="I263" s="3">
        <v>18.440000000000001</v>
      </c>
      <c r="J263" s="9">
        <v>0.20810810810810812</v>
      </c>
      <c r="K263" s="11">
        <v>122</v>
      </c>
      <c r="L263" s="3">
        <f t="shared" si="6"/>
        <v>19.392571657417474</v>
      </c>
      <c r="M263" s="9"/>
      <c r="O263">
        <v>222</v>
      </c>
      <c r="R263" s="3">
        <v>15.06</v>
      </c>
      <c r="S263" s="9">
        <v>0.24133148404993066</v>
      </c>
      <c r="T263" s="11">
        <v>166</v>
      </c>
      <c r="U263" s="3">
        <f t="shared" si="7"/>
        <v>16.283023950579775</v>
      </c>
      <c r="V263" s="11"/>
      <c r="W263" s="9"/>
      <c r="X263">
        <v>222</v>
      </c>
      <c r="AA263" s="3">
        <v>12.22</v>
      </c>
      <c r="AB263" s="9">
        <v>0.23429951690821257</v>
      </c>
    </row>
    <row r="264" spans="1:30" x14ac:dyDescent="0.25">
      <c r="A264" t="s">
        <v>47</v>
      </c>
      <c r="B264" t="s">
        <v>0</v>
      </c>
      <c r="C264">
        <v>64</v>
      </c>
      <c r="D264">
        <v>223</v>
      </c>
      <c r="E264">
        <v>24</v>
      </c>
      <c r="F264" t="s">
        <v>32</v>
      </c>
      <c r="I264" s="3">
        <v>18.260000000000002</v>
      </c>
      <c r="J264" s="9">
        <v>0.20810810810810812</v>
      </c>
      <c r="K264" s="11">
        <v>151</v>
      </c>
      <c r="L264" s="3">
        <f t="shared" si="6"/>
        <v>19.519511413696438</v>
      </c>
      <c r="M264" s="9"/>
      <c r="O264">
        <v>223</v>
      </c>
      <c r="R264" s="3">
        <v>15.14</v>
      </c>
      <c r="S264" s="9">
        <v>0.24133148404993066</v>
      </c>
      <c r="T264" s="11">
        <v>115</v>
      </c>
      <c r="U264" s="3">
        <f t="shared" si="7"/>
        <v>15.897544685806876</v>
      </c>
      <c r="V264" s="11"/>
      <c r="W264" s="9"/>
      <c r="X264">
        <v>223</v>
      </c>
      <c r="AA264" s="3">
        <v>12.86</v>
      </c>
      <c r="AB264" s="9">
        <v>0.23429951690821257</v>
      </c>
    </row>
    <row r="265" spans="1:30" x14ac:dyDescent="0.25">
      <c r="A265" t="s">
        <v>47</v>
      </c>
      <c r="B265" t="s">
        <v>0</v>
      </c>
      <c r="C265">
        <v>64</v>
      </c>
      <c r="D265">
        <v>224</v>
      </c>
      <c r="E265">
        <v>25</v>
      </c>
      <c r="F265" t="s">
        <v>8</v>
      </c>
      <c r="I265" s="3">
        <v>15.32</v>
      </c>
      <c r="J265" s="9">
        <v>0.20810810810810812</v>
      </c>
      <c r="K265" s="11">
        <v>89</v>
      </c>
      <c r="L265" s="3">
        <f t="shared" si="6"/>
        <v>15.923295383031066</v>
      </c>
      <c r="M265" s="9"/>
      <c r="O265">
        <v>224</v>
      </c>
      <c r="R265" s="3">
        <v>12.9</v>
      </c>
      <c r="S265" s="9">
        <v>0.24133148404993066</v>
      </c>
      <c r="T265" s="11">
        <v>159</v>
      </c>
      <c r="U265" s="3">
        <f t="shared" si="7"/>
        <v>14.059134639728594</v>
      </c>
      <c r="V265" s="11"/>
      <c r="W265" s="9"/>
      <c r="X265">
        <v>224</v>
      </c>
      <c r="AA265" s="3">
        <v>10</v>
      </c>
      <c r="AB265" s="9">
        <v>0.23429951690821257</v>
      </c>
    </row>
    <row r="266" spans="1:30" x14ac:dyDescent="0.25">
      <c r="A266" t="s">
        <v>47</v>
      </c>
      <c r="B266" t="s">
        <v>0</v>
      </c>
      <c r="C266">
        <v>64</v>
      </c>
      <c r="D266">
        <v>225</v>
      </c>
      <c r="E266">
        <v>2</v>
      </c>
      <c r="F266" t="s">
        <v>4</v>
      </c>
      <c r="G266">
        <v>597</v>
      </c>
      <c r="H266">
        <v>152</v>
      </c>
      <c r="I266" s="3">
        <v>19.38</v>
      </c>
      <c r="J266" s="9">
        <v>0.21238938053097345</v>
      </c>
      <c r="K266" s="11">
        <v>122</v>
      </c>
      <c r="L266" s="3">
        <f t="shared" si="6"/>
        <v>20.313370044052864</v>
      </c>
      <c r="M266" s="9"/>
      <c r="O266">
        <v>225</v>
      </c>
      <c r="P266">
        <v>563</v>
      </c>
      <c r="Q266">
        <v>163</v>
      </c>
      <c r="R266" s="3">
        <v>14.12</v>
      </c>
      <c r="S266" s="9">
        <v>0.24670433145009416</v>
      </c>
      <c r="T266" s="11">
        <v>145</v>
      </c>
      <c r="U266" s="3">
        <f t="shared" si="7"/>
        <v>15.128894643037293</v>
      </c>
      <c r="V266" s="11"/>
      <c r="W266" s="9"/>
      <c r="X266">
        <v>225</v>
      </c>
      <c r="Y266">
        <v>700</v>
      </c>
      <c r="Z266">
        <v>195</v>
      </c>
      <c r="AA266" s="3">
        <v>12.92</v>
      </c>
      <c r="AB266" s="9">
        <v>0.2440119760479042</v>
      </c>
    </row>
    <row r="267" spans="1:30" x14ac:dyDescent="0.25">
      <c r="A267" t="s">
        <v>47</v>
      </c>
      <c r="B267" t="s">
        <v>0</v>
      </c>
      <c r="C267">
        <v>64</v>
      </c>
      <c r="D267">
        <v>226</v>
      </c>
      <c r="E267">
        <v>20</v>
      </c>
      <c r="F267" t="s">
        <v>28</v>
      </c>
      <c r="I267" s="3">
        <v>14.3</v>
      </c>
      <c r="J267" s="9">
        <v>0.21238938053097345</v>
      </c>
      <c r="K267" s="11">
        <v>132</v>
      </c>
      <c r="L267" s="3">
        <f t="shared" si="6"/>
        <v>15.337077826725405</v>
      </c>
      <c r="M267" s="9"/>
      <c r="O267">
        <v>226</v>
      </c>
      <c r="R267" s="3">
        <v>12.2</v>
      </c>
      <c r="S267" s="9">
        <v>0.24670433145009416</v>
      </c>
      <c r="T267" s="11">
        <v>117</v>
      </c>
      <c r="U267" s="3">
        <f t="shared" si="7"/>
        <v>12.958903050072299</v>
      </c>
      <c r="V267" s="11"/>
      <c r="W267" s="9"/>
      <c r="X267">
        <v>226</v>
      </c>
      <c r="AA267" s="3">
        <v>9.5</v>
      </c>
      <c r="AB267" s="9">
        <v>0.2440119760479042</v>
      </c>
    </row>
    <row r="268" spans="1:30" x14ac:dyDescent="0.25">
      <c r="A268" t="s">
        <v>47</v>
      </c>
      <c r="B268" t="s">
        <v>0</v>
      </c>
      <c r="C268">
        <v>64</v>
      </c>
      <c r="D268">
        <v>227</v>
      </c>
      <c r="E268">
        <v>13</v>
      </c>
      <c r="F268" t="s">
        <v>24</v>
      </c>
      <c r="I268" s="3">
        <v>17.079999999999998</v>
      </c>
      <c r="J268" s="9">
        <v>0.21238938053097345</v>
      </c>
      <c r="K268" s="11">
        <v>125</v>
      </c>
      <c r="L268" s="3">
        <f t="shared" si="6"/>
        <v>18.044482378854624</v>
      </c>
      <c r="M268" s="9"/>
      <c r="O268">
        <v>227</v>
      </c>
      <c r="R268" s="3">
        <v>13.88</v>
      </c>
      <c r="S268" s="9">
        <v>0.24670433145009416</v>
      </c>
      <c r="T268" s="11">
        <v>125</v>
      </c>
      <c r="U268" s="3">
        <f t="shared" si="7"/>
        <v>14.710329219490871</v>
      </c>
      <c r="V268" s="11"/>
      <c r="W268" s="9"/>
      <c r="X268">
        <v>227</v>
      </c>
      <c r="AA268" s="3">
        <v>10.24</v>
      </c>
      <c r="AB268" s="9">
        <v>0.2440119760479042</v>
      </c>
    </row>
    <row r="269" spans="1:30" x14ac:dyDescent="0.25">
      <c r="A269" t="s">
        <v>47</v>
      </c>
      <c r="B269" t="s">
        <v>0</v>
      </c>
      <c r="C269">
        <v>64</v>
      </c>
      <c r="D269">
        <v>228</v>
      </c>
      <c r="E269">
        <v>32</v>
      </c>
      <c r="F269" t="s">
        <v>30</v>
      </c>
      <c r="I269" s="3">
        <v>13.58</v>
      </c>
      <c r="J269" s="9">
        <v>0.21238938053097345</v>
      </c>
      <c r="K269" s="11">
        <v>117</v>
      </c>
      <c r="L269" s="3">
        <f t="shared" si="6"/>
        <v>14.461516152716593</v>
      </c>
      <c r="M269" s="9"/>
      <c r="O269">
        <v>228</v>
      </c>
      <c r="R269" s="3">
        <v>11.44</v>
      </c>
      <c r="S269" s="9">
        <v>0.24670433145009416</v>
      </c>
      <c r="T269" s="11">
        <v>162</v>
      </c>
      <c r="U269" s="3">
        <f t="shared" si="7"/>
        <v>12.600675253051753</v>
      </c>
      <c r="V269" s="11"/>
      <c r="W269" s="9"/>
      <c r="X269">
        <v>228</v>
      </c>
      <c r="AA269" s="3">
        <v>8.8800000000000008</v>
      </c>
      <c r="AB269" s="9">
        <v>0.2440119760479042</v>
      </c>
    </row>
    <row r="270" spans="1:30" x14ac:dyDescent="0.25">
      <c r="A270" t="s">
        <v>47</v>
      </c>
      <c r="B270" t="s">
        <v>0</v>
      </c>
      <c r="C270">
        <v>64</v>
      </c>
      <c r="D270">
        <v>229</v>
      </c>
      <c r="E270">
        <v>19</v>
      </c>
      <c r="F270" t="s">
        <v>10</v>
      </c>
      <c r="G270">
        <v>704</v>
      </c>
      <c r="H270">
        <v>166</v>
      </c>
      <c r="I270" s="3">
        <v>19.059999999999999</v>
      </c>
      <c r="J270" s="9">
        <v>0.19940476190476192</v>
      </c>
      <c r="K270" s="11">
        <v>107</v>
      </c>
      <c r="L270" s="3">
        <f t="shared" si="6"/>
        <v>19.888456834768885</v>
      </c>
      <c r="M270" s="9"/>
      <c r="O270">
        <v>229</v>
      </c>
      <c r="P270">
        <v>731</v>
      </c>
      <c r="Q270">
        <v>208</v>
      </c>
      <c r="R270" s="3">
        <v>15.12</v>
      </c>
      <c r="S270" s="9">
        <v>0.25178826895565093</v>
      </c>
      <c r="T270" s="11">
        <v>127</v>
      </c>
      <c r="U270" s="3">
        <f t="shared" si="7"/>
        <v>15.95105977172607</v>
      </c>
      <c r="V270" s="11"/>
      <c r="W270" s="9"/>
      <c r="X270">
        <v>229</v>
      </c>
      <c r="Y270">
        <v>789</v>
      </c>
      <c r="Z270">
        <v>216</v>
      </c>
      <c r="AA270" s="3">
        <v>11.04</v>
      </c>
      <c r="AB270" s="9">
        <v>0.24306472919418759</v>
      </c>
    </row>
    <row r="271" spans="1:30" x14ac:dyDescent="0.25">
      <c r="A271" t="s">
        <v>47</v>
      </c>
      <c r="B271" t="s">
        <v>0</v>
      </c>
      <c r="C271">
        <v>64</v>
      </c>
      <c r="D271">
        <v>230</v>
      </c>
      <c r="E271">
        <v>23</v>
      </c>
      <c r="F271" t="s">
        <v>36</v>
      </c>
      <c r="I271" s="3">
        <v>15.76</v>
      </c>
      <c r="J271" s="9">
        <v>0.19940476190476192</v>
      </c>
      <c r="K271" s="11">
        <v>124</v>
      </c>
      <c r="L271" s="3">
        <f t="shared" si="6"/>
        <v>16.776240383983168</v>
      </c>
      <c r="M271" s="9"/>
      <c r="O271">
        <v>230</v>
      </c>
      <c r="R271" s="3">
        <v>12.16</v>
      </c>
      <c r="S271" s="9">
        <v>0.25178826895565093</v>
      </c>
      <c r="T271" s="11">
        <v>165</v>
      </c>
      <c r="U271" s="3">
        <f t="shared" si="7"/>
        <v>13.3234836804165</v>
      </c>
      <c r="V271" s="11"/>
      <c r="W271" s="9"/>
      <c r="X271">
        <v>230</v>
      </c>
      <c r="AA271" s="3">
        <v>10.82</v>
      </c>
      <c r="AB271" s="9">
        <v>0.24306472919418759</v>
      </c>
    </row>
    <row r="272" spans="1:30" x14ac:dyDescent="0.25">
      <c r="A272" t="s">
        <v>47</v>
      </c>
      <c r="B272" t="s">
        <v>0</v>
      </c>
      <c r="C272">
        <v>64</v>
      </c>
      <c r="D272">
        <v>231</v>
      </c>
      <c r="E272">
        <v>7</v>
      </c>
      <c r="F272" t="s">
        <v>16</v>
      </c>
      <c r="I272" s="3">
        <v>15.74</v>
      </c>
      <c r="J272" s="9">
        <v>0.19940476190476192</v>
      </c>
      <c r="K272" s="11">
        <v>132</v>
      </c>
      <c r="L272" s="3">
        <f t="shared" si="6"/>
        <v>16.844609113025182</v>
      </c>
      <c r="M272" s="9"/>
      <c r="O272">
        <v>231</v>
      </c>
      <c r="R272" s="3">
        <v>13.12</v>
      </c>
      <c r="S272" s="9">
        <v>0.25178826895565093</v>
      </c>
      <c r="T272" s="11">
        <v>133</v>
      </c>
      <c r="U272" s="3">
        <f t="shared" si="7"/>
        <v>14.00354775730877</v>
      </c>
      <c r="V272" s="11"/>
      <c r="W272" s="9"/>
      <c r="X272">
        <v>231</v>
      </c>
      <c r="AA272" s="3">
        <v>9.9</v>
      </c>
      <c r="AB272" s="9">
        <v>0.24306472919418759</v>
      </c>
      <c r="AC272">
        <v>84</v>
      </c>
      <c r="AD272" s="3">
        <f>(AA272+(((AC272-32)/454)/AB272))</f>
        <v>10.37122198812488</v>
      </c>
    </row>
    <row r="273" spans="1:30" x14ac:dyDescent="0.25">
      <c r="A273" t="s">
        <v>47</v>
      </c>
      <c r="B273" t="s">
        <v>0</v>
      </c>
      <c r="C273">
        <v>64</v>
      </c>
      <c r="D273">
        <v>232</v>
      </c>
      <c r="E273">
        <v>35</v>
      </c>
      <c r="F273" t="s">
        <v>26</v>
      </c>
      <c r="I273" s="3">
        <v>18.5</v>
      </c>
      <c r="J273" s="9">
        <v>0.19940476190476192</v>
      </c>
      <c r="K273" s="11">
        <v>93</v>
      </c>
      <c r="L273" s="3">
        <f t="shared" si="6"/>
        <v>19.17381155894536</v>
      </c>
      <c r="M273" s="9"/>
      <c r="O273">
        <v>232</v>
      </c>
      <c r="R273" s="3">
        <v>14.26</v>
      </c>
      <c r="S273" s="9">
        <v>0.25178826895565093</v>
      </c>
      <c r="T273" s="11">
        <v>122</v>
      </c>
      <c r="U273" s="3">
        <f t="shared" si="7"/>
        <v>15.047319783740488</v>
      </c>
      <c r="V273" s="11"/>
      <c r="W273" s="9"/>
      <c r="X273">
        <v>232</v>
      </c>
      <c r="AA273" s="3">
        <v>11.72</v>
      </c>
      <c r="AB273" s="9">
        <v>0.24306472919418759</v>
      </c>
    </row>
    <row r="274" spans="1:30" x14ac:dyDescent="0.25">
      <c r="A274" t="s">
        <v>47</v>
      </c>
      <c r="B274" t="s">
        <v>0</v>
      </c>
      <c r="C274">
        <v>64</v>
      </c>
      <c r="D274">
        <v>233</v>
      </c>
      <c r="E274">
        <v>9</v>
      </c>
      <c r="F274" t="s">
        <v>19</v>
      </c>
      <c r="G274">
        <v>870</v>
      </c>
      <c r="H274">
        <v>225</v>
      </c>
      <c r="I274" s="3">
        <v>16.54</v>
      </c>
      <c r="J274" s="9">
        <v>0.23031026252983294</v>
      </c>
      <c r="K274" s="11">
        <v>117</v>
      </c>
      <c r="L274" s="3">
        <f t="shared" si="6"/>
        <v>17.352923694962453</v>
      </c>
      <c r="M274" s="9"/>
      <c r="O274">
        <v>233</v>
      </c>
      <c r="P274">
        <v>795</v>
      </c>
      <c r="Q274">
        <v>223</v>
      </c>
      <c r="R274" s="3">
        <v>11.14</v>
      </c>
      <c r="S274" s="9">
        <v>0.25032765399737877</v>
      </c>
      <c r="T274" s="11">
        <v>148</v>
      </c>
      <c r="U274" s="3">
        <f t="shared" si="7"/>
        <v>12.160688700786494</v>
      </c>
      <c r="V274" s="11"/>
      <c r="W274" s="9"/>
      <c r="X274">
        <v>233</v>
      </c>
      <c r="Y274">
        <v>748</v>
      </c>
      <c r="Z274">
        <v>204</v>
      </c>
      <c r="AA274" s="3">
        <v>9</v>
      </c>
      <c r="AB274" s="9">
        <v>0.24022346368715083</v>
      </c>
      <c r="AC274">
        <v>81</v>
      </c>
      <c r="AD274" s="3">
        <f>(AA274+(((AC274-32)/454)/AB274))</f>
        <v>9.4492879827886487</v>
      </c>
    </row>
    <row r="275" spans="1:30" x14ac:dyDescent="0.25">
      <c r="A275" t="s">
        <v>47</v>
      </c>
      <c r="B275" t="s">
        <v>0</v>
      </c>
      <c r="C275">
        <v>64</v>
      </c>
      <c r="D275">
        <v>234</v>
      </c>
      <c r="E275">
        <v>15</v>
      </c>
      <c r="F275" t="s">
        <v>20</v>
      </c>
      <c r="I275" s="3">
        <v>16.04</v>
      </c>
      <c r="J275" s="9">
        <v>0.23031026252983294</v>
      </c>
      <c r="K275" s="11">
        <v>114</v>
      </c>
      <c r="L275" s="3">
        <f t="shared" si="6"/>
        <v>16.824232270434365</v>
      </c>
      <c r="M275" s="9"/>
      <c r="O275">
        <v>234</v>
      </c>
      <c r="R275" s="3">
        <v>12.98</v>
      </c>
      <c r="S275" s="9">
        <v>0.25032765399737877</v>
      </c>
      <c r="T275" s="11">
        <v>93</v>
      </c>
      <c r="U275" s="3">
        <f t="shared" si="7"/>
        <v>13.516741471965311</v>
      </c>
      <c r="V275" s="11"/>
      <c r="W275" s="9"/>
      <c r="X275">
        <v>234</v>
      </c>
      <c r="AA275" s="3">
        <v>11.42</v>
      </c>
      <c r="AB275" s="9">
        <v>0.24022346368715083</v>
      </c>
    </row>
    <row r="276" spans="1:30" x14ac:dyDescent="0.25">
      <c r="A276" t="s">
        <v>47</v>
      </c>
      <c r="B276" t="s">
        <v>0</v>
      </c>
      <c r="C276">
        <v>64</v>
      </c>
      <c r="D276">
        <v>235</v>
      </c>
      <c r="E276">
        <v>26</v>
      </c>
      <c r="F276" t="s">
        <v>21</v>
      </c>
      <c r="I276" s="3">
        <v>17.52</v>
      </c>
      <c r="J276" s="9">
        <v>0.23031026252983294</v>
      </c>
      <c r="K276" s="11">
        <v>127</v>
      </c>
      <c r="L276" s="3">
        <f t="shared" si="6"/>
        <v>18.428561776722741</v>
      </c>
      <c r="M276" s="9"/>
      <c r="O276">
        <v>235</v>
      </c>
      <c r="R276" s="3">
        <v>10.44</v>
      </c>
      <c r="S276" s="9">
        <v>0.25032765399737877</v>
      </c>
      <c r="T276" s="11">
        <v>141</v>
      </c>
      <c r="U276" s="3">
        <f t="shared" si="7"/>
        <v>11.399095417118343</v>
      </c>
      <c r="V276" s="11"/>
      <c r="W276" s="9"/>
      <c r="X276">
        <v>235</v>
      </c>
      <c r="AA276" s="3">
        <v>9.48</v>
      </c>
      <c r="AB276" s="9">
        <v>0.24022346368715083</v>
      </c>
    </row>
    <row r="277" spans="1:30" x14ac:dyDescent="0.25">
      <c r="A277" t="s">
        <v>47</v>
      </c>
      <c r="B277" t="s">
        <v>0</v>
      </c>
      <c r="C277">
        <v>64</v>
      </c>
      <c r="D277">
        <v>236</v>
      </c>
      <c r="E277">
        <v>8</v>
      </c>
      <c r="F277" t="s">
        <v>31</v>
      </c>
      <c r="I277" s="3">
        <v>17.8</v>
      </c>
      <c r="J277" s="9">
        <v>0.23031026252983294</v>
      </c>
      <c r="K277" s="11">
        <v>119</v>
      </c>
      <c r="L277" s="3">
        <f t="shared" si="6"/>
        <v>18.632051311314509</v>
      </c>
      <c r="M277" s="9"/>
      <c r="O277">
        <v>236</v>
      </c>
      <c r="R277" s="3">
        <v>13.48</v>
      </c>
      <c r="S277" s="9">
        <v>0.25032765399737877</v>
      </c>
      <c r="T277" s="11">
        <v>112</v>
      </c>
      <c r="U277" s="3">
        <f t="shared" si="7"/>
        <v>14.18392324192172</v>
      </c>
      <c r="V277" s="11"/>
      <c r="W277" s="9"/>
      <c r="X277">
        <v>236</v>
      </c>
      <c r="AA277" s="3">
        <v>9.7799999999999994</v>
      </c>
      <c r="AB277" s="9">
        <v>0.24022346368715083</v>
      </c>
      <c r="AC277">
        <v>83</v>
      </c>
      <c r="AD277" s="3">
        <f>(AA277+(((AC277-32)/454)/AB277))</f>
        <v>10.247626267800429</v>
      </c>
    </row>
    <row r="278" spans="1:30" x14ac:dyDescent="0.25">
      <c r="A278" t="s">
        <v>47</v>
      </c>
      <c r="B278" t="s">
        <v>0</v>
      </c>
      <c r="C278">
        <v>64</v>
      </c>
      <c r="D278">
        <v>237</v>
      </c>
      <c r="E278">
        <v>33</v>
      </c>
      <c r="F278" t="s">
        <v>23</v>
      </c>
      <c r="G278">
        <v>753</v>
      </c>
      <c r="H278">
        <v>186</v>
      </c>
      <c r="I278" s="3">
        <v>18.82</v>
      </c>
      <c r="J278" s="9">
        <v>0.21359223300970873</v>
      </c>
      <c r="K278" s="11">
        <v>128</v>
      </c>
      <c r="L278" s="3">
        <f t="shared" si="6"/>
        <v>19.809987985582701</v>
      </c>
      <c r="M278" s="9"/>
      <c r="O278">
        <v>237</v>
      </c>
      <c r="P278">
        <v>852</v>
      </c>
      <c r="Q278">
        <v>234</v>
      </c>
      <c r="R278" s="3">
        <v>13.48</v>
      </c>
      <c r="S278" s="9">
        <v>0.24634146341463414</v>
      </c>
      <c r="T278" s="11">
        <v>134</v>
      </c>
      <c r="U278" s="3">
        <f t="shared" si="7"/>
        <v>14.392025123217168</v>
      </c>
      <c r="V278" s="11"/>
      <c r="W278" s="9"/>
      <c r="X278">
        <v>237</v>
      </c>
      <c r="Y278">
        <v>631</v>
      </c>
      <c r="Z278">
        <v>174</v>
      </c>
      <c r="AA278" s="3">
        <v>10.46</v>
      </c>
      <c r="AB278" s="9">
        <v>0.23706176961602671</v>
      </c>
    </row>
    <row r="279" spans="1:30" x14ac:dyDescent="0.25">
      <c r="A279" t="s">
        <v>47</v>
      </c>
      <c r="B279" t="s">
        <v>0</v>
      </c>
      <c r="C279">
        <v>64</v>
      </c>
      <c r="D279">
        <v>238</v>
      </c>
      <c r="E279">
        <v>12</v>
      </c>
      <c r="F279" t="s">
        <v>33</v>
      </c>
      <c r="I279" s="3">
        <v>16.48</v>
      </c>
      <c r="J279" s="9">
        <v>0.21359223300970873</v>
      </c>
      <c r="K279" s="11">
        <v>172</v>
      </c>
      <c r="L279" s="3">
        <f t="shared" si="6"/>
        <v>17.92373247897477</v>
      </c>
      <c r="M279" s="9"/>
      <c r="O279">
        <v>238</v>
      </c>
      <c r="R279" s="3">
        <v>12.76</v>
      </c>
      <c r="S279" s="9">
        <v>0.24634146341463414</v>
      </c>
      <c r="T279" s="11">
        <v>142</v>
      </c>
      <c r="U279" s="3">
        <f t="shared" si="7"/>
        <v>13.743556505430279</v>
      </c>
      <c r="V279" s="11"/>
      <c r="W279" s="9"/>
      <c r="X279">
        <v>238</v>
      </c>
      <c r="AA279" s="3">
        <v>9.6199999999999992</v>
      </c>
      <c r="AB279" s="9">
        <v>0.23706176961602671</v>
      </c>
      <c r="AC279">
        <v>83</v>
      </c>
      <c r="AD279" s="3">
        <f>(AA279+(((AC279-32)/454)/AB279))</f>
        <v>10.093863001799342</v>
      </c>
    </row>
    <row r="280" spans="1:30" x14ac:dyDescent="0.25">
      <c r="A280" t="s">
        <v>47</v>
      </c>
      <c r="B280" t="s">
        <v>0</v>
      </c>
      <c r="C280">
        <v>64</v>
      </c>
      <c r="D280">
        <v>239</v>
      </c>
      <c r="E280">
        <v>3</v>
      </c>
      <c r="F280" t="s">
        <v>3</v>
      </c>
      <c r="I280" s="3">
        <v>13.1</v>
      </c>
      <c r="J280" s="9">
        <v>0.21359223300970873</v>
      </c>
      <c r="K280" s="11">
        <v>124</v>
      </c>
      <c r="L280" s="3">
        <f t="shared" si="6"/>
        <v>14.048738486183419</v>
      </c>
      <c r="M280" s="9"/>
      <c r="O280">
        <v>239</v>
      </c>
      <c r="R280" s="3">
        <v>9.6199999999999992</v>
      </c>
      <c r="S280" s="9">
        <v>0.24634146341463414</v>
      </c>
      <c r="T280" s="11">
        <v>131</v>
      </c>
      <c r="U280" s="3">
        <f t="shared" si="7"/>
        <v>10.505200854887249</v>
      </c>
      <c r="V280" s="11"/>
      <c r="W280" s="9"/>
      <c r="X280">
        <v>239</v>
      </c>
      <c r="AA280" s="3">
        <v>8.66</v>
      </c>
      <c r="AB280" s="9">
        <v>0.23706176961602671</v>
      </c>
    </row>
    <row r="281" spans="1:30" x14ac:dyDescent="0.25">
      <c r="A281" t="s">
        <v>47</v>
      </c>
      <c r="B281" t="s">
        <v>0</v>
      </c>
      <c r="C281">
        <v>64</v>
      </c>
      <c r="D281">
        <v>240</v>
      </c>
      <c r="E281">
        <v>5</v>
      </c>
      <c r="F281" t="s">
        <v>5</v>
      </c>
      <c r="I281" s="3">
        <v>16.46</v>
      </c>
      <c r="J281" s="9">
        <v>0.21359223300970873</v>
      </c>
      <c r="K281" s="11">
        <v>102</v>
      </c>
      <c r="L281" s="3">
        <f t="shared" si="6"/>
        <v>17.181866239487384</v>
      </c>
      <c r="M281" s="9"/>
      <c r="O281">
        <v>240</v>
      </c>
      <c r="R281" s="3">
        <v>13.42</v>
      </c>
      <c r="S281" s="9">
        <v>0.24634146341463414</v>
      </c>
      <c r="T281" s="11">
        <v>174</v>
      </c>
      <c r="U281" s="3">
        <f t="shared" si="7"/>
        <v>14.689682034282724</v>
      </c>
      <c r="V281" s="11"/>
      <c r="W281" s="9"/>
      <c r="X281">
        <v>240</v>
      </c>
      <c r="AA281" s="3">
        <v>9.7200000000000006</v>
      </c>
      <c r="AB281" s="9">
        <v>0.23706176961602671</v>
      </c>
    </row>
    <row r="282" spans="1:30" x14ac:dyDescent="0.25">
      <c r="A282" t="s">
        <v>47</v>
      </c>
      <c r="B282" t="s">
        <v>0</v>
      </c>
      <c r="C282">
        <v>64</v>
      </c>
      <c r="D282">
        <v>241</v>
      </c>
      <c r="E282">
        <v>10</v>
      </c>
      <c r="F282" t="s">
        <v>35</v>
      </c>
      <c r="G282">
        <v>487</v>
      </c>
      <c r="H282">
        <v>127</v>
      </c>
      <c r="I282" s="3">
        <v>14.5</v>
      </c>
      <c r="J282" s="9">
        <v>0.2087912087912088</v>
      </c>
      <c r="K282" s="11">
        <v>87</v>
      </c>
      <c r="L282" s="3">
        <f t="shared" si="6"/>
        <v>15.08022258288894</v>
      </c>
      <c r="M282" s="9"/>
      <c r="O282">
        <v>241</v>
      </c>
      <c r="P282">
        <v>536</v>
      </c>
      <c r="Q282">
        <v>163</v>
      </c>
      <c r="R282" s="3">
        <v>10.56</v>
      </c>
      <c r="S282" s="9">
        <v>0.25992063492063494</v>
      </c>
      <c r="T282" s="11">
        <v>94</v>
      </c>
      <c r="U282" s="3">
        <f t="shared" si="7"/>
        <v>11.085406059790834</v>
      </c>
      <c r="V282" s="11"/>
      <c r="W282" s="9"/>
      <c r="X282">
        <v>241</v>
      </c>
      <c r="Y282">
        <v>776</v>
      </c>
      <c r="Z282">
        <v>209</v>
      </c>
      <c r="AA282" s="3">
        <v>9.44</v>
      </c>
      <c r="AB282" s="9">
        <v>0.23790322580645162</v>
      </c>
      <c r="AC282">
        <v>85</v>
      </c>
      <c r="AD282" s="3">
        <f>(AA282+(((AC282-32)/454)/AB282))</f>
        <v>9.9307040991562747</v>
      </c>
    </row>
    <row r="283" spans="1:30" x14ac:dyDescent="0.25">
      <c r="A283" t="s">
        <v>47</v>
      </c>
      <c r="B283" t="s">
        <v>0</v>
      </c>
      <c r="C283">
        <v>64</v>
      </c>
      <c r="D283">
        <v>242</v>
      </c>
      <c r="E283">
        <v>29</v>
      </c>
      <c r="F283" t="s">
        <v>11</v>
      </c>
      <c r="I283" s="3">
        <v>15.7</v>
      </c>
      <c r="J283" s="9">
        <v>0.2087912087912088</v>
      </c>
      <c r="K283" s="11">
        <v>151</v>
      </c>
      <c r="L283" s="3">
        <f t="shared" si="6"/>
        <v>16.955390679341527</v>
      </c>
      <c r="M283" s="9"/>
      <c r="O283">
        <v>242</v>
      </c>
      <c r="R283" s="3">
        <v>13.48</v>
      </c>
      <c r="S283" s="9">
        <v>0.25992063492063494</v>
      </c>
      <c r="T283" s="11">
        <v>122</v>
      </c>
      <c r="U283" s="3">
        <f t="shared" si="7"/>
        <v>14.242686215825403</v>
      </c>
      <c r="V283" s="11"/>
      <c r="W283" s="9"/>
      <c r="X283">
        <v>242</v>
      </c>
      <c r="AA283" s="3">
        <v>8.98</v>
      </c>
      <c r="AB283" s="9">
        <v>0.23790322580645162</v>
      </c>
    </row>
    <row r="284" spans="1:30" x14ac:dyDescent="0.25">
      <c r="A284" t="s">
        <v>47</v>
      </c>
      <c r="B284" t="s">
        <v>0</v>
      </c>
      <c r="C284">
        <v>64</v>
      </c>
      <c r="D284">
        <v>243</v>
      </c>
      <c r="E284">
        <v>17</v>
      </c>
      <c r="F284" t="s">
        <v>17</v>
      </c>
      <c r="I284" s="3">
        <v>16.3</v>
      </c>
      <c r="J284" s="9">
        <v>0.2087912087912088</v>
      </c>
      <c r="K284" s="11">
        <v>111</v>
      </c>
      <c r="L284" s="3">
        <f t="shared" si="6"/>
        <v>17.133410619058662</v>
      </c>
      <c r="M284" s="9"/>
      <c r="O284">
        <v>243</v>
      </c>
      <c r="R284" s="3">
        <v>12.62</v>
      </c>
      <c r="S284" s="9">
        <v>0.25992063492063494</v>
      </c>
      <c r="T284" s="11">
        <v>150</v>
      </c>
      <c r="U284" s="3">
        <f t="shared" si="7"/>
        <v>13.619966371859972</v>
      </c>
      <c r="V284" s="11"/>
      <c r="W284" s="9"/>
      <c r="X284">
        <v>243</v>
      </c>
      <c r="AA284" s="3">
        <v>9.4600000000000009</v>
      </c>
      <c r="AB284" s="9">
        <v>0.23790322580645162</v>
      </c>
    </row>
    <row r="285" spans="1:30" x14ac:dyDescent="0.25">
      <c r="A285" t="s">
        <v>47</v>
      </c>
      <c r="B285" t="s">
        <v>0</v>
      </c>
      <c r="C285">
        <v>64</v>
      </c>
      <c r="D285">
        <v>244</v>
      </c>
      <c r="E285">
        <v>31</v>
      </c>
      <c r="F285" t="s">
        <v>29</v>
      </c>
      <c r="I285" s="3">
        <v>17.82</v>
      </c>
      <c r="J285" s="9">
        <v>0.2087912087912088</v>
      </c>
      <c r="K285" s="11">
        <v>126</v>
      </c>
      <c r="L285" s="3">
        <f t="shared" si="6"/>
        <v>18.811653141664735</v>
      </c>
      <c r="M285" s="9"/>
      <c r="O285">
        <v>244</v>
      </c>
      <c r="R285" s="3">
        <v>13.88</v>
      </c>
      <c r="S285" s="9">
        <v>0.25992063492063494</v>
      </c>
      <c r="T285" s="11">
        <v>116</v>
      </c>
      <c r="U285" s="3">
        <f t="shared" si="7"/>
        <v>14.59184046810371</v>
      </c>
      <c r="V285" s="11"/>
      <c r="W285" s="9"/>
      <c r="X285">
        <v>244</v>
      </c>
      <c r="AA285" s="3">
        <v>12.84</v>
      </c>
      <c r="AB285" s="9">
        <v>0.23790322580645162</v>
      </c>
    </row>
    <row r="286" spans="1:30" x14ac:dyDescent="0.25">
      <c r="A286" t="s">
        <v>47</v>
      </c>
      <c r="B286" t="s">
        <v>0</v>
      </c>
      <c r="C286">
        <v>64</v>
      </c>
      <c r="D286">
        <v>245</v>
      </c>
      <c r="E286">
        <v>4</v>
      </c>
      <c r="F286" t="s">
        <v>2</v>
      </c>
      <c r="G286">
        <v>637</v>
      </c>
      <c r="H286">
        <v>165</v>
      </c>
      <c r="I286" s="3">
        <v>16.62</v>
      </c>
      <c r="J286" s="9">
        <v>0.21983471074380165</v>
      </c>
      <c r="K286" s="11">
        <v>74</v>
      </c>
      <c r="L286" s="3">
        <f t="shared" si="6"/>
        <v>17.04082077440297</v>
      </c>
      <c r="M286" s="9"/>
      <c r="O286">
        <v>245</v>
      </c>
      <c r="P286">
        <v>650</v>
      </c>
      <c r="Q286">
        <v>186</v>
      </c>
      <c r="R286" s="3">
        <v>11.12</v>
      </c>
      <c r="S286" s="9">
        <v>0.24919093851132687</v>
      </c>
      <c r="T286" s="11">
        <v>202</v>
      </c>
      <c r="U286" s="3">
        <f t="shared" si="7"/>
        <v>12.622660335259454</v>
      </c>
      <c r="V286" s="11"/>
      <c r="W286" s="9"/>
      <c r="X286">
        <v>245</v>
      </c>
      <c r="Y286">
        <v>655</v>
      </c>
      <c r="Z286">
        <v>181</v>
      </c>
      <c r="AA286" s="3">
        <v>10.68</v>
      </c>
      <c r="AB286" s="9">
        <v>0.2391653290529695</v>
      </c>
    </row>
    <row r="287" spans="1:30" x14ac:dyDescent="0.25">
      <c r="A287" t="s">
        <v>47</v>
      </c>
      <c r="B287" t="s">
        <v>0</v>
      </c>
      <c r="C287">
        <v>64</v>
      </c>
      <c r="D287">
        <v>246</v>
      </c>
      <c r="E287">
        <v>36</v>
      </c>
      <c r="F287" t="s">
        <v>27</v>
      </c>
      <c r="I287" s="3">
        <v>20.12</v>
      </c>
      <c r="J287" s="9">
        <v>0.21983471074380165</v>
      </c>
      <c r="K287" s="11">
        <v>116</v>
      </c>
      <c r="L287" s="3">
        <f t="shared" si="6"/>
        <v>20.961641548805936</v>
      </c>
      <c r="M287" s="9"/>
      <c r="O287">
        <v>246</v>
      </c>
      <c r="R287" s="3">
        <v>13.32</v>
      </c>
      <c r="S287" s="9">
        <v>0.24919093851132687</v>
      </c>
      <c r="T287" s="11">
        <v>175</v>
      </c>
      <c r="U287" s="3">
        <f t="shared" si="7"/>
        <v>14.584002517306482</v>
      </c>
      <c r="V287" s="11"/>
      <c r="W287" s="9"/>
      <c r="X287">
        <v>246</v>
      </c>
      <c r="AA287" s="3">
        <v>10.84</v>
      </c>
      <c r="AB287" s="9">
        <v>0.2391653290529695</v>
      </c>
    </row>
    <row r="288" spans="1:30" x14ac:dyDescent="0.25">
      <c r="A288" t="s">
        <v>47</v>
      </c>
      <c r="B288" t="s">
        <v>0</v>
      </c>
      <c r="C288">
        <v>64</v>
      </c>
      <c r="D288">
        <v>247</v>
      </c>
      <c r="E288">
        <v>28</v>
      </c>
      <c r="F288" t="s">
        <v>13</v>
      </c>
      <c r="I288" s="3">
        <v>18.36</v>
      </c>
      <c r="J288" s="9">
        <v>0.21983471074380165</v>
      </c>
      <c r="K288" s="11">
        <v>142</v>
      </c>
      <c r="L288" s="3">
        <f t="shared" si="6"/>
        <v>19.462149647245866</v>
      </c>
      <c r="M288" s="9"/>
      <c r="O288">
        <v>247</v>
      </c>
      <c r="R288" s="3">
        <v>12.46</v>
      </c>
      <c r="S288" s="9">
        <v>0.24919093851132687</v>
      </c>
      <c r="T288" s="11">
        <v>157</v>
      </c>
      <c r="U288" s="3">
        <f t="shared" si="7"/>
        <v>13.564897305337835</v>
      </c>
      <c r="V288" s="11"/>
      <c r="W288" s="9"/>
      <c r="X288">
        <v>247</v>
      </c>
      <c r="AA288" s="3">
        <v>11.26</v>
      </c>
      <c r="AB288" s="9">
        <v>0.2391653290529695</v>
      </c>
    </row>
    <row r="289" spans="1:30" x14ac:dyDescent="0.25">
      <c r="A289" t="s">
        <v>47</v>
      </c>
      <c r="B289" t="s">
        <v>0</v>
      </c>
      <c r="C289">
        <v>64</v>
      </c>
      <c r="D289">
        <v>248</v>
      </c>
      <c r="E289">
        <v>30</v>
      </c>
      <c r="F289" t="s">
        <v>9</v>
      </c>
      <c r="I289" s="3">
        <v>16.059999999999999</v>
      </c>
      <c r="J289" s="9">
        <v>0.21983471074380165</v>
      </c>
      <c r="K289" s="11">
        <v>107</v>
      </c>
      <c r="L289" s="3">
        <f t="shared" si="6"/>
        <v>16.811465668576727</v>
      </c>
      <c r="M289" s="9"/>
      <c r="O289">
        <v>248</v>
      </c>
      <c r="R289" s="3">
        <v>13.36</v>
      </c>
      <c r="S289" s="9">
        <v>0.24919093851132687</v>
      </c>
      <c r="T289" s="11">
        <v>150</v>
      </c>
      <c r="U289" s="3">
        <f t="shared" si="7"/>
        <v>14.403023056238915</v>
      </c>
      <c r="V289" s="11"/>
      <c r="W289" s="9"/>
      <c r="X289">
        <v>248</v>
      </c>
      <c r="AA289" s="3">
        <v>10.02</v>
      </c>
      <c r="AB289" s="9">
        <v>0.2391653290529695</v>
      </c>
    </row>
    <row r="290" spans="1:30" x14ac:dyDescent="0.25">
      <c r="A290" t="s">
        <v>47</v>
      </c>
      <c r="B290" t="s">
        <v>0</v>
      </c>
      <c r="C290">
        <v>64</v>
      </c>
      <c r="D290">
        <v>301</v>
      </c>
      <c r="E290">
        <v>9</v>
      </c>
      <c r="F290" t="s">
        <v>19</v>
      </c>
      <c r="G290">
        <v>908</v>
      </c>
      <c r="H290">
        <v>218</v>
      </c>
      <c r="I290" s="3">
        <v>16.04</v>
      </c>
      <c r="J290" s="9">
        <v>0.21232876712328766</v>
      </c>
      <c r="K290" s="11">
        <v>110</v>
      </c>
      <c r="L290" s="3">
        <f t="shared" si="6"/>
        <v>16.849151627113827</v>
      </c>
      <c r="M290" s="9"/>
      <c r="O290">
        <v>301</v>
      </c>
      <c r="R290" s="3"/>
      <c r="S290" s="9"/>
      <c r="T290" s="11"/>
      <c r="U290" s="9"/>
      <c r="V290" s="11"/>
      <c r="W290" s="9"/>
      <c r="X290">
        <v>301</v>
      </c>
      <c r="Y290">
        <v>837</v>
      </c>
      <c r="Z290">
        <v>222</v>
      </c>
      <c r="AA290" s="3">
        <v>12.92</v>
      </c>
      <c r="AB290" s="9">
        <v>0.2360248447204969</v>
      </c>
    </row>
    <row r="291" spans="1:30" x14ac:dyDescent="0.25">
      <c r="A291" t="s">
        <v>47</v>
      </c>
      <c r="B291" t="s">
        <v>0</v>
      </c>
      <c r="C291">
        <v>64</v>
      </c>
      <c r="D291">
        <v>302</v>
      </c>
      <c r="E291">
        <v>11</v>
      </c>
      <c r="F291" t="s">
        <v>15</v>
      </c>
      <c r="I291" s="3">
        <v>18.3</v>
      </c>
      <c r="J291" s="9">
        <v>0.21232876712328766</v>
      </c>
      <c r="K291" s="11">
        <v>141</v>
      </c>
      <c r="L291" s="3">
        <f t="shared" si="6"/>
        <v>19.430737530197529</v>
      </c>
      <c r="M291" s="9"/>
      <c r="O291">
        <v>302</v>
      </c>
      <c r="R291" s="3"/>
      <c r="S291" s="9"/>
      <c r="T291" s="11"/>
      <c r="U291" s="9"/>
      <c r="V291" s="11"/>
      <c r="W291" s="9"/>
      <c r="X291">
        <v>302</v>
      </c>
      <c r="AA291" s="3">
        <v>13.36</v>
      </c>
      <c r="AB291" s="9">
        <v>0.2360248447204969</v>
      </c>
    </row>
    <row r="292" spans="1:30" x14ac:dyDescent="0.25">
      <c r="A292" t="s">
        <v>47</v>
      </c>
      <c r="B292" t="s">
        <v>0</v>
      </c>
      <c r="C292">
        <v>64</v>
      </c>
      <c r="D292">
        <v>303</v>
      </c>
      <c r="E292">
        <v>12</v>
      </c>
      <c r="F292" t="s">
        <v>33</v>
      </c>
      <c r="I292" s="3">
        <v>17.7</v>
      </c>
      <c r="J292" s="9">
        <v>0.21232876712328766</v>
      </c>
      <c r="K292" s="11">
        <v>124</v>
      </c>
      <c r="L292" s="3">
        <f t="shared" si="6"/>
        <v>18.654383970441948</v>
      </c>
      <c r="M292" s="9"/>
      <c r="O292">
        <v>303</v>
      </c>
      <c r="R292" s="3"/>
      <c r="S292" s="9"/>
      <c r="T292" s="11"/>
      <c r="U292" s="9"/>
      <c r="V292" s="11"/>
      <c r="W292" s="9"/>
      <c r="X292">
        <v>303</v>
      </c>
      <c r="AA292" s="3">
        <v>12.28</v>
      </c>
      <c r="AB292" s="9">
        <v>0.2360248447204969</v>
      </c>
    </row>
    <row r="293" spans="1:30" x14ac:dyDescent="0.25">
      <c r="A293" t="s">
        <v>47</v>
      </c>
      <c r="B293" t="s">
        <v>0</v>
      </c>
      <c r="C293">
        <v>64</v>
      </c>
      <c r="D293">
        <v>304</v>
      </c>
      <c r="E293">
        <v>7</v>
      </c>
      <c r="F293" t="s">
        <v>16</v>
      </c>
      <c r="I293" s="3">
        <v>17.579999999999998</v>
      </c>
      <c r="J293" s="9">
        <v>0.21232876712328766</v>
      </c>
      <c r="K293" s="11">
        <v>86</v>
      </c>
      <c r="L293" s="3">
        <f t="shared" si="6"/>
        <v>18.140181895694187</v>
      </c>
      <c r="M293" s="9"/>
      <c r="O293">
        <v>304</v>
      </c>
      <c r="R293" s="3"/>
      <c r="S293" s="9"/>
      <c r="T293" s="11"/>
      <c r="U293" s="9"/>
      <c r="V293" s="11"/>
      <c r="W293" s="9"/>
      <c r="X293">
        <v>304</v>
      </c>
      <c r="AA293" s="3">
        <v>12.46</v>
      </c>
      <c r="AB293" s="9">
        <v>0.2360248447204969</v>
      </c>
    </row>
    <row r="294" spans="1:30" x14ac:dyDescent="0.25">
      <c r="A294" t="s">
        <v>47</v>
      </c>
      <c r="B294" t="s">
        <v>0</v>
      </c>
      <c r="C294">
        <v>64</v>
      </c>
      <c r="D294">
        <v>305</v>
      </c>
      <c r="E294">
        <v>10</v>
      </c>
      <c r="F294" t="s">
        <v>35</v>
      </c>
      <c r="G294">
        <v>801</v>
      </c>
      <c r="H294">
        <v>211</v>
      </c>
      <c r="I294" s="3">
        <v>17.12</v>
      </c>
      <c r="J294" s="9">
        <v>0.23276983094928477</v>
      </c>
      <c r="K294" s="11">
        <v>92</v>
      </c>
      <c r="L294" s="3">
        <f t="shared" si="6"/>
        <v>17.687765117023112</v>
      </c>
      <c r="M294" s="9"/>
      <c r="O294">
        <v>305</v>
      </c>
      <c r="R294" s="3"/>
      <c r="S294" s="9"/>
      <c r="T294" s="11"/>
      <c r="U294" s="9"/>
      <c r="V294" s="11"/>
      <c r="W294" s="9"/>
      <c r="X294">
        <v>305</v>
      </c>
      <c r="Y294">
        <v>760</v>
      </c>
      <c r="Z294">
        <v>198</v>
      </c>
      <c r="AA294" s="3">
        <v>12.54</v>
      </c>
      <c r="AB294" s="9">
        <v>0.22802197802197802</v>
      </c>
    </row>
    <row r="295" spans="1:30" x14ac:dyDescent="0.25">
      <c r="A295" t="s">
        <v>47</v>
      </c>
      <c r="B295" t="s">
        <v>0</v>
      </c>
      <c r="C295">
        <v>64</v>
      </c>
      <c r="D295">
        <v>306</v>
      </c>
      <c r="E295">
        <v>8</v>
      </c>
      <c r="F295" t="s">
        <v>31</v>
      </c>
      <c r="I295" s="3">
        <v>18.86</v>
      </c>
      <c r="J295" s="9">
        <v>0.23276983094928477</v>
      </c>
      <c r="K295" s="11">
        <v>130</v>
      </c>
      <c r="L295" s="3">
        <f t="shared" si="6"/>
        <v>19.787349691137745</v>
      </c>
      <c r="M295" s="9"/>
      <c r="O295">
        <v>306</v>
      </c>
      <c r="R295" s="3"/>
      <c r="S295" s="9"/>
      <c r="T295" s="11"/>
      <c r="U295" s="9"/>
      <c r="V295" s="11"/>
      <c r="W295" s="9"/>
      <c r="X295">
        <v>306</v>
      </c>
      <c r="AA295" s="3">
        <v>12.42</v>
      </c>
      <c r="AB295" s="9">
        <v>0.22802197802197802</v>
      </c>
    </row>
    <row r="296" spans="1:30" x14ac:dyDescent="0.25">
      <c r="A296" t="s">
        <v>47</v>
      </c>
      <c r="B296" t="s">
        <v>0</v>
      </c>
      <c r="C296">
        <v>64</v>
      </c>
      <c r="D296">
        <v>307</v>
      </c>
      <c r="E296">
        <v>7</v>
      </c>
      <c r="F296" t="s">
        <v>16</v>
      </c>
      <c r="I296" s="3">
        <v>16.059999999999999</v>
      </c>
      <c r="J296" s="9">
        <v>0.23276983094928477</v>
      </c>
      <c r="K296" s="11">
        <v>92</v>
      </c>
      <c r="L296" s="3">
        <f t="shared" si="6"/>
        <v>16.62776511702311</v>
      </c>
      <c r="M296" s="9"/>
      <c r="O296">
        <v>307</v>
      </c>
      <c r="R296" s="3"/>
      <c r="S296" s="9"/>
      <c r="T296" s="11"/>
      <c r="U296" s="9"/>
      <c r="V296" s="11"/>
      <c r="W296" s="9"/>
      <c r="X296">
        <v>307</v>
      </c>
      <c r="AA296" s="3">
        <v>9.94</v>
      </c>
      <c r="AB296" s="9">
        <v>0.22802197802197802</v>
      </c>
    </row>
    <row r="297" spans="1:30" x14ac:dyDescent="0.25">
      <c r="A297" t="s">
        <v>47</v>
      </c>
      <c r="B297" t="s">
        <v>0</v>
      </c>
      <c r="C297">
        <v>64</v>
      </c>
      <c r="D297">
        <v>308</v>
      </c>
      <c r="E297">
        <v>12</v>
      </c>
      <c r="F297" t="s">
        <v>33</v>
      </c>
      <c r="I297" s="3">
        <v>17.64</v>
      </c>
      <c r="J297" s="9">
        <v>0.23276983094928477</v>
      </c>
      <c r="K297" s="11">
        <v>163</v>
      </c>
      <c r="L297" s="3">
        <f t="shared" si="6"/>
        <v>18.879620505500455</v>
      </c>
      <c r="M297" s="9"/>
      <c r="O297">
        <v>308</v>
      </c>
      <c r="R297" s="3"/>
      <c r="S297" s="9"/>
      <c r="T297" s="11"/>
      <c r="U297" s="9"/>
      <c r="V297" s="11"/>
      <c r="W297" s="9"/>
      <c r="X297">
        <v>308</v>
      </c>
      <c r="AA297" s="3">
        <v>11.28</v>
      </c>
      <c r="AB297" s="9">
        <v>0.22802197802197802</v>
      </c>
    </row>
    <row r="298" spans="1:30" x14ac:dyDescent="0.25">
      <c r="A298" t="s">
        <v>47</v>
      </c>
      <c r="B298" t="s">
        <v>0</v>
      </c>
      <c r="C298">
        <v>64</v>
      </c>
      <c r="D298">
        <v>309</v>
      </c>
      <c r="E298">
        <v>8</v>
      </c>
      <c r="F298" t="s">
        <v>31</v>
      </c>
      <c r="G298">
        <v>870</v>
      </c>
      <c r="H298">
        <v>215</v>
      </c>
      <c r="I298" s="3">
        <v>17.82</v>
      </c>
      <c r="J298" s="9">
        <v>0.21837708830548927</v>
      </c>
      <c r="K298" s="11">
        <v>95</v>
      </c>
      <c r="L298" s="3">
        <f t="shared" si="6"/>
        <v>18.455444500613851</v>
      </c>
      <c r="M298" s="9"/>
      <c r="O298">
        <v>309</v>
      </c>
      <c r="R298" s="3"/>
      <c r="S298" s="9"/>
      <c r="T298" s="11"/>
      <c r="U298" s="9"/>
      <c r="V298" s="11"/>
      <c r="W298" s="9"/>
      <c r="X298">
        <v>309</v>
      </c>
      <c r="Y298">
        <v>605</v>
      </c>
      <c r="Z298">
        <v>176</v>
      </c>
      <c r="AA298" s="3">
        <v>11.58</v>
      </c>
      <c r="AB298" s="9">
        <v>0.2513089005235602</v>
      </c>
    </row>
    <row r="299" spans="1:30" x14ac:dyDescent="0.25">
      <c r="A299" t="s">
        <v>47</v>
      </c>
      <c r="B299" t="s">
        <v>0</v>
      </c>
      <c r="C299">
        <v>64</v>
      </c>
      <c r="D299">
        <v>310</v>
      </c>
      <c r="E299">
        <v>9</v>
      </c>
      <c r="F299" t="s">
        <v>19</v>
      </c>
      <c r="I299" s="3">
        <v>16.46</v>
      </c>
      <c r="J299" s="9">
        <v>0.21837708830548927</v>
      </c>
      <c r="K299" s="11">
        <v>87</v>
      </c>
      <c r="L299" s="3">
        <f t="shared" si="6"/>
        <v>17.014753135456537</v>
      </c>
      <c r="M299" s="9"/>
      <c r="O299">
        <v>310</v>
      </c>
      <c r="R299" s="3"/>
      <c r="S299" s="9"/>
      <c r="T299" s="11"/>
      <c r="U299" s="9"/>
      <c r="V299" s="11"/>
      <c r="W299" s="9"/>
      <c r="X299">
        <v>310</v>
      </c>
      <c r="AA299" s="3">
        <v>12.22</v>
      </c>
      <c r="AB299" s="9">
        <v>0.2513089005235602</v>
      </c>
    </row>
    <row r="300" spans="1:30" x14ac:dyDescent="0.25">
      <c r="A300" t="s">
        <v>47</v>
      </c>
      <c r="B300" t="s">
        <v>0</v>
      </c>
      <c r="C300">
        <v>64</v>
      </c>
      <c r="D300">
        <v>311</v>
      </c>
      <c r="E300">
        <v>10</v>
      </c>
      <c r="F300" t="s">
        <v>35</v>
      </c>
      <c r="I300" s="3">
        <v>15.8</v>
      </c>
      <c r="J300" s="9">
        <v>0.21837708830548927</v>
      </c>
      <c r="K300" s="11">
        <v>187</v>
      </c>
      <c r="L300" s="3">
        <f t="shared" si="6"/>
        <v>17.363395199922969</v>
      </c>
      <c r="M300" s="9"/>
      <c r="O300">
        <v>311</v>
      </c>
      <c r="R300" s="3"/>
      <c r="S300" s="9"/>
      <c r="T300" s="11"/>
      <c r="U300" s="9"/>
      <c r="V300" s="11"/>
      <c r="W300" s="9"/>
      <c r="X300">
        <v>311</v>
      </c>
      <c r="AA300" s="3">
        <v>11.36</v>
      </c>
      <c r="AB300" s="9">
        <v>0.2513089005235602</v>
      </c>
    </row>
    <row r="301" spans="1:30" x14ac:dyDescent="0.25">
      <c r="A301" t="s">
        <v>47</v>
      </c>
      <c r="B301" t="s">
        <v>0</v>
      </c>
      <c r="C301">
        <v>64</v>
      </c>
      <c r="D301">
        <v>312</v>
      </c>
      <c r="E301">
        <v>11</v>
      </c>
      <c r="F301" t="s">
        <v>15</v>
      </c>
      <c r="I301" s="3">
        <v>18.86</v>
      </c>
      <c r="J301" s="9">
        <v>0.21837708830548927</v>
      </c>
      <c r="K301" s="11">
        <v>89</v>
      </c>
      <c r="L301" s="3">
        <f t="shared" si="6"/>
        <v>19.434925976745866</v>
      </c>
      <c r="M301" s="9"/>
      <c r="O301">
        <v>312</v>
      </c>
      <c r="R301" s="3"/>
      <c r="S301" s="9"/>
      <c r="T301" s="11"/>
      <c r="U301" s="9"/>
      <c r="V301" s="11"/>
      <c r="W301" s="9"/>
      <c r="X301">
        <v>312</v>
      </c>
      <c r="AA301" s="3">
        <v>10.68</v>
      </c>
      <c r="AB301" s="9">
        <v>0.2513089005235602</v>
      </c>
    </row>
    <row r="302" spans="1:30" x14ac:dyDescent="0.25">
      <c r="A302" t="s">
        <v>47</v>
      </c>
      <c r="B302" t="s">
        <v>0</v>
      </c>
      <c r="C302">
        <v>64</v>
      </c>
      <c r="D302">
        <v>313</v>
      </c>
      <c r="E302">
        <v>4</v>
      </c>
      <c r="F302" t="s">
        <v>2</v>
      </c>
      <c r="G302">
        <v>926</v>
      </c>
      <c r="H302">
        <v>225</v>
      </c>
      <c r="I302" s="3">
        <v>16.260000000000002</v>
      </c>
      <c r="J302" s="9">
        <v>0.21588366890380314</v>
      </c>
      <c r="K302" s="11">
        <v>79</v>
      </c>
      <c r="L302" s="3">
        <f t="shared" si="6"/>
        <v>16.739537102554156</v>
      </c>
      <c r="M302" s="9"/>
      <c r="O302">
        <v>313</v>
      </c>
      <c r="P302">
        <v>563</v>
      </c>
      <c r="Q302">
        <v>163</v>
      </c>
      <c r="R302" s="3">
        <v>13.46</v>
      </c>
      <c r="S302" s="9">
        <v>0.24670433145009416</v>
      </c>
      <c r="T302" s="11">
        <v>141</v>
      </c>
      <c r="U302" s="3">
        <f t="shared" ref="U302:U337" si="8">(R302+(((T302-32)/454)/S302))</f>
        <v>14.433181558328009</v>
      </c>
      <c r="V302" s="11"/>
      <c r="W302" s="9"/>
      <c r="X302">
        <v>313</v>
      </c>
      <c r="Y302">
        <v>812</v>
      </c>
      <c r="Z302">
        <v>210</v>
      </c>
      <c r="AA302" s="3">
        <v>11.62</v>
      </c>
      <c r="AB302" s="9">
        <v>0.2282051282051282</v>
      </c>
    </row>
    <row r="303" spans="1:30" x14ac:dyDescent="0.25">
      <c r="A303" t="s">
        <v>47</v>
      </c>
      <c r="B303" t="s">
        <v>0</v>
      </c>
      <c r="C303">
        <v>64</v>
      </c>
      <c r="D303">
        <v>314</v>
      </c>
      <c r="E303">
        <v>10</v>
      </c>
      <c r="F303" t="s">
        <v>35</v>
      </c>
      <c r="I303" s="3">
        <v>14.78</v>
      </c>
      <c r="J303" s="9">
        <v>0.21588366890380314</v>
      </c>
      <c r="K303" s="11">
        <v>122</v>
      </c>
      <c r="L303" s="3">
        <f t="shared" si="6"/>
        <v>15.698262536805824</v>
      </c>
      <c r="M303" s="9"/>
      <c r="O303">
        <v>314</v>
      </c>
      <c r="R303" s="3">
        <v>12.78</v>
      </c>
      <c r="S303" s="9">
        <v>0.24670433145009416</v>
      </c>
      <c r="T303" s="11">
        <v>153</v>
      </c>
      <c r="U303" s="3">
        <f t="shared" si="8"/>
        <v>13.860320812455862</v>
      </c>
      <c r="V303" s="11"/>
      <c r="W303" s="9"/>
      <c r="X303">
        <v>314</v>
      </c>
      <c r="AA303" s="3">
        <v>10.92</v>
      </c>
      <c r="AB303" s="9">
        <v>0.2282051282051282</v>
      </c>
      <c r="AC303">
        <v>81</v>
      </c>
      <c r="AD303" s="3">
        <f>(AA303+(((AC303-32)/454)/AB303))</f>
        <v>11.392949561946246</v>
      </c>
    </row>
    <row r="304" spans="1:30" x14ac:dyDescent="0.25">
      <c r="A304" t="s">
        <v>47</v>
      </c>
      <c r="B304" t="s">
        <v>0</v>
      </c>
      <c r="C304">
        <v>64</v>
      </c>
      <c r="D304">
        <v>315</v>
      </c>
      <c r="E304">
        <v>2</v>
      </c>
      <c r="F304" t="s">
        <v>4</v>
      </c>
      <c r="I304" s="3">
        <v>20</v>
      </c>
      <c r="J304" s="9">
        <v>0.21588366890380314</v>
      </c>
      <c r="K304" s="11">
        <v>103</v>
      </c>
      <c r="L304" s="3">
        <f t="shared" si="6"/>
        <v>20.72440711236904</v>
      </c>
      <c r="M304" s="9"/>
      <c r="O304">
        <v>315</v>
      </c>
      <c r="R304" s="3">
        <v>14.64</v>
      </c>
      <c r="S304" s="9">
        <v>0.24670433145009416</v>
      </c>
      <c r="T304" s="11">
        <v>143</v>
      </c>
      <c r="U304" s="3">
        <f t="shared" si="8"/>
        <v>15.631038100682652</v>
      </c>
      <c r="V304" s="11"/>
      <c r="W304" s="9"/>
      <c r="X304">
        <v>315</v>
      </c>
      <c r="AA304" s="3">
        <v>12.88</v>
      </c>
      <c r="AB304" s="9">
        <v>0.2282051282051282</v>
      </c>
    </row>
    <row r="305" spans="1:30" x14ac:dyDescent="0.25">
      <c r="A305" t="s">
        <v>47</v>
      </c>
      <c r="B305" t="s">
        <v>0</v>
      </c>
      <c r="C305">
        <v>64</v>
      </c>
      <c r="D305">
        <v>316</v>
      </c>
      <c r="E305">
        <v>5</v>
      </c>
      <c r="F305" t="s">
        <v>5</v>
      </c>
      <c r="I305" s="3">
        <v>15.62</v>
      </c>
      <c r="J305" s="9">
        <v>0.21588366890380314</v>
      </c>
      <c r="K305" s="11">
        <v>87</v>
      </c>
      <c r="L305" s="3">
        <f t="shared" si="6"/>
        <v>16.181160439159115</v>
      </c>
      <c r="M305" s="9"/>
      <c r="O305">
        <v>316</v>
      </c>
      <c r="R305" s="3">
        <v>14.2</v>
      </c>
      <c r="S305" s="9">
        <v>0.24670433145009416</v>
      </c>
      <c r="T305" s="11">
        <v>147</v>
      </c>
      <c r="U305" s="3">
        <f t="shared" si="8"/>
        <v>15.226751185391935</v>
      </c>
      <c r="V305" s="11"/>
      <c r="W305" s="9"/>
      <c r="X305">
        <v>316</v>
      </c>
      <c r="AA305" s="3">
        <v>10.28</v>
      </c>
      <c r="AB305" s="9">
        <v>0.2282051282051282</v>
      </c>
    </row>
    <row r="306" spans="1:30" x14ac:dyDescent="0.25">
      <c r="A306" t="s">
        <v>47</v>
      </c>
      <c r="B306" t="s">
        <v>0</v>
      </c>
      <c r="C306">
        <v>64</v>
      </c>
      <c r="D306">
        <v>317</v>
      </c>
      <c r="E306">
        <v>5</v>
      </c>
      <c r="F306" t="s">
        <v>5</v>
      </c>
      <c r="G306">
        <v>853</v>
      </c>
      <c r="H306">
        <v>216</v>
      </c>
      <c r="I306" s="3">
        <v>14.8</v>
      </c>
      <c r="J306" s="9">
        <v>0.22411693057247259</v>
      </c>
      <c r="K306" s="11">
        <v>121</v>
      </c>
      <c r="L306" s="3">
        <f t="shared" ref="L306:L337" si="9">(I306+(((K306-32)/454)/J306))</f>
        <v>15.674700727829919</v>
      </c>
      <c r="M306" s="9"/>
      <c r="O306">
        <v>317</v>
      </c>
      <c r="P306">
        <v>599</v>
      </c>
      <c r="Q306">
        <v>164</v>
      </c>
      <c r="R306" s="3">
        <v>13.8</v>
      </c>
      <c r="S306" s="9">
        <v>0.23280423280423279</v>
      </c>
      <c r="T306" s="11">
        <v>132</v>
      </c>
      <c r="U306" s="3">
        <f t="shared" si="8"/>
        <v>14.746135362434922</v>
      </c>
      <c r="V306" s="11"/>
      <c r="W306" s="9"/>
      <c r="X306">
        <v>317</v>
      </c>
      <c r="Y306">
        <v>726</v>
      </c>
      <c r="Z306">
        <v>185</v>
      </c>
      <c r="AA306" s="3">
        <v>9.9600000000000009</v>
      </c>
      <c r="AB306" s="9">
        <v>0.22046109510086456</v>
      </c>
    </row>
    <row r="307" spans="1:30" x14ac:dyDescent="0.25">
      <c r="A307" t="s">
        <v>47</v>
      </c>
      <c r="B307" t="s">
        <v>0</v>
      </c>
      <c r="C307">
        <v>64</v>
      </c>
      <c r="D307">
        <v>318</v>
      </c>
      <c r="E307">
        <v>8</v>
      </c>
      <c r="F307" t="s">
        <v>31</v>
      </c>
      <c r="I307" s="3">
        <v>18.899999999999999</v>
      </c>
      <c r="J307" s="9">
        <v>0.22411693057247259</v>
      </c>
      <c r="K307" s="11">
        <v>93</v>
      </c>
      <c r="L307" s="3">
        <f t="shared" si="9"/>
        <v>19.499513981995786</v>
      </c>
      <c r="M307" s="9"/>
      <c r="O307">
        <v>318</v>
      </c>
      <c r="R307" s="3">
        <v>14.78</v>
      </c>
      <c r="S307" s="9">
        <v>0.23280423280423279</v>
      </c>
      <c r="T307" s="11">
        <v>193</v>
      </c>
      <c r="U307" s="3">
        <f t="shared" si="8"/>
        <v>16.303277933520224</v>
      </c>
      <c r="V307" s="11"/>
      <c r="W307" s="9"/>
      <c r="X307">
        <v>318</v>
      </c>
      <c r="AA307" s="3">
        <v>9.5399999999999991</v>
      </c>
      <c r="AB307" s="9">
        <v>0.22046109510086456</v>
      </c>
      <c r="AC307">
        <v>86</v>
      </c>
      <c r="AD307" s="3">
        <f>(AA307+(((AC307-32)/454)/AB307))</f>
        <v>10.07951800984711</v>
      </c>
    </row>
    <row r="308" spans="1:30" x14ac:dyDescent="0.25">
      <c r="A308" t="s">
        <v>47</v>
      </c>
      <c r="B308" t="s">
        <v>0</v>
      </c>
      <c r="C308">
        <v>64</v>
      </c>
      <c r="D308">
        <v>319</v>
      </c>
      <c r="E308">
        <v>7</v>
      </c>
      <c r="F308" t="s">
        <v>16</v>
      </c>
      <c r="I308" s="3">
        <v>14.46</v>
      </c>
      <c r="J308" s="9">
        <v>0.22411693057247259</v>
      </c>
      <c r="K308" s="11">
        <v>108</v>
      </c>
      <c r="L308" s="3">
        <f t="shared" si="9"/>
        <v>15.206935452978357</v>
      </c>
      <c r="M308" s="9"/>
      <c r="O308">
        <v>319</v>
      </c>
      <c r="R308" s="3">
        <v>13.96</v>
      </c>
      <c r="S308" s="9">
        <v>0.23280423280423279</v>
      </c>
      <c r="T308" s="11">
        <v>115</v>
      </c>
      <c r="U308" s="3">
        <f t="shared" si="8"/>
        <v>14.745292350820986</v>
      </c>
      <c r="V308" s="11"/>
      <c r="W308" s="9"/>
      <c r="X308">
        <v>319</v>
      </c>
      <c r="AA308" s="3">
        <v>9.58</v>
      </c>
      <c r="AB308" s="9">
        <v>0.22046109510086456</v>
      </c>
      <c r="AC308">
        <v>72</v>
      </c>
      <c r="AD308" s="3">
        <f>(AA308+(((AC308-32)/454)/AB308))</f>
        <v>9.9796429702571192</v>
      </c>
    </row>
    <row r="309" spans="1:30" x14ac:dyDescent="0.25">
      <c r="A309" t="s">
        <v>47</v>
      </c>
      <c r="B309" t="s">
        <v>0</v>
      </c>
      <c r="C309">
        <v>64</v>
      </c>
      <c r="D309">
        <v>320</v>
      </c>
      <c r="E309">
        <v>15</v>
      </c>
      <c r="F309" t="s">
        <v>20</v>
      </c>
      <c r="I309" s="3">
        <v>15.8</v>
      </c>
      <c r="J309" s="9">
        <v>0.22411693057247259</v>
      </c>
      <c r="K309" s="11">
        <v>116</v>
      </c>
      <c r="L309" s="3">
        <f t="shared" si="9"/>
        <v>16.625560237502395</v>
      </c>
      <c r="M309" s="9"/>
      <c r="O309">
        <v>320</v>
      </c>
      <c r="R309" s="3">
        <v>13.6</v>
      </c>
      <c r="S309" s="9">
        <v>0.23280423280423279</v>
      </c>
      <c r="T309" s="11">
        <v>154</v>
      </c>
      <c r="U309" s="3">
        <f t="shared" si="8"/>
        <v>14.754285142170604</v>
      </c>
      <c r="V309" s="11"/>
      <c r="W309" s="9"/>
      <c r="X309">
        <v>320</v>
      </c>
      <c r="AA309" s="3">
        <v>11.06</v>
      </c>
      <c r="AB309" s="9">
        <v>0.22046109510086456</v>
      </c>
    </row>
    <row r="310" spans="1:30" x14ac:dyDescent="0.25">
      <c r="A310" t="s">
        <v>47</v>
      </c>
      <c r="B310" t="s">
        <v>0</v>
      </c>
      <c r="C310">
        <v>64</v>
      </c>
      <c r="D310">
        <v>321</v>
      </c>
      <c r="E310">
        <v>13</v>
      </c>
      <c r="F310" t="s">
        <v>24</v>
      </c>
      <c r="G310">
        <v>684</v>
      </c>
      <c r="H310">
        <v>175</v>
      </c>
      <c r="I310" s="3">
        <v>15.78</v>
      </c>
      <c r="J310" s="9">
        <v>0.21932515337423314</v>
      </c>
      <c r="K310" s="11">
        <v>112</v>
      </c>
      <c r="L310" s="3">
        <f t="shared" si="9"/>
        <v>16.583425649240628</v>
      </c>
      <c r="M310" s="9"/>
      <c r="O310">
        <v>321</v>
      </c>
      <c r="P310">
        <v>633</v>
      </c>
      <c r="Q310">
        <v>178</v>
      </c>
      <c r="R310" s="3">
        <v>13.88</v>
      </c>
      <c r="S310" s="9">
        <v>0.24292845257903495</v>
      </c>
      <c r="T310" s="11">
        <v>173</v>
      </c>
      <c r="U310" s="3">
        <f t="shared" si="8"/>
        <v>15.158453322068675</v>
      </c>
      <c r="V310" s="11"/>
      <c r="W310" s="9"/>
      <c r="X310">
        <v>321</v>
      </c>
      <c r="Y310">
        <v>612</v>
      </c>
      <c r="Z310">
        <v>169</v>
      </c>
      <c r="AA310" s="3">
        <v>9.36</v>
      </c>
      <c r="AB310" s="9">
        <v>0.23620689655172414</v>
      </c>
    </row>
    <row r="311" spans="1:30" x14ac:dyDescent="0.25">
      <c r="A311" t="s">
        <v>47</v>
      </c>
      <c r="B311" t="s">
        <v>0</v>
      </c>
      <c r="C311">
        <v>64</v>
      </c>
      <c r="D311">
        <v>322</v>
      </c>
      <c r="E311">
        <v>30</v>
      </c>
      <c r="F311" t="s">
        <v>9</v>
      </c>
      <c r="I311" s="3">
        <v>14.22</v>
      </c>
      <c r="J311" s="9">
        <v>0.21932515337423314</v>
      </c>
      <c r="K311" s="11">
        <v>103</v>
      </c>
      <c r="L311" s="3">
        <f t="shared" si="9"/>
        <v>14.933040263701058</v>
      </c>
      <c r="M311" s="9"/>
      <c r="O311">
        <v>322</v>
      </c>
      <c r="R311" s="3">
        <v>13.56</v>
      </c>
      <c r="S311" s="9">
        <v>0.24292845257903495</v>
      </c>
      <c r="T311" s="11">
        <v>137</v>
      </c>
      <c r="U311" s="3">
        <f t="shared" si="8"/>
        <v>14.512039707923481</v>
      </c>
      <c r="V311" s="11"/>
      <c r="W311" s="9"/>
      <c r="X311">
        <v>322</v>
      </c>
      <c r="AA311" s="3">
        <v>9.8800000000000008</v>
      </c>
      <c r="AB311" s="9">
        <v>0.23620689655172414</v>
      </c>
    </row>
    <row r="312" spans="1:30" x14ac:dyDescent="0.25">
      <c r="A312" t="s">
        <v>47</v>
      </c>
      <c r="B312" t="s">
        <v>0</v>
      </c>
      <c r="C312">
        <v>64</v>
      </c>
      <c r="D312">
        <v>323</v>
      </c>
      <c r="E312">
        <v>11</v>
      </c>
      <c r="F312" t="s">
        <v>15</v>
      </c>
      <c r="I312" s="3">
        <v>15.26</v>
      </c>
      <c r="J312" s="9">
        <v>0.21932515337423314</v>
      </c>
      <c r="K312" s="11">
        <v>139</v>
      </c>
      <c r="L312" s="3">
        <f t="shared" si="9"/>
        <v>16.33458180585934</v>
      </c>
      <c r="M312" s="9"/>
      <c r="O312">
        <v>323</v>
      </c>
      <c r="R312" s="3">
        <v>14.24</v>
      </c>
      <c r="S312" s="9">
        <v>0.24292845257903495</v>
      </c>
      <c r="T312" s="11">
        <v>120</v>
      </c>
      <c r="U312" s="3">
        <f t="shared" si="8"/>
        <v>15.037899945688251</v>
      </c>
      <c r="V312" s="11"/>
      <c r="W312" s="9"/>
      <c r="X312">
        <v>323</v>
      </c>
      <c r="AA312" s="3">
        <v>9.9</v>
      </c>
      <c r="AB312" s="9">
        <v>0.23620689655172414</v>
      </c>
      <c r="AC312">
        <v>97</v>
      </c>
      <c r="AD312" s="3">
        <f>(AA312+(((AC312-32)/454)/AB312))</f>
        <v>10.506128814431332</v>
      </c>
    </row>
    <row r="313" spans="1:30" x14ac:dyDescent="0.25">
      <c r="A313" t="s">
        <v>47</v>
      </c>
      <c r="B313" t="s">
        <v>0</v>
      </c>
      <c r="C313">
        <v>64</v>
      </c>
      <c r="D313">
        <v>324</v>
      </c>
      <c r="E313">
        <v>16</v>
      </c>
      <c r="F313" t="s">
        <v>12</v>
      </c>
      <c r="I313" s="3">
        <v>12.94</v>
      </c>
      <c r="J313" s="9">
        <v>0.21932515337423314</v>
      </c>
      <c r="K313" s="11">
        <v>90</v>
      </c>
      <c r="L313" s="3">
        <f t="shared" si="9"/>
        <v>13.522483595699454</v>
      </c>
      <c r="M313" s="9"/>
      <c r="O313">
        <v>324</v>
      </c>
      <c r="R313" s="3">
        <v>12.66</v>
      </c>
      <c r="S313" s="9">
        <v>0.24292845257903495</v>
      </c>
      <c r="T313" s="11">
        <v>152</v>
      </c>
      <c r="U313" s="3">
        <f t="shared" si="8"/>
        <v>13.748045380483978</v>
      </c>
      <c r="V313" s="11"/>
      <c r="W313" s="9"/>
      <c r="X313">
        <v>324</v>
      </c>
      <c r="AA313" s="3">
        <v>9.0399999999999991</v>
      </c>
      <c r="AB313" s="9">
        <v>0.23620689655172414</v>
      </c>
    </row>
    <row r="314" spans="1:30" x14ac:dyDescent="0.25">
      <c r="A314" t="s">
        <v>47</v>
      </c>
      <c r="B314" t="s">
        <v>0</v>
      </c>
      <c r="C314">
        <v>64</v>
      </c>
      <c r="D314">
        <v>325</v>
      </c>
      <c r="E314">
        <v>17</v>
      </c>
      <c r="F314" t="s">
        <v>17</v>
      </c>
      <c r="G314">
        <v>786</v>
      </c>
      <c r="H314">
        <v>209</v>
      </c>
      <c r="I314" s="3">
        <v>13.78</v>
      </c>
      <c r="J314" s="9">
        <v>0.23474801061007958</v>
      </c>
      <c r="K314" s="11">
        <v>115</v>
      </c>
      <c r="L314" s="3">
        <f t="shared" si="9"/>
        <v>14.558789915129793</v>
      </c>
      <c r="M314" s="9"/>
      <c r="O314">
        <v>325</v>
      </c>
      <c r="P314">
        <v>889</v>
      </c>
      <c r="Q314">
        <v>242</v>
      </c>
      <c r="R314" s="3">
        <v>12.46</v>
      </c>
      <c r="S314" s="9">
        <v>0.24504084014002334</v>
      </c>
      <c r="T314" s="11">
        <v>139</v>
      </c>
      <c r="U314" s="3">
        <f t="shared" si="8"/>
        <v>13.421810362911685</v>
      </c>
      <c r="V314" s="11"/>
      <c r="W314" s="9"/>
      <c r="X314">
        <v>325</v>
      </c>
      <c r="Y314">
        <v>621</v>
      </c>
      <c r="Z314">
        <v>180</v>
      </c>
      <c r="AA314" s="3">
        <v>9.14</v>
      </c>
      <c r="AB314" s="9">
        <v>0.25127334465195245</v>
      </c>
    </row>
    <row r="315" spans="1:30" x14ac:dyDescent="0.25">
      <c r="A315" t="s">
        <v>47</v>
      </c>
      <c r="B315" t="s">
        <v>0</v>
      </c>
      <c r="C315">
        <v>64</v>
      </c>
      <c r="D315">
        <v>326</v>
      </c>
      <c r="E315">
        <v>3</v>
      </c>
      <c r="F315" t="s">
        <v>3</v>
      </c>
      <c r="I315" s="3">
        <v>13.96</v>
      </c>
      <c r="J315" s="9">
        <v>0.23474801061007958</v>
      </c>
      <c r="K315" s="11">
        <v>90</v>
      </c>
      <c r="L315" s="3">
        <f t="shared" si="9"/>
        <v>14.504214639488291</v>
      </c>
      <c r="M315" s="9"/>
      <c r="O315">
        <v>326</v>
      </c>
      <c r="R315" s="3">
        <v>10.98</v>
      </c>
      <c r="S315" s="9">
        <v>0.24504084014002334</v>
      </c>
      <c r="T315" s="11">
        <v>157</v>
      </c>
      <c r="U315" s="3">
        <f t="shared" si="8"/>
        <v>12.103610237046361</v>
      </c>
      <c r="V315" s="11"/>
      <c r="W315" s="9"/>
      <c r="X315">
        <v>326</v>
      </c>
      <c r="AA315" s="3">
        <v>9.86</v>
      </c>
      <c r="AB315" s="9">
        <v>0.25127334465195245</v>
      </c>
    </row>
    <row r="316" spans="1:30" x14ac:dyDescent="0.25">
      <c r="A316" t="s">
        <v>47</v>
      </c>
      <c r="B316" t="s">
        <v>0</v>
      </c>
      <c r="C316">
        <v>64</v>
      </c>
      <c r="D316">
        <v>327</v>
      </c>
      <c r="E316">
        <v>34</v>
      </c>
      <c r="F316" t="s">
        <v>34</v>
      </c>
      <c r="I316" s="3">
        <v>16.68</v>
      </c>
      <c r="J316" s="9">
        <v>0.23474801061007958</v>
      </c>
      <c r="K316" s="11">
        <v>131</v>
      </c>
      <c r="L316" s="3">
        <f t="shared" si="9"/>
        <v>17.608918091540357</v>
      </c>
      <c r="M316" s="9"/>
      <c r="O316">
        <v>327</v>
      </c>
      <c r="R316" s="3">
        <v>13.66</v>
      </c>
      <c r="S316" s="9">
        <v>0.24504084014002334</v>
      </c>
      <c r="T316" s="11">
        <v>153</v>
      </c>
      <c r="U316" s="3">
        <f t="shared" si="8"/>
        <v>14.747654709460877</v>
      </c>
      <c r="V316" s="11"/>
      <c r="W316" s="9"/>
      <c r="X316">
        <v>327</v>
      </c>
      <c r="AA316" s="3">
        <v>9.76</v>
      </c>
      <c r="AB316" s="9">
        <v>0.25127334465195245</v>
      </c>
    </row>
    <row r="317" spans="1:30" x14ac:dyDescent="0.25">
      <c r="A317" t="s">
        <v>47</v>
      </c>
      <c r="B317" t="s">
        <v>0</v>
      </c>
      <c r="C317">
        <v>64</v>
      </c>
      <c r="D317">
        <v>328</v>
      </c>
      <c r="E317">
        <v>27</v>
      </c>
      <c r="F317" t="s">
        <v>14</v>
      </c>
      <c r="I317" s="3">
        <v>15.72</v>
      </c>
      <c r="J317" s="9">
        <v>0.23474801061007958</v>
      </c>
      <c r="K317" s="11">
        <v>140</v>
      </c>
      <c r="L317" s="3">
        <f t="shared" si="9"/>
        <v>16.733365190771298</v>
      </c>
      <c r="M317" s="9"/>
      <c r="O317">
        <v>328</v>
      </c>
      <c r="R317" s="3">
        <v>13.12</v>
      </c>
      <c r="S317" s="9">
        <v>0.24504084014002334</v>
      </c>
      <c r="T317" s="11">
        <v>134</v>
      </c>
      <c r="U317" s="3">
        <f t="shared" si="8"/>
        <v>14.03686595342983</v>
      </c>
      <c r="V317" s="11"/>
      <c r="W317" s="9"/>
      <c r="X317">
        <v>328</v>
      </c>
      <c r="AA317" s="3">
        <v>11.1</v>
      </c>
      <c r="AB317" s="9">
        <v>0.25127334465195245</v>
      </c>
    </row>
    <row r="318" spans="1:30" x14ac:dyDescent="0.25">
      <c r="A318" t="s">
        <v>47</v>
      </c>
      <c r="B318" t="s">
        <v>0</v>
      </c>
      <c r="C318">
        <v>64</v>
      </c>
      <c r="D318">
        <v>329</v>
      </c>
      <c r="E318">
        <v>14</v>
      </c>
      <c r="F318" t="s">
        <v>25</v>
      </c>
      <c r="G318">
        <v>630</v>
      </c>
      <c r="H318">
        <v>167</v>
      </c>
      <c r="I318" s="3">
        <v>14.52</v>
      </c>
      <c r="J318" s="9">
        <v>0.225752508361204</v>
      </c>
      <c r="K318" s="11">
        <v>93</v>
      </c>
      <c r="L318" s="3">
        <f t="shared" si="9"/>
        <v>15.115170500897372</v>
      </c>
      <c r="M318" s="9"/>
      <c r="O318">
        <v>329</v>
      </c>
      <c r="P318">
        <v>914</v>
      </c>
      <c r="Q318">
        <v>238</v>
      </c>
      <c r="R318" s="3">
        <v>9.48</v>
      </c>
      <c r="S318" s="9">
        <v>0.23356009070294784</v>
      </c>
      <c r="T318" s="11">
        <v>159</v>
      </c>
      <c r="U318" s="3">
        <f t="shared" si="8"/>
        <v>10.677703263333477</v>
      </c>
      <c r="V318" s="11"/>
      <c r="W318" s="9"/>
      <c r="X318">
        <v>329</v>
      </c>
      <c r="Y318">
        <v>580</v>
      </c>
      <c r="Z318">
        <v>159</v>
      </c>
      <c r="AA318" s="3">
        <v>9.34</v>
      </c>
      <c r="AB318" s="9">
        <v>0.23175182481751824</v>
      </c>
    </row>
    <row r="319" spans="1:30" x14ac:dyDescent="0.25">
      <c r="A319" t="s">
        <v>47</v>
      </c>
      <c r="B319" t="s">
        <v>0</v>
      </c>
      <c r="C319">
        <v>64</v>
      </c>
      <c r="D319">
        <v>330</v>
      </c>
      <c r="E319">
        <v>28</v>
      </c>
      <c r="F319" t="s">
        <v>13</v>
      </c>
      <c r="I319" s="3">
        <v>15.94</v>
      </c>
      <c r="J319" s="9">
        <v>0.225752508361204</v>
      </c>
      <c r="K319" s="11">
        <v>79</v>
      </c>
      <c r="L319" s="3">
        <f t="shared" si="9"/>
        <v>16.398573992494697</v>
      </c>
      <c r="M319" s="9"/>
      <c r="O319">
        <v>330</v>
      </c>
      <c r="R319" s="3">
        <v>11.02</v>
      </c>
      <c r="S319" s="9">
        <v>0.23356009070294784</v>
      </c>
      <c r="T319" s="11">
        <v>197</v>
      </c>
      <c r="U319" s="3">
        <f t="shared" si="8"/>
        <v>12.576071168897823</v>
      </c>
      <c r="V319" s="11"/>
      <c r="W319" s="9"/>
      <c r="X319">
        <v>330</v>
      </c>
      <c r="AA319" s="3">
        <v>11.86</v>
      </c>
      <c r="AB319" s="9">
        <v>0.23175182481751824</v>
      </c>
    </row>
    <row r="320" spans="1:30" x14ac:dyDescent="0.25">
      <c r="A320" t="s">
        <v>47</v>
      </c>
      <c r="B320" t="s">
        <v>0</v>
      </c>
      <c r="C320">
        <v>64</v>
      </c>
      <c r="D320">
        <v>331</v>
      </c>
      <c r="E320">
        <v>36</v>
      </c>
      <c r="F320" t="s">
        <v>27</v>
      </c>
      <c r="I320" s="3">
        <v>14.38</v>
      </c>
      <c r="J320" s="9">
        <v>0.225752508361204</v>
      </c>
      <c r="K320" s="11">
        <v>116</v>
      </c>
      <c r="L320" s="3">
        <f t="shared" si="9"/>
        <v>15.199579050416055</v>
      </c>
      <c r="M320" s="9"/>
      <c r="O320">
        <v>331</v>
      </c>
      <c r="R320" s="3">
        <v>10.92</v>
      </c>
      <c r="S320" s="9">
        <v>0.23356009070294784</v>
      </c>
      <c r="T320" s="11">
        <v>138</v>
      </c>
      <c r="U320" s="3">
        <f t="shared" si="8"/>
        <v>11.91965784183739</v>
      </c>
      <c r="V320" s="11"/>
      <c r="W320" s="9"/>
      <c r="X320">
        <v>331</v>
      </c>
      <c r="AA320" s="3">
        <v>11.36</v>
      </c>
      <c r="AB320" s="9">
        <v>0.23175182481751824</v>
      </c>
    </row>
    <row r="321" spans="1:30" x14ac:dyDescent="0.25">
      <c r="A321" t="s">
        <v>47</v>
      </c>
      <c r="B321" t="s">
        <v>0</v>
      </c>
      <c r="C321">
        <v>64</v>
      </c>
      <c r="D321">
        <v>332</v>
      </c>
      <c r="E321">
        <v>29</v>
      </c>
      <c r="F321" t="s">
        <v>11</v>
      </c>
      <c r="I321" s="3">
        <v>14.66</v>
      </c>
      <c r="J321" s="9">
        <v>0.225752508361204</v>
      </c>
      <c r="K321" s="11">
        <v>104</v>
      </c>
      <c r="L321" s="3">
        <f t="shared" si="9"/>
        <v>15.362496328928048</v>
      </c>
      <c r="M321" s="9"/>
      <c r="O321">
        <v>332</v>
      </c>
      <c r="R321" s="3">
        <v>13.56</v>
      </c>
      <c r="S321" s="9">
        <v>0.23356009070294784</v>
      </c>
      <c r="T321" s="11">
        <v>127</v>
      </c>
      <c r="U321" s="3">
        <f t="shared" si="8"/>
        <v>14.455919763910869</v>
      </c>
      <c r="V321" s="11"/>
      <c r="W321" s="9"/>
      <c r="X321">
        <v>332</v>
      </c>
      <c r="AA321" s="3">
        <v>8.94</v>
      </c>
      <c r="AB321" s="9">
        <v>0.23175182481751824</v>
      </c>
    </row>
    <row r="322" spans="1:30" x14ac:dyDescent="0.25">
      <c r="A322" t="s">
        <v>47</v>
      </c>
      <c r="B322" t="s">
        <v>0</v>
      </c>
      <c r="C322">
        <v>64</v>
      </c>
      <c r="D322">
        <v>333</v>
      </c>
      <c r="E322">
        <v>31</v>
      </c>
      <c r="F322" t="s">
        <v>29</v>
      </c>
      <c r="G322">
        <v>754</v>
      </c>
      <c r="H322">
        <v>195</v>
      </c>
      <c r="I322" s="3">
        <v>15.42</v>
      </c>
      <c r="J322" s="9">
        <v>0.2257617728531856</v>
      </c>
      <c r="K322" s="11">
        <v>109</v>
      </c>
      <c r="L322" s="3">
        <f t="shared" si="9"/>
        <v>16.171249966217129</v>
      </c>
      <c r="M322" s="9"/>
      <c r="O322">
        <v>333</v>
      </c>
      <c r="P322">
        <v>702</v>
      </c>
      <c r="Q322">
        <v>209</v>
      </c>
      <c r="R322" s="3">
        <v>13.1</v>
      </c>
      <c r="S322" s="9">
        <v>0.26417910447761195</v>
      </c>
      <c r="T322" s="11">
        <v>107</v>
      </c>
      <c r="U322" s="3">
        <f t="shared" si="8"/>
        <v>13.725326663182258</v>
      </c>
      <c r="V322" s="11"/>
      <c r="W322" s="9"/>
      <c r="X322">
        <v>333</v>
      </c>
      <c r="Y322">
        <v>625</v>
      </c>
      <c r="Z322">
        <v>169</v>
      </c>
      <c r="AA322" s="3">
        <v>12.08</v>
      </c>
      <c r="AB322" s="9">
        <v>0.23102866779089376</v>
      </c>
    </row>
    <row r="323" spans="1:30" x14ac:dyDescent="0.25">
      <c r="A323" t="s">
        <v>47</v>
      </c>
      <c r="B323" t="s">
        <v>0</v>
      </c>
      <c r="C323">
        <v>64</v>
      </c>
      <c r="D323">
        <v>334</v>
      </c>
      <c r="E323">
        <v>23</v>
      </c>
      <c r="F323" t="s">
        <v>36</v>
      </c>
      <c r="I323" s="3">
        <v>14.5</v>
      </c>
      <c r="J323" s="9">
        <v>0.2257617728531856</v>
      </c>
      <c r="K323" s="11">
        <v>85</v>
      </c>
      <c r="L323" s="3">
        <f t="shared" si="9"/>
        <v>15.01709413259101</v>
      </c>
      <c r="M323" s="9"/>
      <c r="O323">
        <v>334</v>
      </c>
      <c r="R323" s="3">
        <v>12.06</v>
      </c>
      <c r="S323" s="9">
        <v>0.26417910447761195</v>
      </c>
      <c r="T323" s="11">
        <v>145</v>
      </c>
      <c r="U323" s="3">
        <f t="shared" si="8"/>
        <v>13.002158839194605</v>
      </c>
      <c r="V323" s="11"/>
      <c r="W323" s="9"/>
      <c r="X323">
        <v>334</v>
      </c>
      <c r="AA323" s="3">
        <v>10.9</v>
      </c>
      <c r="AB323" s="9">
        <v>0.23102866779089376</v>
      </c>
    </row>
    <row r="324" spans="1:30" x14ac:dyDescent="0.25">
      <c r="A324" t="s">
        <v>47</v>
      </c>
      <c r="B324" t="s">
        <v>0</v>
      </c>
      <c r="C324">
        <v>64</v>
      </c>
      <c r="D324">
        <v>335</v>
      </c>
      <c r="E324">
        <v>1</v>
      </c>
      <c r="F324" t="s">
        <v>6</v>
      </c>
      <c r="I324" s="3">
        <v>17.32</v>
      </c>
      <c r="J324" s="9">
        <v>0.2257617728531856</v>
      </c>
      <c r="K324" s="11">
        <v>117</v>
      </c>
      <c r="L324" s="3">
        <f t="shared" si="9"/>
        <v>18.149301910759171</v>
      </c>
      <c r="M324" s="9"/>
      <c r="O324">
        <v>335</v>
      </c>
      <c r="R324" s="3">
        <v>14.08</v>
      </c>
      <c r="S324" s="9">
        <v>0.26417910447761195</v>
      </c>
      <c r="T324" s="11">
        <v>204</v>
      </c>
      <c r="U324" s="3">
        <f t="shared" si="8"/>
        <v>15.514082480897981</v>
      </c>
      <c r="V324" s="11"/>
      <c r="W324" s="9"/>
      <c r="X324">
        <v>335</v>
      </c>
      <c r="AA324" s="3">
        <v>11.04</v>
      </c>
      <c r="AB324" s="9">
        <v>0.23102866779089376</v>
      </c>
    </row>
    <row r="325" spans="1:30" x14ac:dyDescent="0.25">
      <c r="A325" t="s">
        <v>47</v>
      </c>
      <c r="B325" t="s">
        <v>0</v>
      </c>
      <c r="C325">
        <v>64</v>
      </c>
      <c r="D325">
        <v>336</v>
      </c>
      <c r="E325">
        <v>22</v>
      </c>
      <c r="F325" t="s">
        <v>7</v>
      </c>
      <c r="I325" s="3">
        <v>16.48</v>
      </c>
      <c r="J325" s="9">
        <v>0.2257617728531856</v>
      </c>
      <c r="K325" s="11">
        <v>91</v>
      </c>
      <c r="L325" s="3">
        <f t="shared" si="9"/>
        <v>17.055633090997542</v>
      </c>
      <c r="M325" s="9"/>
      <c r="O325">
        <v>336</v>
      </c>
      <c r="R325" s="3">
        <v>14.42</v>
      </c>
      <c r="S325" s="9">
        <v>0.26417910447761195</v>
      </c>
      <c r="T325" s="11">
        <v>101</v>
      </c>
      <c r="U325" s="3">
        <f t="shared" si="8"/>
        <v>14.995300530127679</v>
      </c>
      <c r="V325" s="11"/>
      <c r="W325" s="9"/>
      <c r="X325">
        <v>336</v>
      </c>
      <c r="AA325" s="3">
        <v>9.6</v>
      </c>
      <c r="AB325" s="9">
        <v>0.23102866779089376</v>
      </c>
    </row>
    <row r="326" spans="1:30" x14ac:dyDescent="0.25">
      <c r="A326" t="s">
        <v>47</v>
      </c>
      <c r="B326" t="s">
        <v>0</v>
      </c>
      <c r="C326">
        <v>64</v>
      </c>
      <c r="D326">
        <v>337</v>
      </c>
      <c r="E326">
        <v>25</v>
      </c>
      <c r="F326" t="s">
        <v>8</v>
      </c>
      <c r="G326">
        <v>859</v>
      </c>
      <c r="H326">
        <v>216</v>
      </c>
      <c r="I326" s="3">
        <v>13.76</v>
      </c>
      <c r="J326" s="9">
        <v>0.22249093107617895</v>
      </c>
      <c r="K326" s="11">
        <v>163</v>
      </c>
      <c r="L326" s="3">
        <f t="shared" si="9"/>
        <v>15.056889963608505</v>
      </c>
      <c r="M326" s="9"/>
      <c r="O326">
        <v>337</v>
      </c>
      <c r="P326">
        <v>545</v>
      </c>
      <c r="Q326">
        <v>154</v>
      </c>
      <c r="R326" s="3">
        <v>12.14</v>
      </c>
      <c r="S326" s="9">
        <v>0.23781676413255359</v>
      </c>
      <c r="T326" s="11">
        <v>158</v>
      </c>
      <c r="U326" s="3">
        <f t="shared" si="8"/>
        <v>13.307003683108254</v>
      </c>
      <c r="V326" s="11"/>
      <c r="W326" s="9"/>
      <c r="X326">
        <v>337</v>
      </c>
      <c r="Y326">
        <v>670</v>
      </c>
      <c r="Z326">
        <v>186</v>
      </c>
      <c r="AA326" s="3">
        <v>8.2200000000000006</v>
      </c>
      <c r="AB326" s="9">
        <v>0.2413793103448276</v>
      </c>
    </row>
    <row r="327" spans="1:30" x14ac:dyDescent="0.25">
      <c r="A327" t="s">
        <v>47</v>
      </c>
      <c r="B327" t="s">
        <v>0</v>
      </c>
      <c r="C327">
        <v>64</v>
      </c>
      <c r="D327">
        <v>338</v>
      </c>
      <c r="E327">
        <v>18</v>
      </c>
      <c r="F327" t="s">
        <v>18</v>
      </c>
      <c r="I327" s="3">
        <v>16.5</v>
      </c>
      <c r="J327" s="9">
        <v>0.22249093107617895</v>
      </c>
      <c r="K327" s="11">
        <v>129</v>
      </c>
      <c r="L327" s="3">
        <f t="shared" si="9"/>
        <v>17.460292568473474</v>
      </c>
      <c r="M327" s="9"/>
      <c r="O327">
        <v>338</v>
      </c>
      <c r="R327" s="3">
        <v>11.72</v>
      </c>
      <c r="S327" s="9">
        <v>0.23781676413255359</v>
      </c>
      <c r="T327" s="11">
        <v>216</v>
      </c>
      <c r="U327" s="3">
        <f t="shared" si="8"/>
        <v>13.42419585469777</v>
      </c>
      <c r="V327" s="11"/>
      <c r="W327" s="9"/>
      <c r="X327">
        <v>338</v>
      </c>
      <c r="AA327" s="3">
        <v>11.38</v>
      </c>
      <c r="AB327" s="9">
        <v>0.2413793103448276</v>
      </c>
    </row>
    <row r="328" spans="1:30" x14ac:dyDescent="0.25">
      <c r="A328" t="s">
        <v>47</v>
      </c>
      <c r="B328" t="s">
        <v>0</v>
      </c>
      <c r="C328">
        <v>64</v>
      </c>
      <c r="D328">
        <v>339</v>
      </c>
      <c r="E328">
        <v>21</v>
      </c>
      <c r="F328" t="s">
        <v>22</v>
      </c>
      <c r="I328" s="3">
        <v>13.66</v>
      </c>
      <c r="J328" s="9">
        <v>0.22249093107617895</v>
      </c>
      <c r="K328" s="11">
        <v>96</v>
      </c>
      <c r="L328" s="3">
        <f t="shared" si="9"/>
        <v>14.293595096724765</v>
      </c>
      <c r="M328" s="9"/>
      <c r="O328">
        <v>339</v>
      </c>
      <c r="R328" s="3">
        <v>11.8</v>
      </c>
      <c r="S328" s="9">
        <v>0.23781676413255359</v>
      </c>
      <c r="T328" s="11">
        <v>114</v>
      </c>
      <c r="U328" s="3">
        <f t="shared" si="8"/>
        <v>12.559478587419658</v>
      </c>
      <c r="V328" s="11"/>
      <c r="W328" s="9"/>
      <c r="X328">
        <v>339</v>
      </c>
      <c r="AA328" s="3">
        <v>9.8000000000000007</v>
      </c>
      <c r="AB328" s="9">
        <v>0.2413793103448276</v>
      </c>
    </row>
    <row r="329" spans="1:30" x14ac:dyDescent="0.25">
      <c r="A329" t="s">
        <v>47</v>
      </c>
      <c r="B329" t="s">
        <v>0</v>
      </c>
      <c r="C329">
        <v>64</v>
      </c>
      <c r="D329">
        <v>340</v>
      </c>
      <c r="E329">
        <v>6</v>
      </c>
      <c r="F329" t="s">
        <v>1</v>
      </c>
      <c r="I329" s="3">
        <v>15.36</v>
      </c>
      <c r="J329" s="9">
        <v>0.22249093107617895</v>
      </c>
      <c r="K329" s="11">
        <v>119</v>
      </c>
      <c r="L329" s="3">
        <f t="shared" si="9"/>
        <v>16.221293334610227</v>
      </c>
      <c r="M329" s="9"/>
      <c r="O329">
        <v>340</v>
      </c>
      <c r="R329" s="3">
        <v>13.58</v>
      </c>
      <c r="S329" s="9">
        <v>0.23781676413255359</v>
      </c>
      <c r="T329" s="11">
        <v>150</v>
      </c>
      <c r="U329" s="3">
        <f t="shared" si="8"/>
        <v>14.672908211164874</v>
      </c>
      <c r="V329" s="11"/>
      <c r="W329" s="9"/>
      <c r="X329">
        <v>340</v>
      </c>
      <c r="AA329" s="3">
        <v>10.1</v>
      </c>
      <c r="AB329" s="9">
        <v>0.2413793103448276</v>
      </c>
    </row>
    <row r="330" spans="1:30" x14ac:dyDescent="0.25">
      <c r="A330" t="s">
        <v>47</v>
      </c>
      <c r="B330" t="s">
        <v>0</v>
      </c>
      <c r="C330">
        <v>64</v>
      </c>
      <c r="D330">
        <v>341</v>
      </c>
      <c r="E330">
        <v>19</v>
      </c>
      <c r="F330" t="s">
        <v>10</v>
      </c>
      <c r="G330">
        <v>740</v>
      </c>
      <c r="H330">
        <v>183</v>
      </c>
      <c r="I330" s="3">
        <v>16.3</v>
      </c>
      <c r="J330" s="9">
        <v>0.2132768361581921</v>
      </c>
      <c r="K330" s="11">
        <v>143</v>
      </c>
      <c r="L330" s="3">
        <f t="shared" si="9"/>
        <v>17.446366368118564</v>
      </c>
      <c r="M330" s="9"/>
      <c r="O330">
        <v>341</v>
      </c>
      <c r="P330">
        <v>779</v>
      </c>
      <c r="Q330">
        <v>211</v>
      </c>
      <c r="R330" s="3">
        <v>14.38</v>
      </c>
      <c r="S330" s="9">
        <v>0.23962516733601072</v>
      </c>
      <c r="T330" s="11">
        <v>139</v>
      </c>
      <c r="U330" s="3">
        <f t="shared" si="8"/>
        <v>15.363547855191594</v>
      </c>
      <c r="V330" s="11"/>
      <c r="W330" s="9"/>
      <c r="X330">
        <v>341</v>
      </c>
      <c r="Y330">
        <v>610</v>
      </c>
      <c r="Z330">
        <v>172</v>
      </c>
      <c r="AA330" s="3">
        <v>9.56</v>
      </c>
      <c r="AB330" s="9">
        <v>0.24221453287197231</v>
      </c>
    </row>
    <row r="331" spans="1:30" x14ac:dyDescent="0.25">
      <c r="A331" t="s">
        <v>47</v>
      </c>
      <c r="B331" t="s">
        <v>0</v>
      </c>
      <c r="C331">
        <v>64</v>
      </c>
      <c r="D331">
        <v>342</v>
      </c>
      <c r="E331">
        <v>24</v>
      </c>
      <c r="F331" t="s">
        <v>32</v>
      </c>
      <c r="I331" s="3">
        <v>16.84</v>
      </c>
      <c r="J331" s="9">
        <v>0.2132768361581921</v>
      </c>
      <c r="K331" s="11">
        <v>95</v>
      </c>
      <c r="L331" s="3">
        <f t="shared" si="9"/>
        <v>17.490640371094319</v>
      </c>
      <c r="M331" s="9"/>
      <c r="O331">
        <v>342</v>
      </c>
      <c r="R331" s="3">
        <v>13.64</v>
      </c>
      <c r="S331" s="9">
        <v>0.23962516733601072</v>
      </c>
      <c r="T331" s="11">
        <v>131</v>
      </c>
      <c r="U331" s="3">
        <f t="shared" si="8"/>
        <v>14.550011566952969</v>
      </c>
      <c r="V331" s="11"/>
      <c r="W331" s="9"/>
      <c r="X331">
        <v>342</v>
      </c>
      <c r="AA331" s="3">
        <v>11.14</v>
      </c>
      <c r="AB331" s="9">
        <v>0.24221453287197231</v>
      </c>
    </row>
    <row r="332" spans="1:30" x14ac:dyDescent="0.25">
      <c r="A332" t="s">
        <v>47</v>
      </c>
      <c r="B332" t="s">
        <v>0</v>
      </c>
      <c r="C332">
        <v>64</v>
      </c>
      <c r="D332">
        <v>343</v>
      </c>
      <c r="E332">
        <v>35</v>
      </c>
      <c r="F332" t="s">
        <v>26</v>
      </c>
      <c r="I332" s="3">
        <v>17.62</v>
      </c>
      <c r="J332" s="9">
        <v>0.2132768361581921</v>
      </c>
      <c r="K332" s="11">
        <v>117</v>
      </c>
      <c r="L332" s="3">
        <f t="shared" si="9"/>
        <v>18.497848119730431</v>
      </c>
      <c r="M332" s="9"/>
      <c r="O332">
        <v>343</v>
      </c>
      <c r="R332" s="3">
        <v>14.46</v>
      </c>
      <c r="S332" s="9">
        <v>0.23962516733601072</v>
      </c>
      <c r="T332" s="11">
        <v>160</v>
      </c>
      <c r="U332" s="3">
        <f t="shared" si="8"/>
        <v>15.636580611817982</v>
      </c>
      <c r="V332" s="11"/>
      <c r="W332" s="9"/>
      <c r="X332">
        <v>343</v>
      </c>
      <c r="AA332" s="3">
        <v>10.52</v>
      </c>
      <c r="AB332" s="9">
        <v>0.24221453287197231</v>
      </c>
    </row>
    <row r="333" spans="1:30" x14ac:dyDescent="0.25">
      <c r="A333" t="s">
        <v>47</v>
      </c>
      <c r="B333" t="s">
        <v>0</v>
      </c>
      <c r="C333">
        <v>64</v>
      </c>
      <c r="D333">
        <v>344</v>
      </c>
      <c r="E333">
        <v>32</v>
      </c>
      <c r="F333" t="s">
        <v>30</v>
      </c>
      <c r="I333" s="3">
        <v>14.3</v>
      </c>
      <c r="J333" s="9">
        <v>0.2132768361581921</v>
      </c>
      <c r="K333" s="11">
        <v>121</v>
      </c>
      <c r="L333" s="3">
        <f t="shared" si="9"/>
        <v>15.219158619482453</v>
      </c>
      <c r="M333" s="9"/>
      <c r="O333">
        <v>344</v>
      </c>
      <c r="R333" s="3">
        <v>13</v>
      </c>
      <c r="S333" s="9">
        <v>0.23962516733601072</v>
      </c>
      <c r="T333" s="11">
        <v>102</v>
      </c>
      <c r="U333" s="3">
        <f t="shared" si="8"/>
        <v>13.643442522087959</v>
      </c>
      <c r="V333" s="11"/>
      <c r="W333" s="9"/>
      <c r="X333">
        <v>344</v>
      </c>
      <c r="AA333" s="3">
        <v>10.06</v>
      </c>
      <c r="AB333" s="9">
        <v>0.24221453287197231</v>
      </c>
    </row>
    <row r="334" spans="1:30" x14ac:dyDescent="0.25">
      <c r="A334" t="s">
        <v>47</v>
      </c>
      <c r="B334" t="s">
        <v>0</v>
      </c>
      <c r="C334">
        <v>64</v>
      </c>
      <c r="D334">
        <v>345</v>
      </c>
      <c r="E334">
        <v>9</v>
      </c>
      <c r="F334" t="s">
        <v>19</v>
      </c>
      <c r="G334">
        <v>542</v>
      </c>
      <c r="H334">
        <v>151</v>
      </c>
      <c r="I334" s="3">
        <v>15.96</v>
      </c>
      <c r="J334" s="9">
        <v>0.23333333333333334</v>
      </c>
      <c r="K334" s="11">
        <v>173</v>
      </c>
      <c r="L334" s="3">
        <f t="shared" si="9"/>
        <v>17.291025802391442</v>
      </c>
      <c r="M334" s="9"/>
      <c r="O334">
        <v>345</v>
      </c>
      <c r="P334">
        <v>669</v>
      </c>
      <c r="Q334">
        <v>191</v>
      </c>
      <c r="R334" s="3">
        <v>12.7</v>
      </c>
      <c r="S334" s="9">
        <v>0.24960753532182103</v>
      </c>
      <c r="T334" s="11">
        <v>150</v>
      </c>
      <c r="U334" s="3">
        <f t="shared" si="8"/>
        <v>13.741282243094227</v>
      </c>
      <c r="V334" s="11"/>
      <c r="W334" s="9"/>
      <c r="X334">
        <v>345</v>
      </c>
      <c r="Y334">
        <v>672</v>
      </c>
      <c r="Z334">
        <v>181</v>
      </c>
      <c r="AA334" s="3">
        <v>10.039999999999999</v>
      </c>
      <c r="AB334" s="9">
        <v>0.23281250000000001</v>
      </c>
      <c r="AC334">
        <v>75</v>
      </c>
      <c r="AD334" s="3">
        <f>(AA334+(((AC334-32)/454)/AB334))</f>
        <v>10.446823758980575</v>
      </c>
    </row>
    <row r="335" spans="1:30" x14ac:dyDescent="0.25">
      <c r="A335" t="s">
        <v>47</v>
      </c>
      <c r="B335" t="s">
        <v>0</v>
      </c>
      <c r="C335">
        <v>64</v>
      </c>
      <c r="D335">
        <v>346</v>
      </c>
      <c r="E335">
        <v>33</v>
      </c>
      <c r="F335" t="s">
        <v>23</v>
      </c>
      <c r="I335" s="3">
        <v>18.559999999999999</v>
      </c>
      <c r="J335" s="9">
        <v>0.23333333333333334</v>
      </c>
      <c r="K335" s="11">
        <v>137</v>
      </c>
      <c r="L335" s="3">
        <f t="shared" si="9"/>
        <v>19.551189427312774</v>
      </c>
      <c r="M335" s="9"/>
      <c r="O335">
        <v>346</v>
      </c>
      <c r="R335" s="3">
        <v>15.4</v>
      </c>
      <c r="S335" s="9">
        <v>0.24960753532182103</v>
      </c>
      <c r="T335" s="11">
        <v>202</v>
      </c>
      <c r="U335" s="3">
        <f t="shared" si="8"/>
        <v>16.900152384118805</v>
      </c>
      <c r="V335" s="11"/>
      <c r="W335" s="9"/>
      <c r="X335">
        <v>346</v>
      </c>
      <c r="AA335" s="3">
        <v>12.2</v>
      </c>
      <c r="AB335" s="9">
        <v>0.23281250000000001</v>
      </c>
    </row>
    <row r="336" spans="1:30" x14ac:dyDescent="0.25">
      <c r="A336" t="s">
        <v>47</v>
      </c>
      <c r="B336" t="s">
        <v>0</v>
      </c>
      <c r="C336">
        <v>64</v>
      </c>
      <c r="D336">
        <v>347</v>
      </c>
      <c r="E336">
        <v>26</v>
      </c>
      <c r="F336" t="s">
        <v>21</v>
      </c>
      <c r="I336" s="3">
        <v>17.38</v>
      </c>
      <c r="J336" s="9">
        <v>0.23333333333333334</v>
      </c>
      <c r="K336" s="11">
        <v>144</v>
      </c>
      <c r="L336" s="3">
        <f t="shared" si="9"/>
        <v>18.43726872246696</v>
      </c>
      <c r="M336" s="9"/>
      <c r="O336">
        <v>347</v>
      </c>
      <c r="R336" s="3">
        <v>11.4</v>
      </c>
      <c r="S336" s="9">
        <v>0.24960753532182103</v>
      </c>
      <c r="T336" s="11">
        <v>140</v>
      </c>
      <c r="U336" s="3">
        <f t="shared" si="8"/>
        <v>12.353037985204887</v>
      </c>
      <c r="V336" s="11"/>
      <c r="W336" s="9"/>
      <c r="X336">
        <v>347</v>
      </c>
      <c r="AA336" s="3">
        <v>10.98</v>
      </c>
      <c r="AB336" s="9">
        <v>0.23281250000000001</v>
      </c>
    </row>
    <row r="337" spans="1:30" x14ac:dyDescent="0.25">
      <c r="A337" t="s">
        <v>47</v>
      </c>
      <c r="B337" t="s">
        <v>0</v>
      </c>
      <c r="C337">
        <v>64</v>
      </c>
      <c r="D337">
        <v>348</v>
      </c>
      <c r="E337">
        <v>12</v>
      </c>
      <c r="F337" t="s">
        <v>33</v>
      </c>
      <c r="I337" s="3">
        <v>15.94</v>
      </c>
      <c r="J337" s="9">
        <v>0.23333333333333334</v>
      </c>
      <c r="K337" s="11">
        <v>121</v>
      </c>
      <c r="L337" s="3">
        <f t="shared" si="9"/>
        <v>16.780151038388922</v>
      </c>
      <c r="M337" s="9"/>
      <c r="O337">
        <v>348</v>
      </c>
      <c r="R337" s="3">
        <v>12.76</v>
      </c>
      <c r="S337" s="9">
        <v>0.24960753532182103</v>
      </c>
      <c r="T337" s="11">
        <v>115</v>
      </c>
      <c r="U337" s="3">
        <f t="shared" si="8"/>
        <v>13.492427340481534</v>
      </c>
      <c r="V337" s="11"/>
      <c r="W337" s="9"/>
      <c r="X337">
        <v>348</v>
      </c>
      <c r="AA337" s="3">
        <v>10.16</v>
      </c>
      <c r="AB337" s="9">
        <v>0.23281250000000001</v>
      </c>
      <c r="AC337">
        <v>88</v>
      </c>
      <c r="AD337" s="3">
        <f>(AA337+(((AC337-32)/454)/AB337))</f>
        <v>10.689816988439819</v>
      </c>
    </row>
    <row r="338" spans="1:30" x14ac:dyDescent="0.25">
      <c r="A338" t="s">
        <v>47</v>
      </c>
      <c r="B338" t="s">
        <v>0</v>
      </c>
      <c r="C338">
        <v>64</v>
      </c>
      <c r="D338">
        <v>401</v>
      </c>
      <c r="E338">
        <v>9</v>
      </c>
      <c r="F338" t="s">
        <v>19</v>
      </c>
      <c r="G338">
        <v>497</v>
      </c>
      <c r="H338">
        <v>139</v>
      </c>
      <c r="I338" s="3">
        <v>14.9</v>
      </c>
      <c r="J338" s="9">
        <v>0.23010752688172043</v>
      </c>
      <c r="K338" s="11"/>
      <c r="M338" s="9"/>
      <c r="O338">
        <v>401</v>
      </c>
      <c r="R338" s="3"/>
      <c r="S338" s="9"/>
      <c r="T338" s="11"/>
      <c r="U338" s="9"/>
      <c r="V338" s="11"/>
      <c r="W338" s="9"/>
      <c r="X338">
        <v>401</v>
      </c>
      <c r="Y338">
        <v>985</v>
      </c>
      <c r="Z338">
        <v>238</v>
      </c>
      <c r="AA338" s="3">
        <v>14.08</v>
      </c>
      <c r="AB338" s="9">
        <v>0.21615949632738721</v>
      </c>
    </row>
    <row r="339" spans="1:30" x14ac:dyDescent="0.25">
      <c r="A339" t="s">
        <v>47</v>
      </c>
      <c r="B339" t="s">
        <v>0</v>
      </c>
      <c r="C339">
        <v>64</v>
      </c>
      <c r="D339">
        <v>402</v>
      </c>
      <c r="E339">
        <v>11</v>
      </c>
      <c r="F339" t="s">
        <v>15</v>
      </c>
      <c r="I339" s="3">
        <v>18.079999999999998</v>
      </c>
      <c r="J339" s="9">
        <v>0.23010752688172043</v>
      </c>
      <c r="K339" s="11"/>
      <c r="M339" s="9"/>
      <c r="O339">
        <v>402</v>
      </c>
      <c r="R339" s="3"/>
      <c r="S339" s="9"/>
      <c r="T339" s="11"/>
      <c r="U339" s="9"/>
      <c r="V339" s="11"/>
      <c r="W339" s="9"/>
      <c r="X339">
        <v>402</v>
      </c>
      <c r="AA339" s="3">
        <v>13.94</v>
      </c>
      <c r="AB339" s="9">
        <v>0.21615949632738721</v>
      </c>
    </row>
    <row r="340" spans="1:30" x14ac:dyDescent="0.25">
      <c r="A340" t="s">
        <v>47</v>
      </c>
      <c r="B340" t="s">
        <v>0</v>
      </c>
      <c r="C340">
        <v>64</v>
      </c>
      <c r="D340">
        <v>403</v>
      </c>
      <c r="E340">
        <v>10</v>
      </c>
      <c r="F340" t="s">
        <v>35</v>
      </c>
      <c r="I340" s="3">
        <v>16.3</v>
      </c>
      <c r="J340" s="9">
        <v>0.23010752688172043</v>
      </c>
      <c r="K340" s="11"/>
      <c r="M340" s="9"/>
      <c r="O340">
        <v>403</v>
      </c>
      <c r="R340" s="3"/>
      <c r="S340" s="9"/>
      <c r="T340" s="11"/>
      <c r="U340" s="9"/>
      <c r="V340" s="11"/>
      <c r="W340" s="9"/>
      <c r="X340">
        <v>403</v>
      </c>
      <c r="AA340" s="3">
        <v>12.44</v>
      </c>
      <c r="AB340" s="9">
        <v>0.21615949632738721</v>
      </c>
    </row>
    <row r="341" spans="1:30" x14ac:dyDescent="0.25">
      <c r="A341" t="s">
        <v>47</v>
      </c>
      <c r="B341" t="s">
        <v>0</v>
      </c>
      <c r="C341">
        <v>64</v>
      </c>
      <c r="D341">
        <v>404</v>
      </c>
      <c r="E341">
        <v>12</v>
      </c>
      <c r="F341" t="s">
        <v>33</v>
      </c>
      <c r="I341" s="3">
        <v>17.98</v>
      </c>
      <c r="J341" s="9">
        <v>0.23010752688172043</v>
      </c>
      <c r="K341" s="11"/>
      <c r="M341" s="9"/>
      <c r="O341">
        <v>404</v>
      </c>
      <c r="R341" s="3"/>
      <c r="S341" s="9"/>
      <c r="T341" s="11"/>
      <c r="U341" s="9"/>
      <c r="V341" s="11"/>
      <c r="W341" s="9"/>
      <c r="X341">
        <v>404</v>
      </c>
      <c r="Y341" t="s">
        <v>48</v>
      </c>
      <c r="AA341" s="3">
        <v>13.5</v>
      </c>
      <c r="AB341" s="9">
        <v>0.21615949632738721</v>
      </c>
    </row>
    <row r="342" spans="1:30" x14ac:dyDescent="0.25">
      <c r="A342" t="s">
        <v>47</v>
      </c>
      <c r="B342" t="s">
        <v>0</v>
      </c>
      <c r="C342">
        <v>64</v>
      </c>
      <c r="D342">
        <v>405</v>
      </c>
      <c r="E342">
        <v>9</v>
      </c>
      <c r="F342" t="s">
        <v>19</v>
      </c>
      <c r="G342">
        <v>623</v>
      </c>
      <c r="H342">
        <v>151</v>
      </c>
      <c r="I342" s="3">
        <v>14.94</v>
      </c>
      <c r="J342" s="9">
        <v>0.20135363790186125</v>
      </c>
      <c r="K342" s="11"/>
      <c r="M342" s="9"/>
      <c r="O342">
        <v>405</v>
      </c>
      <c r="R342" s="3"/>
      <c r="S342" s="9"/>
      <c r="T342" s="11"/>
      <c r="U342" s="9"/>
      <c r="V342" s="11"/>
      <c r="W342" s="9"/>
      <c r="X342">
        <v>405</v>
      </c>
      <c r="Y342">
        <v>863</v>
      </c>
      <c r="Z342">
        <v>209</v>
      </c>
      <c r="AA342" s="3">
        <v>12.82</v>
      </c>
      <c r="AB342" s="9">
        <v>0.21299638989169675</v>
      </c>
    </row>
    <row r="343" spans="1:30" x14ac:dyDescent="0.25">
      <c r="A343" t="s">
        <v>47</v>
      </c>
      <c r="B343" t="s">
        <v>0</v>
      </c>
      <c r="C343">
        <v>64</v>
      </c>
      <c r="D343">
        <v>406</v>
      </c>
      <c r="E343">
        <v>12</v>
      </c>
      <c r="F343" t="s">
        <v>33</v>
      </c>
      <c r="I343" s="3">
        <v>15.76</v>
      </c>
      <c r="J343" s="9">
        <v>0.20135363790186125</v>
      </c>
      <c r="K343" s="11"/>
      <c r="M343" s="9"/>
      <c r="O343">
        <v>406</v>
      </c>
      <c r="R343" s="3"/>
      <c r="S343" s="9"/>
      <c r="T343" s="11"/>
      <c r="U343" s="9"/>
      <c r="V343" s="11"/>
      <c r="W343" s="9"/>
      <c r="X343">
        <v>406</v>
      </c>
      <c r="AA343" s="3">
        <v>12.8</v>
      </c>
      <c r="AB343" s="9">
        <v>0.21299638989169675</v>
      </c>
    </row>
    <row r="344" spans="1:30" x14ac:dyDescent="0.25">
      <c r="A344" t="s">
        <v>47</v>
      </c>
      <c r="B344" t="s">
        <v>0</v>
      </c>
      <c r="C344">
        <v>64</v>
      </c>
      <c r="D344">
        <v>407</v>
      </c>
      <c r="E344">
        <v>10</v>
      </c>
      <c r="F344" t="s">
        <v>35</v>
      </c>
      <c r="I344" s="3">
        <v>14.6</v>
      </c>
      <c r="J344" s="9">
        <v>0.20135363790186125</v>
      </c>
      <c r="K344" s="11"/>
      <c r="M344" s="9"/>
      <c r="O344">
        <v>407</v>
      </c>
      <c r="R344" s="3"/>
      <c r="S344" s="9"/>
      <c r="T344" s="11"/>
      <c r="U344" s="9"/>
      <c r="V344" s="11"/>
      <c r="W344" s="9"/>
      <c r="X344">
        <v>407</v>
      </c>
      <c r="Y344" t="s">
        <v>48</v>
      </c>
      <c r="AA344" s="3">
        <v>12.14</v>
      </c>
      <c r="AB344" s="9">
        <v>0.21299638989169675</v>
      </c>
    </row>
    <row r="345" spans="1:30" x14ac:dyDescent="0.25">
      <c r="A345" t="s">
        <v>47</v>
      </c>
      <c r="B345" t="s">
        <v>0</v>
      </c>
      <c r="C345">
        <v>64</v>
      </c>
      <c r="D345">
        <v>408</v>
      </c>
      <c r="E345">
        <v>8</v>
      </c>
      <c r="F345" t="s">
        <v>31</v>
      </c>
      <c r="I345" s="3">
        <v>13.08</v>
      </c>
      <c r="J345" s="9">
        <v>0.20135363790186125</v>
      </c>
      <c r="K345" s="11"/>
      <c r="M345" s="9"/>
      <c r="O345">
        <v>408</v>
      </c>
      <c r="R345" s="3"/>
      <c r="S345" s="9"/>
      <c r="T345" s="11"/>
      <c r="U345" s="9"/>
      <c r="V345" s="11"/>
      <c r="W345" s="9"/>
      <c r="X345">
        <v>408</v>
      </c>
      <c r="AA345" s="3">
        <v>12.14</v>
      </c>
      <c r="AB345" s="9">
        <v>0.21299638989169675</v>
      </c>
    </row>
    <row r="346" spans="1:30" x14ac:dyDescent="0.25">
      <c r="A346" t="s">
        <v>47</v>
      </c>
      <c r="B346" t="s">
        <v>0</v>
      </c>
      <c r="C346">
        <v>64</v>
      </c>
      <c r="D346">
        <v>409</v>
      </c>
      <c r="E346">
        <v>11</v>
      </c>
      <c r="F346" t="s">
        <v>15</v>
      </c>
      <c r="G346">
        <v>765</v>
      </c>
      <c r="H346">
        <v>188</v>
      </c>
      <c r="I346" s="3">
        <v>13.12</v>
      </c>
      <c r="J346" s="9">
        <v>0.21282401091405184</v>
      </c>
      <c r="K346" s="11"/>
      <c r="M346" s="9"/>
      <c r="O346">
        <v>409</v>
      </c>
      <c r="R346" s="3"/>
      <c r="S346" s="9"/>
      <c r="T346" s="11"/>
      <c r="U346" s="9"/>
      <c r="V346" s="11"/>
      <c r="W346" s="9"/>
      <c r="X346">
        <v>409</v>
      </c>
      <c r="Y346">
        <v>668</v>
      </c>
      <c r="Z346">
        <v>184</v>
      </c>
      <c r="AA346" s="3">
        <v>12.5</v>
      </c>
      <c r="AB346" s="9">
        <v>0.2389937106918239</v>
      </c>
    </row>
    <row r="347" spans="1:30" x14ac:dyDescent="0.25">
      <c r="A347" t="s">
        <v>47</v>
      </c>
      <c r="B347" t="s">
        <v>0</v>
      </c>
      <c r="C347">
        <v>64</v>
      </c>
      <c r="D347">
        <v>410</v>
      </c>
      <c r="E347">
        <v>8</v>
      </c>
      <c r="F347" t="s">
        <v>31</v>
      </c>
      <c r="I347" s="3">
        <v>15.4</v>
      </c>
      <c r="J347" s="9">
        <v>0.21282401091405184</v>
      </c>
      <c r="K347" s="11"/>
      <c r="M347" s="9"/>
      <c r="O347">
        <v>410</v>
      </c>
      <c r="R347" s="3"/>
      <c r="S347" s="9"/>
      <c r="T347" s="11"/>
      <c r="U347" s="9"/>
      <c r="V347" s="11"/>
      <c r="W347" s="9"/>
      <c r="X347">
        <v>410</v>
      </c>
      <c r="AA347" s="3">
        <v>11.88</v>
      </c>
      <c r="AB347" s="9">
        <v>0.2389937106918239</v>
      </c>
    </row>
    <row r="348" spans="1:30" x14ac:dyDescent="0.25">
      <c r="A348" t="s">
        <v>47</v>
      </c>
      <c r="B348" t="s">
        <v>0</v>
      </c>
      <c r="C348">
        <v>64</v>
      </c>
      <c r="D348">
        <v>411</v>
      </c>
      <c r="E348">
        <v>7</v>
      </c>
      <c r="F348" t="s">
        <v>16</v>
      </c>
      <c r="I348" s="3">
        <v>14.74</v>
      </c>
      <c r="J348" s="9">
        <v>0.21282401091405184</v>
      </c>
      <c r="K348" s="11"/>
      <c r="M348" s="9"/>
      <c r="O348">
        <v>411</v>
      </c>
      <c r="R348" s="3"/>
      <c r="S348" s="9"/>
      <c r="T348" s="11"/>
      <c r="U348" s="9"/>
      <c r="V348" s="11"/>
      <c r="W348" s="9"/>
      <c r="X348">
        <v>411</v>
      </c>
      <c r="AA348" s="3">
        <v>11.6</v>
      </c>
      <c r="AB348" s="9">
        <v>0.2389937106918239</v>
      </c>
    </row>
    <row r="349" spans="1:30" x14ac:dyDescent="0.25">
      <c r="A349" t="s">
        <v>47</v>
      </c>
      <c r="B349" t="s">
        <v>0</v>
      </c>
      <c r="C349">
        <v>64</v>
      </c>
      <c r="D349">
        <v>412</v>
      </c>
      <c r="E349">
        <v>7</v>
      </c>
      <c r="F349" t="s">
        <v>16</v>
      </c>
      <c r="I349" s="3">
        <v>15.66</v>
      </c>
      <c r="J349" s="9">
        <v>0.21282401091405184</v>
      </c>
      <c r="K349" s="11"/>
      <c r="M349" s="9"/>
      <c r="O349">
        <v>412</v>
      </c>
      <c r="R349" s="3"/>
      <c r="S349" s="9"/>
      <c r="T349" s="11"/>
      <c r="U349" s="9"/>
      <c r="V349" s="11"/>
      <c r="W349" s="9"/>
      <c r="X349">
        <v>412</v>
      </c>
      <c r="AA349" s="3">
        <v>11.3</v>
      </c>
      <c r="AB349" s="9">
        <v>0.2389937106918239</v>
      </c>
    </row>
    <row r="350" spans="1:30" x14ac:dyDescent="0.25">
      <c r="A350" t="s">
        <v>47</v>
      </c>
      <c r="B350" t="s">
        <v>0</v>
      </c>
      <c r="C350">
        <v>64</v>
      </c>
      <c r="D350">
        <v>413</v>
      </c>
      <c r="E350">
        <v>35</v>
      </c>
      <c r="F350" t="s">
        <v>26</v>
      </c>
      <c r="G350">
        <v>721</v>
      </c>
      <c r="H350">
        <v>178</v>
      </c>
      <c r="I350" s="3">
        <v>16.22</v>
      </c>
      <c r="J350" s="9">
        <v>0.21190130624092887</v>
      </c>
      <c r="K350" s="11"/>
      <c r="M350" s="9"/>
      <c r="O350">
        <v>413</v>
      </c>
      <c r="P350">
        <v>736</v>
      </c>
      <c r="Q350">
        <v>214</v>
      </c>
      <c r="R350" s="3">
        <v>14</v>
      </c>
      <c r="S350" s="9">
        <v>0.25852272727272729</v>
      </c>
      <c r="T350" s="11"/>
      <c r="U350" s="9"/>
      <c r="V350" s="11"/>
      <c r="W350" s="9"/>
      <c r="X350">
        <v>413</v>
      </c>
      <c r="Y350">
        <v>809</v>
      </c>
      <c r="Z350">
        <v>201</v>
      </c>
      <c r="AA350" s="3">
        <v>13.52</v>
      </c>
      <c r="AB350" s="9">
        <v>0.21750321750321749</v>
      </c>
    </row>
    <row r="351" spans="1:30" x14ac:dyDescent="0.25">
      <c r="A351" t="s">
        <v>47</v>
      </c>
      <c r="B351" t="s">
        <v>0</v>
      </c>
      <c r="C351">
        <v>64</v>
      </c>
      <c r="D351">
        <v>414</v>
      </c>
      <c r="E351">
        <v>23</v>
      </c>
      <c r="F351" t="s">
        <v>36</v>
      </c>
      <c r="I351" s="3">
        <v>15.16</v>
      </c>
      <c r="J351" s="9">
        <v>0.21190130624092887</v>
      </c>
      <c r="K351" s="11"/>
      <c r="M351" s="9"/>
      <c r="O351">
        <v>414</v>
      </c>
      <c r="R351" s="3">
        <v>13.06</v>
      </c>
      <c r="S351" s="9">
        <v>0.25852272727272729</v>
      </c>
      <c r="T351" s="11"/>
      <c r="U351" s="9"/>
      <c r="V351" s="11"/>
      <c r="W351" s="9"/>
      <c r="X351">
        <v>414</v>
      </c>
      <c r="AA351" s="3">
        <v>12.9</v>
      </c>
      <c r="AB351" s="9">
        <v>0.21750321750321749</v>
      </c>
    </row>
    <row r="352" spans="1:30" x14ac:dyDescent="0.25">
      <c r="A352" t="s">
        <v>47</v>
      </c>
      <c r="B352" t="s">
        <v>0</v>
      </c>
      <c r="C352">
        <v>64</v>
      </c>
      <c r="D352">
        <v>415</v>
      </c>
      <c r="E352">
        <v>8</v>
      </c>
      <c r="F352" t="s">
        <v>31</v>
      </c>
      <c r="I352" s="3">
        <v>16.440000000000001</v>
      </c>
      <c r="J352" s="9">
        <v>0.21190130624092887</v>
      </c>
      <c r="K352" s="11"/>
      <c r="M352" s="9"/>
      <c r="O352">
        <v>415</v>
      </c>
      <c r="R352" s="3">
        <v>14.3</v>
      </c>
      <c r="S352" s="9">
        <v>0.25852272727272729</v>
      </c>
      <c r="T352" s="11"/>
      <c r="U352" s="9"/>
      <c r="V352" s="11"/>
      <c r="W352" s="9"/>
      <c r="X352">
        <v>415</v>
      </c>
      <c r="AA352" s="3">
        <v>12.04</v>
      </c>
      <c r="AB352" s="9">
        <v>0.21750321750321749</v>
      </c>
    </row>
    <row r="353" spans="1:28" x14ac:dyDescent="0.25">
      <c r="A353" t="s">
        <v>47</v>
      </c>
      <c r="B353" t="s">
        <v>0</v>
      </c>
      <c r="C353">
        <v>64</v>
      </c>
      <c r="D353">
        <v>416</v>
      </c>
      <c r="E353">
        <v>34</v>
      </c>
      <c r="F353" t="s">
        <v>34</v>
      </c>
      <c r="I353" s="3">
        <v>17.82</v>
      </c>
      <c r="J353" s="9">
        <v>0.21190130624092887</v>
      </c>
      <c r="K353" s="11"/>
      <c r="M353" s="9"/>
      <c r="O353">
        <v>416</v>
      </c>
      <c r="R353" s="3">
        <v>14.88</v>
      </c>
      <c r="S353" s="9">
        <v>0.25852272727272729</v>
      </c>
      <c r="T353" s="11"/>
      <c r="U353" s="9"/>
      <c r="V353" s="11"/>
      <c r="W353" s="9"/>
      <c r="X353">
        <v>416</v>
      </c>
      <c r="AA353" s="3">
        <v>12.88</v>
      </c>
      <c r="AB353" s="9">
        <v>0.21750321750321749</v>
      </c>
    </row>
    <row r="354" spans="1:28" x14ac:dyDescent="0.25">
      <c r="A354" t="s">
        <v>47</v>
      </c>
      <c r="B354" t="s">
        <v>0</v>
      </c>
      <c r="C354">
        <v>64</v>
      </c>
      <c r="D354">
        <v>417</v>
      </c>
      <c r="E354">
        <v>12</v>
      </c>
      <c r="F354" t="s">
        <v>33</v>
      </c>
      <c r="G354">
        <v>796</v>
      </c>
      <c r="H354">
        <v>199</v>
      </c>
      <c r="I354" s="3">
        <v>15.86</v>
      </c>
      <c r="J354" s="9">
        <v>0.21858638743455497</v>
      </c>
      <c r="K354" s="11"/>
      <c r="M354" s="9"/>
      <c r="O354">
        <v>417</v>
      </c>
      <c r="P354">
        <v>666</v>
      </c>
      <c r="Q354">
        <v>191</v>
      </c>
      <c r="R354" s="3">
        <v>13.9</v>
      </c>
      <c r="S354" s="9">
        <v>0.25078864353312302</v>
      </c>
      <c r="T354" s="11"/>
      <c r="U354" s="9"/>
      <c r="V354" s="11"/>
      <c r="W354" s="9"/>
      <c r="X354">
        <v>417</v>
      </c>
      <c r="Y354">
        <v>757</v>
      </c>
      <c r="Z354">
        <v>192</v>
      </c>
      <c r="AA354" s="3">
        <v>12.36</v>
      </c>
      <c r="AB354" s="9">
        <v>0.22068965517241379</v>
      </c>
    </row>
    <row r="355" spans="1:28" x14ac:dyDescent="0.25">
      <c r="A355" t="s">
        <v>47</v>
      </c>
      <c r="B355" t="s">
        <v>0</v>
      </c>
      <c r="C355">
        <v>64</v>
      </c>
      <c r="D355">
        <v>418</v>
      </c>
      <c r="E355">
        <v>17</v>
      </c>
      <c r="F355" t="s">
        <v>17</v>
      </c>
      <c r="I355" s="3">
        <v>14.44</v>
      </c>
      <c r="J355" s="9">
        <v>0.21858638743455497</v>
      </c>
      <c r="K355" s="11"/>
      <c r="M355" s="9"/>
      <c r="O355">
        <v>418</v>
      </c>
      <c r="R355" s="3">
        <v>12.98</v>
      </c>
      <c r="S355" s="9">
        <v>0.25078864353312302</v>
      </c>
      <c r="T355" s="11"/>
      <c r="U355" s="9"/>
      <c r="V355" s="11"/>
      <c r="W355" s="9"/>
      <c r="X355">
        <v>418</v>
      </c>
      <c r="AA355" s="3">
        <v>10.82</v>
      </c>
      <c r="AB355" s="9">
        <v>0.22068965517241379</v>
      </c>
    </row>
    <row r="356" spans="1:28" x14ac:dyDescent="0.25">
      <c r="A356" t="s">
        <v>47</v>
      </c>
      <c r="B356" t="s">
        <v>0</v>
      </c>
      <c r="C356">
        <v>64</v>
      </c>
      <c r="D356">
        <v>419</v>
      </c>
      <c r="E356">
        <v>28</v>
      </c>
      <c r="F356" t="s">
        <v>13</v>
      </c>
      <c r="I356" s="3">
        <v>15.66</v>
      </c>
      <c r="J356" s="9">
        <v>0.21858638743455497</v>
      </c>
      <c r="K356" s="11"/>
      <c r="M356" s="9"/>
      <c r="O356">
        <v>419</v>
      </c>
      <c r="R356" s="3">
        <v>12.2</v>
      </c>
      <c r="S356" s="9">
        <v>0.25078864353312302</v>
      </c>
      <c r="T356" s="11"/>
      <c r="U356" s="9"/>
      <c r="V356" s="11"/>
      <c r="W356" s="9"/>
      <c r="X356">
        <v>419</v>
      </c>
      <c r="AA356" s="3">
        <v>12.48</v>
      </c>
      <c r="AB356" s="9">
        <v>0.22068965517241379</v>
      </c>
    </row>
    <row r="357" spans="1:28" x14ac:dyDescent="0.25">
      <c r="A357" t="s">
        <v>47</v>
      </c>
      <c r="B357" t="s">
        <v>0</v>
      </c>
      <c r="C357">
        <v>64</v>
      </c>
      <c r="D357">
        <v>420</v>
      </c>
      <c r="E357">
        <v>25</v>
      </c>
      <c r="F357" t="s">
        <v>8</v>
      </c>
      <c r="I357" s="3">
        <v>15.26</v>
      </c>
      <c r="J357" s="9">
        <v>0.21858638743455497</v>
      </c>
      <c r="K357" s="11"/>
      <c r="M357" s="9"/>
      <c r="O357">
        <v>420</v>
      </c>
      <c r="R357" s="3">
        <v>13.58</v>
      </c>
      <c r="S357" s="9">
        <v>0.25078864353312302</v>
      </c>
      <c r="T357" s="11"/>
      <c r="U357" s="9"/>
      <c r="V357" s="11"/>
      <c r="W357" s="9"/>
      <c r="X357">
        <v>420</v>
      </c>
      <c r="AA357" s="3">
        <v>10.74</v>
      </c>
      <c r="AB357" s="9">
        <v>0.22068965517241379</v>
      </c>
    </row>
    <row r="358" spans="1:28" x14ac:dyDescent="0.25">
      <c r="A358" t="s">
        <v>47</v>
      </c>
      <c r="B358" t="s">
        <v>0</v>
      </c>
      <c r="C358">
        <v>64</v>
      </c>
      <c r="D358">
        <v>421</v>
      </c>
      <c r="E358">
        <v>16</v>
      </c>
      <c r="F358" t="s">
        <v>12</v>
      </c>
      <c r="G358">
        <v>822</v>
      </c>
      <c r="H358">
        <v>204</v>
      </c>
      <c r="I358" s="3">
        <v>13.52</v>
      </c>
      <c r="J358" s="9">
        <v>0.21772151898734177</v>
      </c>
      <c r="K358" s="11"/>
      <c r="M358" s="9"/>
      <c r="O358">
        <v>421</v>
      </c>
      <c r="P358">
        <v>637</v>
      </c>
      <c r="Q358">
        <v>180</v>
      </c>
      <c r="R358" s="3">
        <v>11.84</v>
      </c>
      <c r="S358" s="9">
        <v>0.24462809917355371</v>
      </c>
      <c r="T358" s="11"/>
      <c r="U358" s="9"/>
      <c r="V358" s="11"/>
      <c r="W358" s="9"/>
      <c r="X358">
        <v>421</v>
      </c>
      <c r="Y358">
        <v>540</v>
      </c>
      <c r="Z358">
        <v>148</v>
      </c>
      <c r="AA358" s="3">
        <v>9.68</v>
      </c>
      <c r="AB358" s="9">
        <v>0.2283464566929134</v>
      </c>
    </row>
    <row r="359" spans="1:28" x14ac:dyDescent="0.25">
      <c r="A359" t="s">
        <v>47</v>
      </c>
      <c r="B359" t="s">
        <v>0</v>
      </c>
      <c r="C359">
        <v>64</v>
      </c>
      <c r="D359">
        <v>422</v>
      </c>
      <c r="E359">
        <v>19</v>
      </c>
      <c r="F359" t="s">
        <v>10</v>
      </c>
      <c r="I359" s="3">
        <v>17.88</v>
      </c>
      <c r="J359" s="9">
        <v>0.21772151898734177</v>
      </c>
      <c r="K359" s="11"/>
      <c r="M359" s="9"/>
      <c r="O359">
        <v>422</v>
      </c>
      <c r="R359" s="3">
        <v>14.7</v>
      </c>
      <c r="S359" s="9">
        <v>0.24462809917355371</v>
      </c>
      <c r="T359" s="11"/>
      <c r="U359" s="9"/>
      <c r="V359" s="11"/>
      <c r="W359" s="9"/>
      <c r="X359">
        <v>422</v>
      </c>
      <c r="AA359" s="3">
        <v>12.74</v>
      </c>
      <c r="AB359" s="9">
        <v>0.2283464566929134</v>
      </c>
    </row>
    <row r="360" spans="1:28" x14ac:dyDescent="0.25">
      <c r="A360" t="s">
        <v>47</v>
      </c>
      <c r="B360" t="s">
        <v>0</v>
      </c>
      <c r="C360">
        <v>64</v>
      </c>
      <c r="D360">
        <v>423</v>
      </c>
      <c r="E360">
        <v>4</v>
      </c>
      <c r="F360" t="s">
        <v>2</v>
      </c>
      <c r="I360" s="3">
        <v>13</v>
      </c>
      <c r="J360" s="9">
        <v>0.21772151898734177</v>
      </c>
      <c r="K360" s="11"/>
      <c r="M360" s="9"/>
      <c r="O360">
        <v>423</v>
      </c>
      <c r="R360" s="3">
        <v>11.18</v>
      </c>
      <c r="S360" s="9">
        <v>0.24462809917355371</v>
      </c>
      <c r="T360" s="11"/>
      <c r="U360" s="9"/>
      <c r="V360" s="11"/>
      <c r="W360" s="9"/>
      <c r="X360">
        <v>423</v>
      </c>
      <c r="AA360" s="3">
        <v>11.1</v>
      </c>
      <c r="AB360" s="9">
        <v>0.2283464566929134</v>
      </c>
    </row>
    <row r="361" spans="1:28" x14ac:dyDescent="0.25">
      <c r="A361" t="s">
        <v>47</v>
      </c>
      <c r="B361" t="s">
        <v>0</v>
      </c>
      <c r="C361">
        <v>64</v>
      </c>
      <c r="D361">
        <v>424</v>
      </c>
      <c r="E361">
        <v>3</v>
      </c>
      <c r="F361" t="s">
        <v>3</v>
      </c>
      <c r="I361" s="3">
        <v>16.579999999999998</v>
      </c>
      <c r="J361" s="9">
        <v>0.21772151898734177</v>
      </c>
      <c r="K361" s="11"/>
      <c r="M361" s="9"/>
      <c r="O361">
        <v>424</v>
      </c>
      <c r="R361" s="3">
        <v>12.98</v>
      </c>
      <c r="S361" s="9">
        <v>0.24462809917355371</v>
      </c>
      <c r="T361" s="11"/>
      <c r="U361" s="9"/>
      <c r="V361" s="11"/>
      <c r="W361" s="9"/>
      <c r="X361">
        <v>424</v>
      </c>
      <c r="AA361" s="3">
        <v>11.38</v>
      </c>
      <c r="AB361" s="9">
        <v>0.2283464566929134</v>
      </c>
    </row>
    <row r="362" spans="1:28" x14ac:dyDescent="0.25">
      <c r="A362" t="s">
        <v>47</v>
      </c>
      <c r="B362" t="s">
        <v>0</v>
      </c>
      <c r="C362">
        <v>64</v>
      </c>
      <c r="D362">
        <v>425</v>
      </c>
      <c r="E362">
        <v>15</v>
      </c>
      <c r="F362" t="s">
        <v>20</v>
      </c>
      <c r="G362">
        <v>682</v>
      </c>
      <c r="H362">
        <v>174</v>
      </c>
      <c r="I362" s="3">
        <v>14.36</v>
      </c>
      <c r="J362" s="9">
        <v>0.21846153846153846</v>
      </c>
      <c r="K362" s="11"/>
      <c r="M362" s="9"/>
      <c r="O362">
        <v>425</v>
      </c>
      <c r="P362">
        <v>693</v>
      </c>
      <c r="Q362">
        <v>198</v>
      </c>
      <c r="R362" s="3">
        <v>13.08</v>
      </c>
      <c r="S362" s="9">
        <v>0.25113464447806355</v>
      </c>
      <c r="T362" s="11"/>
      <c r="U362" s="9"/>
      <c r="V362" s="11"/>
      <c r="W362" s="9"/>
      <c r="X362">
        <v>425</v>
      </c>
      <c r="Y362">
        <v>593</v>
      </c>
      <c r="Z362">
        <v>164</v>
      </c>
      <c r="AA362" s="3">
        <v>12.54</v>
      </c>
      <c r="AB362" s="9">
        <v>0.23529411764705882</v>
      </c>
    </row>
    <row r="363" spans="1:28" x14ac:dyDescent="0.25">
      <c r="A363" t="s">
        <v>47</v>
      </c>
      <c r="B363" t="s">
        <v>0</v>
      </c>
      <c r="C363">
        <v>64</v>
      </c>
      <c r="D363">
        <v>426</v>
      </c>
      <c r="E363">
        <v>9</v>
      </c>
      <c r="F363" t="s">
        <v>19</v>
      </c>
      <c r="I363" s="3">
        <v>13.06</v>
      </c>
      <c r="J363" s="9">
        <v>0.21846153846153846</v>
      </c>
      <c r="K363" s="11"/>
      <c r="M363" s="9"/>
      <c r="O363">
        <v>426</v>
      </c>
      <c r="R363" s="3">
        <v>11.54</v>
      </c>
      <c r="S363" s="9">
        <v>0.25113464447806355</v>
      </c>
      <c r="T363" s="11"/>
      <c r="U363" s="9"/>
      <c r="V363" s="11"/>
      <c r="W363" s="9"/>
      <c r="X363">
        <v>426</v>
      </c>
      <c r="AA363" s="3">
        <v>10.54</v>
      </c>
      <c r="AB363" s="9">
        <v>0.23529411764705882</v>
      </c>
    </row>
    <row r="364" spans="1:28" x14ac:dyDescent="0.25">
      <c r="A364" t="s">
        <v>47</v>
      </c>
      <c r="B364" t="s">
        <v>0</v>
      </c>
      <c r="C364">
        <v>64</v>
      </c>
      <c r="D364">
        <v>427</v>
      </c>
      <c r="E364">
        <v>31</v>
      </c>
      <c r="F364" t="s">
        <v>29</v>
      </c>
      <c r="I364" s="3">
        <v>14.82</v>
      </c>
      <c r="J364" s="9">
        <v>0.21846153846153846</v>
      </c>
      <c r="K364" s="11"/>
      <c r="M364" s="9"/>
      <c r="O364">
        <v>427</v>
      </c>
      <c r="R364" s="3">
        <v>12.44</v>
      </c>
      <c r="S364" s="9">
        <v>0.25113464447806355</v>
      </c>
      <c r="T364" s="11"/>
      <c r="U364" s="9"/>
      <c r="V364" s="11"/>
      <c r="W364" s="9"/>
      <c r="X364">
        <v>427</v>
      </c>
      <c r="AA364" s="3">
        <v>13.26</v>
      </c>
      <c r="AB364" s="9">
        <v>0.23529411764705882</v>
      </c>
    </row>
    <row r="365" spans="1:28" x14ac:dyDescent="0.25">
      <c r="A365" t="s">
        <v>47</v>
      </c>
      <c r="B365" t="s">
        <v>0</v>
      </c>
      <c r="C365">
        <v>64</v>
      </c>
      <c r="D365">
        <v>428</v>
      </c>
      <c r="E365">
        <v>36</v>
      </c>
      <c r="F365" t="s">
        <v>27</v>
      </c>
      <c r="I365" s="3">
        <v>16.86</v>
      </c>
      <c r="J365" s="9">
        <v>0.21846153846153846</v>
      </c>
      <c r="K365" s="11"/>
      <c r="M365" s="9"/>
      <c r="O365">
        <v>428</v>
      </c>
      <c r="R365" s="3">
        <v>11.54</v>
      </c>
      <c r="S365" s="9">
        <v>0.25113464447806355</v>
      </c>
      <c r="T365" s="11"/>
      <c r="U365" s="9"/>
      <c r="V365" s="11"/>
      <c r="W365" s="9"/>
      <c r="X365">
        <v>428</v>
      </c>
      <c r="AA365" s="3">
        <v>12.2</v>
      </c>
      <c r="AB365" s="9">
        <v>0.23529411764705882</v>
      </c>
    </row>
    <row r="366" spans="1:28" x14ac:dyDescent="0.25">
      <c r="A366" t="s">
        <v>47</v>
      </c>
      <c r="B366" t="s">
        <v>0</v>
      </c>
      <c r="C366">
        <v>64</v>
      </c>
      <c r="D366">
        <v>429</v>
      </c>
      <c r="E366">
        <v>24</v>
      </c>
      <c r="F366" t="s">
        <v>32</v>
      </c>
      <c r="G366">
        <v>586</v>
      </c>
      <c r="H366">
        <v>159</v>
      </c>
      <c r="I366" s="3">
        <v>17.36</v>
      </c>
      <c r="J366" s="9">
        <v>0.2292418772563177</v>
      </c>
      <c r="K366" s="11"/>
      <c r="M366" s="9"/>
      <c r="O366">
        <v>429</v>
      </c>
      <c r="P366">
        <v>762</v>
      </c>
      <c r="Q366">
        <v>222</v>
      </c>
      <c r="R366" s="3">
        <v>11.9</v>
      </c>
      <c r="S366" s="9">
        <v>0.26027397260273971</v>
      </c>
      <c r="T366" s="11"/>
      <c r="U366" s="9"/>
      <c r="V366" s="11"/>
      <c r="W366" s="9"/>
      <c r="X366">
        <v>429</v>
      </c>
      <c r="Y366">
        <v>753</v>
      </c>
      <c r="Z366">
        <v>197</v>
      </c>
      <c r="AA366" s="3">
        <v>12.6</v>
      </c>
      <c r="AB366" s="9">
        <v>0.2288488210818308</v>
      </c>
    </row>
    <row r="367" spans="1:28" x14ac:dyDescent="0.25">
      <c r="A367" t="s">
        <v>47</v>
      </c>
      <c r="B367" t="s">
        <v>0</v>
      </c>
      <c r="C367">
        <v>64</v>
      </c>
      <c r="D367">
        <v>430</v>
      </c>
      <c r="E367">
        <v>5</v>
      </c>
      <c r="F367" t="s">
        <v>5</v>
      </c>
      <c r="I367" s="3">
        <v>14.94</v>
      </c>
      <c r="J367" s="9">
        <v>0.2292418772563177</v>
      </c>
      <c r="K367" s="11"/>
      <c r="M367" s="9"/>
      <c r="O367">
        <v>430</v>
      </c>
      <c r="R367" s="3">
        <v>11.9</v>
      </c>
      <c r="S367" s="9">
        <v>0.26027397260273971</v>
      </c>
      <c r="T367" s="11"/>
      <c r="U367" s="9"/>
      <c r="V367" s="11"/>
      <c r="W367" s="9"/>
      <c r="X367">
        <v>430</v>
      </c>
      <c r="AA367" s="3">
        <v>10.66</v>
      </c>
      <c r="AB367" s="9">
        <v>0.2288488210818308</v>
      </c>
    </row>
    <row r="368" spans="1:28" x14ac:dyDescent="0.25">
      <c r="A368" t="s">
        <v>47</v>
      </c>
      <c r="B368" t="s">
        <v>0</v>
      </c>
      <c r="C368">
        <v>64</v>
      </c>
      <c r="D368">
        <v>431</v>
      </c>
      <c r="E368">
        <v>33</v>
      </c>
      <c r="F368" t="s">
        <v>23</v>
      </c>
      <c r="I368" s="3">
        <v>17.2</v>
      </c>
      <c r="J368" s="9">
        <v>0.2292418772563177</v>
      </c>
      <c r="K368" s="11"/>
      <c r="M368" s="9"/>
      <c r="O368">
        <v>431</v>
      </c>
      <c r="R368" s="3">
        <v>12.92</v>
      </c>
      <c r="S368" s="9">
        <v>0.26027397260273971</v>
      </c>
      <c r="T368" s="11"/>
      <c r="U368" s="9"/>
      <c r="V368" s="11"/>
      <c r="W368" s="9"/>
      <c r="X368">
        <v>431</v>
      </c>
      <c r="AA368" s="3">
        <v>12.28</v>
      </c>
      <c r="AB368" s="9">
        <v>0.2288488210818308</v>
      </c>
    </row>
    <row r="369" spans="1:28" x14ac:dyDescent="0.25">
      <c r="A369" t="s">
        <v>47</v>
      </c>
      <c r="B369" t="s">
        <v>0</v>
      </c>
      <c r="C369">
        <v>64</v>
      </c>
      <c r="D369">
        <v>432</v>
      </c>
      <c r="E369">
        <v>5</v>
      </c>
      <c r="F369" t="s">
        <v>5</v>
      </c>
      <c r="I369" s="3">
        <v>13.86</v>
      </c>
      <c r="J369" s="9">
        <v>0.2292418772563177</v>
      </c>
      <c r="K369" s="11"/>
      <c r="M369" s="9"/>
      <c r="O369">
        <v>432</v>
      </c>
      <c r="R369" s="3">
        <v>11.82</v>
      </c>
      <c r="S369" s="9">
        <v>0.26027397260273971</v>
      </c>
      <c r="T369" s="11"/>
      <c r="U369" s="9"/>
      <c r="V369" s="11"/>
      <c r="W369" s="9"/>
      <c r="X369">
        <v>432</v>
      </c>
      <c r="AA369" s="3">
        <v>10.66</v>
      </c>
      <c r="AB369" s="9">
        <v>0.2288488210818308</v>
      </c>
    </row>
    <row r="370" spans="1:28" x14ac:dyDescent="0.25">
      <c r="A370" t="s">
        <v>47</v>
      </c>
      <c r="B370" t="s">
        <v>0</v>
      </c>
      <c r="C370">
        <v>64</v>
      </c>
      <c r="D370">
        <v>433</v>
      </c>
      <c r="E370">
        <v>6</v>
      </c>
      <c r="F370" t="s">
        <v>1</v>
      </c>
      <c r="G370">
        <v>827</v>
      </c>
      <c r="H370">
        <v>213</v>
      </c>
      <c r="I370" s="3">
        <v>13.74</v>
      </c>
      <c r="J370" s="9">
        <v>0.22767295597484277</v>
      </c>
      <c r="K370" s="11"/>
      <c r="M370" s="9"/>
      <c r="O370">
        <v>433</v>
      </c>
      <c r="P370">
        <v>535</v>
      </c>
      <c r="Q370">
        <v>162</v>
      </c>
      <c r="R370" s="3">
        <v>11.5</v>
      </c>
      <c r="S370" s="9">
        <v>0.25844930417495032</v>
      </c>
      <c r="T370" s="11"/>
      <c r="U370" s="9"/>
      <c r="V370" s="11"/>
      <c r="W370" s="9"/>
      <c r="X370">
        <v>433</v>
      </c>
      <c r="Y370">
        <v>860</v>
      </c>
      <c r="Z370">
        <v>229</v>
      </c>
      <c r="AA370" s="3">
        <v>9.86</v>
      </c>
      <c r="AB370" s="9">
        <v>0.23792270531400966</v>
      </c>
    </row>
    <row r="371" spans="1:28" x14ac:dyDescent="0.25">
      <c r="A371" t="s">
        <v>47</v>
      </c>
      <c r="B371" t="s">
        <v>0</v>
      </c>
      <c r="C371">
        <v>64</v>
      </c>
      <c r="D371">
        <v>434</v>
      </c>
      <c r="E371">
        <v>22</v>
      </c>
      <c r="F371" t="s">
        <v>7</v>
      </c>
      <c r="I371" s="3">
        <v>16.100000000000001</v>
      </c>
      <c r="J371" s="9">
        <v>0.22767295597484277</v>
      </c>
      <c r="K371" s="11"/>
      <c r="M371" s="9"/>
      <c r="O371">
        <v>434</v>
      </c>
      <c r="R371" s="3">
        <v>13.1</v>
      </c>
      <c r="S371" s="9">
        <v>0.25844930417495032</v>
      </c>
      <c r="T371" s="11"/>
      <c r="U371" s="9"/>
      <c r="V371" s="11"/>
      <c r="W371" s="9"/>
      <c r="X371">
        <v>434</v>
      </c>
      <c r="AA371" s="3">
        <v>11.36</v>
      </c>
      <c r="AB371" s="9">
        <v>0.23792270531400966</v>
      </c>
    </row>
    <row r="372" spans="1:28" x14ac:dyDescent="0.25">
      <c r="A372" t="s">
        <v>47</v>
      </c>
      <c r="B372" t="s">
        <v>0</v>
      </c>
      <c r="C372">
        <v>64</v>
      </c>
      <c r="D372">
        <v>435</v>
      </c>
      <c r="E372">
        <v>11</v>
      </c>
      <c r="F372" t="s">
        <v>15</v>
      </c>
      <c r="I372" s="3">
        <v>14.28</v>
      </c>
      <c r="J372" s="9">
        <v>0.22767295597484277</v>
      </c>
      <c r="K372" s="11"/>
      <c r="M372" s="9"/>
      <c r="O372">
        <v>435</v>
      </c>
      <c r="R372" s="3">
        <v>12.46</v>
      </c>
      <c r="S372" s="9">
        <v>0.25844930417495032</v>
      </c>
      <c r="T372" s="11"/>
      <c r="U372" s="9"/>
      <c r="V372" s="11"/>
      <c r="W372" s="9"/>
      <c r="X372">
        <v>435</v>
      </c>
      <c r="AA372" s="3">
        <v>10.6</v>
      </c>
      <c r="AB372" s="9">
        <v>0.23792270531400966</v>
      </c>
    </row>
    <row r="373" spans="1:28" x14ac:dyDescent="0.25">
      <c r="A373" t="s">
        <v>47</v>
      </c>
      <c r="B373" t="s">
        <v>0</v>
      </c>
      <c r="C373">
        <v>64</v>
      </c>
      <c r="D373">
        <v>436</v>
      </c>
      <c r="E373">
        <v>13</v>
      </c>
      <c r="F373" t="s">
        <v>24</v>
      </c>
      <c r="I373" s="3">
        <v>16.059999999999999</v>
      </c>
      <c r="J373" s="9">
        <v>0.22767295597484277</v>
      </c>
      <c r="K373" s="11"/>
      <c r="M373" s="9"/>
      <c r="O373">
        <v>436</v>
      </c>
      <c r="R373" s="3">
        <v>13.7</v>
      </c>
      <c r="S373" s="9">
        <v>0.25844930417495032</v>
      </c>
      <c r="T373" s="11"/>
      <c r="U373" s="9"/>
      <c r="V373" s="11"/>
      <c r="W373" s="9"/>
      <c r="X373">
        <v>436</v>
      </c>
      <c r="AA373" s="3">
        <v>10.28</v>
      </c>
      <c r="AB373" s="9">
        <v>0.23792270531400966</v>
      </c>
    </row>
    <row r="374" spans="1:28" x14ac:dyDescent="0.25">
      <c r="A374" t="s">
        <v>47</v>
      </c>
      <c r="B374" t="s">
        <v>0</v>
      </c>
      <c r="C374">
        <v>64</v>
      </c>
      <c r="D374">
        <v>437</v>
      </c>
      <c r="E374">
        <v>10</v>
      </c>
      <c r="F374" t="s">
        <v>35</v>
      </c>
      <c r="G374">
        <v>683</v>
      </c>
      <c r="H374">
        <v>185</v>
      </c>
      <c r="I374" s="3">
        <v>12.48</v>
      </c>
      <c r="J374" s="9">
        <v>0.23502304147465439</v>
      </c>
      <c r="K374" s="11"/>
      <c r="M374" s="9"/>
      <c r="O374">
        <v>437</v>
      </c>
      <c r="P374">
        <v>567</v>
      </c>
      <c r="Q374">
        <v>169</v>
      </c>
      <c r="R374" s="3">
        <v>11.12</v>
      </c>
      <c r="S374" s="9">
        <v>0.2560747663551402</v>
      </c>
      <c r="T374" s="11"/>
      <c r="U374" s="9"/>
      <c r="V374" s="11"/>
      <c r="W374" s="9"/>
      <c r="X374">
        <v>437</v>
      </c>
      <c r="Y374">
        <v>692</v>
      </c>
      <c r="Z374">
        <v>182</v>
      </c>
      <c r="AA374" s="3">
        <v>10.199999999999999</v>
      </c>
      <c r="AB374" s="9">
        <v>0.22727272727272727</v>
      </c>
    </row>
    <row r="375" spans="1:28" x14ac:dyDescent="0.25">
      <c r="A375" t="s">
        <v>47</v>
      </c>
      <c r="B375" t="s">
        <v>0</v>
      </c>
      <c r="C375">
        <v>64</v>
      </c>
      <c r="D375">
        <v>438</v>
      </c>
      <c r="E375">
        <v>26</v>
      </c>
      <c r="F375" t="s">
        <v>21</v>
      </c>
      <c r="I375" s="3">
        <v>18.78</v>
      </c>
      <c r="J375" s="9">
        <v>0.23502304147465439</v>
      </c>
      <c r="K375" s="11"/>
      <c r="M375" s="9"/>
      <c r="O375">
        <v>438</v>
      </c>
      <c r="R375" s="3">
        <v>12.96</v>
      </c>
      <c r="S375" s="9">
        <v>0.2560747663551402</v>
      </c>
      <c r="T375" s="11"/>
      <c r="U375" s="9"/>
      <c r="V375" s="11"/>
      <c r="W375" s="9"/>
      <c r="X375">
        <v>438</v>
      </c>
      <c r="AA375" s="3">
        <v>11.62</v>
      </c>
      <c r="AB375" s="9">
        <v>0.22727272727272727</v>
      </c>
    </row>
    <row r="376" spans="1:28" x14ac:dyDescent="0.25">
      <c r="A376" t="s">
        <v>47</v>
      </c>
      <c r="B376" t="s">
        <v>0</v>
      </c>
      <c r="C376">
        <v>64</v>
      </c>
      <c r="D376">
        <v>439</v>
      </c>
      <c r="E376">
        <v>32</v>
      </c>
      <c r="F376" t="s">
        <v>30</v>
      </c>
      <c r="I376" s="3">
        <v>13.9</v>
      </c>
      <c r="J376" s="9">
        <v>0.23502304147465439</v>
      </c>
      <c r="K376" s="11"/>
      <c r="M376" s="9"/>
      <c r="O376">
        <v>439</v>
      </c>
      <c r="R376" s="3">
        <v>11.82</v>
      </c>
      <c r="S376" s="9">
        <v>0.2560747663551402</v>
      </c>
      <c r="T376" s="11"/>
      <c r="U376" s="9"/>
      <c r="V376" s="11"/>
      <c r="W376" s="9"/>
      <c r="X376">
        <v>439</v>
      </c>
      <c r="AA376" s="3">
        <v>9.34</v>
      </c>
      <c r="AB376" s="9">
        <v>0.22727272727272727</v>
      </c>
    </row>
    <row r="377" spans="1:28" x14ac:dyDescent="0.25">
      <c r="A377" t="s">
        <v>47</v>
      </c>
      <c r="B377" t="s">
        <v>0</v>
      </c>
      <c r="C377">
        <v>64</v>
      </c>
      <c r="D377">
        <v>440</v>
      </c>
      <c r="E377">
        <v>2</v>
      </c>
      <c r="F377" t="s">
        <v>4</v>
      </c>
      <c r="I377" s="3">
        <v>18.22</v>
      </c>
      <c r="J377" s="9">
        <v>0.23502304147465439</v>
      </c>
      <c r="K377" s="11"/>
      <c r="M377" s="9"/>
      <c r="O377">
        <v>440</v>
      </c>
      <c r="R377" s="3">
        <v>14.3</v>
      </c>
      <c r="S377" s="9">
        <v>0.2560747663551402</v>
      </c>
      <c r="T377" s="11"/>
      <c r="U377" s="9"/>
      <c r="V377" s="11"/>
      <c r="W377" s="9"/>
      <c r="X377">
        <v>440</v>
      </c>
      <c r="AA377" s="3">
        <v>12.64</v>
      </c>
      <c r="AB377" s="9">
        <v>0.22727272727272727</v>
      </c>
    </row>
    <row r="378" spans="1:28" x14ac:dyDescent="0.25">
      <c r="A378" t="s">
        <v>47</v>
      </c>
      <c r="B378" t="s">
        <v>0</v>
      </c>
      <c r="C378">
        <v>64</v>
      </c>
      <c r="D378">
        <v>441</v>
      </c>
      <c r="E378">
        <v>27</v>
      </c>
      <c r="F378" t="s">
        <v>14</v>
      </c>
      <c r="G378">
        <v>555</v>
      </c>
      <c r="H378">
        <v>156</v>
      </c>
      <c r="I378" s="3">
        <v>15.3</v>
      </c>
      <c r="J378" s="9">
        <v>0.23709369024856597</v>
      </c>
      <c r="K378" s="11"/>
      <c r="M378" s="9"/>
      <c r="O378">
        <v>441</v>
      </c>
      <c r="P378">
        <v>464</v>
      </c>
      <c r="Q378">
        <v>143</v>
      </c>
      <c r="R378" s="3">
        <v>13.32</v>
      </c>
      <c r="S378" s="9">
        <v>0.25694444444444442</v>
      </c>
      <c r="T378" s="11"/>
      <c r="U378" s="9"/>
      <c r="V378" s="11"/>
      <c r="W378" s="9"/>
      <c r="X378">
        <v>441</v>
      </c>
      <c r="Y378">
        <v>712</v>
      </c>
      <c r="Z378">
        <v>197</v>
      </c>
      <c r="AA378" s="3">
        <v>10.7</v>
      </c>
      <c r="AB378" s="9">
        <v>0.24264705882352941</v>
      </c>
    </row>
    <row r="379" spans="1:28" x14ac:dyDescent="0.25">
      <c r="A379" t="s">
        <v>47</v>
      </c>
      <c r="B379" t="s">
        <v>0</v>
      </c>
      <c r="C379">
        <v>64</v>
      </c>
      <c r="D379">
        <v>442</v>
      </c>
      <c r="E379">
        <v>14</v>
      </c>
      <c r="F379" t="s">
        <v>25</v>
      </c>
      <c r="I379" s="3">
        <v>17.059999999999999</v>
      </c>
      <c r="J379" s="9">
        <v>0.23709369024856597</v>
      </c>
      <c r="K379" s="11"/>
      <c r="M379" s="9"/>
      <c r="O379">
        <v>442</v>
      </c>
      <c r="R379" s="3">
        <v>12.32</v>
      </c>
      <c r="S379" s="9">
        <v>0.25694444444444442</v>
      </c>
      <c r="T379" s="11"/>
      <c r="U379" s="9"/>
      <c r="V379" s="11"/>
      <c r="W379" s="9"/>
      <c r="X379">
        <v>442</v>
      </c>
      <c r="AA379" s="3">
        <v>10</v>
      </c>
      <c r="AB379" s="9">
        <v>0.24264705882352941</v>
      </c>
    </row>
    <row r="380" spans="1:28" x14ac:dyDescent="0.25">
      <c r="A380" t="s">
        <v>47</v>
      </c>
      <c r="B380" t="s">
        <v>0</v>
      </c>
      <c r="C380">
        <v>64</v>
      </c>
      <c r="D380">
        <v>443</v>
      </c>
      <c r="E380">
        <v>29</v>
      </c>
      <c r="F380" t="s">
        <v>11</v>
      </c>
      <c r="I380" s="3">
        <v>15.58</v>
      </c>
      <c r="J380" s="9">
        <v>0.23709369024856597</v>
      </c>
      <c r="K380" s="11"/>
      <c r="M380" s="9"/>
      <c r="O380">
        <v>443</v>
      </c>
      <c r="R380" s="3">
        <v>14.04</v>
      </c>
      <c r="S380" s="9">
        <v>0.25694444444444442</v>
      </c>
      <c r="T380" s="11"/>
      <c r="U380" s="9"/>
      <c r="V380" s="11"/>
      <c r="W380" s="9"/>
      <c r="X380">
        <v>443</v>
      </c>
      <c r="AA380" s="3">
        <v>8.8000000000000007</v>
      </c>
      <c r="AB380" s="9">
        <v>0.24264705882352941</v>
      </c>
    </row>
    <row r="381" spans="1:28" x14ac:dyDescent="0.25">
      <c r="A381" t="s">
        <v>47</v>
      </c>
      <c r="B381" t="s">
        <v>0</v>
      </c>
      <c r="C381">
        <v>64</v>
      </c>
      <c r="D381">
        <v>444</v>
      </c>
      <c r="E381">
        <v>30</v>
      </c>
      <c r="F381" t="s">
        <v>9</v>
      </c>
      <c r="I381" s="3">
        <v>15.46</v>
      </c>
      <c r="J381" s="9">
        <v>0.23709369024856597</v>
      </c>
      <c r="K381" s="11"/>
      <c r="M381" s="9"/>
      <c r="O381">
        <v>444</v>
      </c>
      <c r="R381" s="3">
        <v>12.84</v>
      </c>
      <c r="S381" s="9">
        <v>0.25694444444444442</v>
      </c>
      <c r="T381" s="11"/>
      <c r="U381" s="9"/>
      <c r="V381" s="11"/>
      <c r="W381" s="9"/>
      <c r="X381">
        <v>444</v>
      </c>
      <c r="AA381" s="3">
        <v>10.08</v>
      </c>
      <c r="AB381" s="9">
        <v>0.24264705882352941</v>
      </c>
    </row>
    <row r="382" spans="1:28" x14ac:dyDescent="0.25">
      <c r="A382" t="s">
        <v>47</v>
      </c>
      <c r="B382" t="s">
        <v>0</v>
      </c>
      <c r="C382">
        <v>64</v>
      </c>
      <c r="D382">
        <v>445</v>
      </c>
      <c r="E382">
        <v>7</v>
      </c>
      <c r="F382" t="s">
        <v>16</v>
      </c>
      <c r="G382">
        <v>696</v>
      </c>
      <c r="H382">
        <v>183</v>
      </c>
      <c r="I382" s="3">
        <v>15.34</v>
      </c>
      <c r="J382" s="9">
        <v>0.22740963855421686</v>
      </c>
      <c r="K382" s="11"/>
      <c r="M382" s="9"/>
      <c r="O382">
        <v>445</v>
      </c>
      <c r="P382">
        <v>809</v>
      </c>
      <c r="Q382">
        <v>244</v>
      </c>
      <c r="R382" s="3">
        <v>13.18</v>
      </c>
      <c r="S382" s="9">
        <v>0.27284427284427282</v>
      </c>
      <c r="T382" s="11"/>
      <c r="U382" s="9"/>
      <c r="V382" s="11"/>
      <c r="W382" s="9"/>
      <c r="X382">
        <v>445</v>
      </c>
      <c r="Y382">
        <v>658</v>
      </c>
      <c r="Z382">
        <v>177</v>
      </c>
      <c r="AA382" s="3">
        <v>10.5</v>
      </c>
      <c r="AB382" s="9">
        <v>0.23162939297124602</v>
      </c>
    </row>
    <row r="383" spans="1:28" x14ac:dyDescent="0.25">
      <c r="A383" t="s">
        <v>47</v>
      </c>
      <c r="B383" t="s">
        <v>0</v>
      </c>
      <c r="C383">
        <v>64</v>
      </c>
      <c r="D383">
        <v>446</v>
      </c>
      <c r="E383">
        <v>21</v>
      </c>
      <c r="F383" t="s">
        <v>22</v>
      </c>
      <c r="I383" s="3">
        <v>17.559999999999999</v>
      </c>
      <c r="J383" s="9">
        <v>0.22740963855421686</v>
      </c>
      <c r="K383" s="11"/>
      <c r="M383" s="9"/>
      <c r="O383">
        <v>446</v>
      </c>
      <c r="R383" s="3">
        <v>14.44</v>
      </c>
      <c r="S383" s="9">
        <v>0.27284427284427282</v>
      </c>
      <c r="T383" s="11"/>
      <c r="U383" s="9"/>
      <c r="V383" s="11"/>
      <c r="W383" s="9"/>
      <c r="X383">
        <v>446</v>
      </c>
      <c r="AA383" s="3">
        <v>11.92</v>
      </c>
      <c r="AB383" s="9">
        <v>0.23162939297124602</v>
      </c>
    </row>
    <row r="384" spans="1:28" x14ac:dyDescent="0.25">
      <c r="A384" t="s">
        <v>47</v>
      </c>
      <c r="B384" t="s">
        <v>0</v>
      </c>
      <c r="C384">
        <v>64</v>
      </c>
      <c r="D384">
        <v>447</v>
      </c>
      <c r="E384">
        <v>1</v>
      </c>
      <c r="F384" t="s">
        <v>6</v>
      </c>
      <c r="I384" s="3">
        <v>16.36</v>
      </c>
      <c r="J384" s="9">
        <v>0.22740963855421686</v>
      </c>
      <c r="K384" s="11"/>
      <c r="M384" s="9"/>
      <c r="O384">
        <v>447</v>
      </c>
      <c r="R384" s="3">
        <v>13.2</v>
      </c>
      <c r="S384" s="9">
        <v>0.27284427284427282</v>
      </c>
      <c r="T384" s="11"/>
      <c r="U384" s="9"/>
      <c r="V384" s="11"/>
      <c r="W384" s="9"/>
      <c r="X384">
        <v>447</v>
      </c>
      <c r="AA384" s="3">
        <v>11.04</v>
      </c>
      <c r="AB384" s="9">
        <v>0.23162939297124602</v>
      </c>
    </row>
    <row r="385" spans="1:28" x14ac:dyDescent="0.25">
      <c r="A385" t="s">
        <v>47</v>
      </c>
      <c r="B385" t="s">
        <v>0</v>
      </c>
      <c r="C385">
        <v>64</v>
      </c>
      <c r="D385">
        <v>448</v>
      </c>
      <c r="E385">
        <v>18</v>
      </c>
      <c r="F385" t="s">
        <v>18</v>
      </c>
      <c r="I385" s="3">
        <v>18.38</v>
      </c>
      <c r="J385" s="9">
        <v>0.22740963855421686</v>
      </c>
      <c r="K385" s="11"/>
      <c r="M385" s="9"/>
      <c r="O385">
        <v>448</v>
      </c>
      <c r="R385" s="3">
        <v>13.32</v>
      </c>
      <c r="S385" s="9">
        <v>0.27284427284427282</v>
      </c>
      <c r="T385" s="11"/>
      <c r="U385" s="9"/>
      <c r="V385" s="11"/>
      <c r="W385" s="9"/>
      <c r="X385">
        <v>448</v>
      </c>
      <c r="AA385" s="3">
        <v>10.64</v>
      </c>
      <c r="AB385" s="9">
        <v>0.23162939297124602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362B-35E9-4839-9101-8B76096C1C5D}">
  <dimension ref="A1:AD337"/>
  <sheetViews>
    <sheetView workbookViewId="0">
      <selection activeCell="O142" sqref="O142:U145"/>
    </sheetView>
  </sheetViews>
  <sheetFormatPr defaultRowHeight="15" x14ac:dyDescent="0.25"/>
  <cols>
    <col min="2" max="2" width="5" customWidth="1"/>
    <col min="3" max="3" width="4.7109375" customWidth="1"/>
    <col min="5" max="5" width="9.140625" style="2"/>
    <col min="6" max="6" width="20.140625" customWidth="1"/>
    <col min="12" max="12" width="9.140625" style="3"/>
    <col min="14" max="14" width="20.140625" customWidth="1"/>
  </cols>
  <sheetData>
    <row r="1" spans="1:30" x14ac:dyDescent="0.25">
      <c r="G1" t="s">
        <v>40</v>
      </c>
      <c r="H1" t="s">
        <v>41</v>
      </c>
      <c r="I1" s="3" t="s">
        <v>42</v>
      </c>
      <c r="J1" s="9" t="s">
        <v>49</v>
      </c>
      <c r="K1" s="11" t="s">
        <v>52</v>
      </c>
      <c r="L1" s="9" t="s">
        <v>53</v>
      </c>
      <c r="P1" t="s">
        <v>38</v>
      </c>
      <c r="Q1" t="s">
        <v>37</v>
      </c>
      <c r="R1" t="s">
        <v>39</v>
      </c>
      <c r="S1" s="9" t="s">
        <v>50</v>
      </c>
      <c r="T1" s="11" t="s">
        <v>52</v>
      </c>
      <c r="U1" s="9" t="s">
        <v>54</v>
      </c>
      <c r="V1" s="11"/>
      <c r="Y1" t="s">
        <v>43</v>
      </c>
      <c r="Z1" t="s">
        <v>44</v>
      </c>
      <c r="AA1" s="3" t="s">
        <v>45</v>
      </c>
      <c r="AB1" s="9" t="s">
        <v>51</v>
      </c>
      <c r="AC1" s="11" t="s">
        <v>52</v>
      </c>
    </row>
    <row r="2" spans="1:30" x14ac:dyDescent="0.25">
      <c r="A2" t="s">
        <v>46</v>
      </c>
      <c r="B2" t="s">
        <v>0</v>
      </c>
      <c r="C2">
        <v>63</v>
      </c>
      <c r="D2">
        <v>133</v>
      </c>
      <c r="E2" s="2">
        <v>1</v>
      </c>
      <c r="F2" t="s">
        <v>6</v>
      </c>
      <c r="G2">
        <v>990</v>
      </c>
      <c r="H2">
        <v>283</v>
      </c>
      <c r="I2" s="3">
        <v>13.88</v>
      </c>
      <c r="J2" s="9">
        <v>0.26200417536534448</v>
      </c>
      <c r="K2" s="11"/>
      <c r="M2" s="9"/>
      <c r="N2" t="s">
        <v>6</v>
      </c>
      <c r="O2">
        <v>133</v>
      </c>
      <c r="P2">
        <v>771</v>
      </c>
      <c r="Q2">
        <v>303</v>
      </c>
      <c r="R2" s="3">
        <v>3.42</v>
      </c>
      <c r="S2" s="9">
        <v>0.36671177266576455</v>
      </c>
      <c r="T2" s="11"/>
      <c r="U2" s="9"/>
      <c r="V2" s="11"/>
      <c r="W2" s="9"/>
      <c r="X2">
        <v>133</v>
      </c>
      <c r="Y2">
        <v>675</v>
      </c>
      <c r="Z2">
        <v>179</v>
      </c>
      <c r="AA2" s="3">
        <v>3.78</v>
      </c>
      <c r="AB2" s="9">
        <v>0.2286158631415241</v>
      </c>
    </row>
    <row r="3" spans="1:30" x14ac:dyDescent="0.25">
      <c r="A3" t="s">
        <v>46</v>
      </c>
      <c r="B3" t="s">
        <v>0</v>
      </c>
      <c r="C3">
        <v>63</v>
      </c>
      <c r="D3">
        <v>229</v>
      </c>
      <c r="E3" s="2">
        <v>1</v>
      </c>
      <c r="F3" t="s">
        <v>6</v>
      </c>
      <c r="G3">
        <v>936</v>
      </c>
      <c r="H3">
        <v>242</v>
      </c>
      <c r="I3" s="3">
        <v>13.28</v>
      </c>
      <c r="J3" s="9">
        <v>0.23230088495575221</v>
      </c>
      <c r="K3" s="11">
        <v>87</v>
      </c>
      <c r="L3" s="3">
        <f>(I3+(((K3-32)/454)/J3))</f>
        <v>13.801501992867632</v>
      </c>
      <c r="M3" s="9"/>
      <c r="N3" t="s">
        <v>6</v>
      </c>
      <c r="O3">
        <v>229</v>
      </c>
      <c r="P3">
        <v>735</v>
      </c>
      <c r="Q3">
        <v>280</v>
      </c>
      <c r="R3" s="12">
        <v>2.46</v>
      </c>
      <c r="S3" s="17">
        <v>0.35277382645803701</v>
      </c>
      <c r="T3" s="18">
        <v>189</v>
      </c>
      <c r="U3" s="12">
        <f>(R3+(((T3-32)/454)/S3))</f>
        <v>3.4402739093363648</v>
      </c>
      <c r="V3" s="11"/>
      <c r="W3" s="9"/>
      <c r="X3">
        <v>229</v>
      </c>
      <c r="Y3">
        <v>691</v>
      </c>
      <c r="Z3">
        <v>180</v>
      </c>
      <c r="AA3" s="3">
        <v>4.8</v>
      </c>
      <c r="AB3" s="9">
        <v>0.22458270106221548</v>
      </c>
      <c r="AC3">
        <v>72</v>
      </c>
      <c r="AD3" s="3">
        <f>(AA3+(((AC3-32)/454)/AB3))</f>
        <v>5.1923086081676386</v>
      </c>
    </row>
    <row r="4" spans="1:30" x14ac:dyDescent="0.25">
      <c r="A4" t="s">
        <v>46</v>
      </c>
      <c r="B4" t="s">
        <v>0</v>
      </c>
      <c r="C4">
        <v>63</v>
      </c>
      <c r="D4">
        <v>322</v>
      </c>
      <c r="E4" s="2">
        <v>1</v>
      </c>
      <c r="F4" t="s">
        <v>6</v>
      </c>
      <c r="I4" s="3">
        <v>16.48</v>
      </c>
      <c r="J4" s="9">
        <v>0.23829787234042554</v>
      </c>
      <c r="K4" s="11">
        <v>92</v>
      </c>
      <c r="L4" s="3">
        <f>(I4+(((K4-32)/454)/J4))</f>
        <v>17.034594084329768</v>
      </c>
      <c r="M4" s="9"/>
      <c r="N4" t="s">
        <v>6</v>
      </c>
      <c r="O4">
        <v>322</v>
      </c>
      <c r="R4" s="3">
        <v>4.04</v>
      </c>
      <c r="S4" s="9">
        <v>0.3888888888888889</v>
      </c>
      <c r="T4" s="11">
        <v>160</v>
      </c>
      <c r="U4" s="3">
        <f>(R4+(((T4-32)/454)/S4))</f>
        <v>4.7649842668344871</v>
      </c>
      <c r="V4" s="11"/>
      <c r="W4" s="9"/>
      <c r="X4">
        <v>322</v>
      </c>
      <c r="AA4" s="3">
        <v>4.42</v>
      </c>
      <c r="AB4" s="9">
        <v>0.21706398996235884</v>
      </c>
      <c r="AC4">
        <v>79</v>
      </c>
      <c r="AD4" s="3">
        <f>(AA4+(((AC4-32)/454)/AB4))</f>
        <v>4.896929540882585</v>
      </c>
    </row>
    <row r="5" spans="1:30" x14ac:dyDescent="0.25">
      <c r="A5" t="s">
        <v>46</v>
      </c>
      <c r="B5" t="s">
        <v>0</v>
      </c>
      <c r="C5">
        <v>63</v>
      </c>
      <c r="D5">
        <v>443</v>
      </c>
      <c r="E5" s="2">
        <v>1</v>
      </c>
      <c r="F5" t="s">
        <v>6</v>
      </c>
      <c r="I5" s="3">
        <v>12.56</v>
      </c>
      <c r="J5" s="9">
        <v>0.26120556414219476</v>
      </c>
      <c r="K5" s="11"/>
      <c r="M5" s="9"/>
      <c r="N5" t="s">
        <v>6</v>
      </c>
      <c r="O5">
        <v>443</v>
      </c>
      <c r="R5" s="3">
        <v>5.28</v>
      </c>
      <c r="S5" s="9">
        <v>0.37247706422018351</v>
      </c>
      <c r="T5" s="11"/>
      <c r="U5" s="9"/>
      <c r="V5" s="11"/>
      <c r="W5" s="9"/>
      <c r="X5">
        <v>443</v>
      </c>
      <c r="AA5" s="3">
        <v>5.08</v>
      </c>
      <c r="AB5" s="9">
        <v>0.23900293255131966</v>
      </c>
    </row>
    <row r="6" spans="1:30" x14ac:dyDescent="0.25">
      <c r="A6" t="s">
        <v>46</v>
      </c>
      <c r="B6" t="s">
        <v>0</v>
      </c>
      <c r="C6">
        <v>63</v>
      </c>
      <c r="D6">
        <v>126</v>
      </c>
      <c r="E6" s="2">
        <v>2</v>
      </c>
      <c r="F6" t="s">
        <v>4</v>
      </c>
      <c r="I6" s="3">
        <v>14.5</v>
      </c>
      <c r="J6" s="9">
        <v>0.27107061503416857</v>
      </c>
      <c r="K6" s="11"/>
      <c r="M6" s="9"/>
      <c r="N6" t="s">
        <v>4</v>
      </c>
      <c r="O6">
        <v>126</v>
      </c>
      <c r="R6" s="12">
        <v>2.06</v>
      </c>
      <c r="S6" s="17">
        <v>0.37611408199643492</v>
      </c>
      <c r="T6" s="11"/>
      <c r="U6" s="9"/>
      <c r="V6" s="11"/>
      <c r="W6" s="9"/>
      <c r="X6">
        <v>126</v>
      </c>
      <c r="AA6" s="3">
        <v>4.92</v>
      </c>
      <c r="AB6" s="9">
        <v>0.21913236929922136</v>
      </c>
    </row>
    <row r="7" spans="1:30" x14ac:dyDescent="0.25">
      <c r="A7" t="s">
        <v>46</v>
      </c>
      <c r="B7" t="s">
        <v>0</v>
      </c>
      <c r="C7">
        <v>63</v>
      </c>
      <c r="D7">
        <v>241</v>
      </c>
      <c r="E7" s="2">
        <v>2</v>
      </c>
      <c r="F7" t="s">
        <v>4</v>
      </c>
      <c r="G7">
        <v>943</v>
      </c>
      <c r="H7">
        <v>263</v>
      </c>
      <c r="I7" s="3">
        <v>15.02</v>
      </c>
      <c r="J7" s="9">
        <v>0.25356750823271129</v>
      </c>
      <c r="K7" s="11">
        <v>69</v>
      </c>
      <c r="L7" s="3">
        <f>(I7+(((K7-32)/454)/J7))</f>
        <v>15.341404733299006</v>
      </c>
      <c r="M7" s="9"/>
      <c r="N7" t="s">
        <v>4</v>
      </c>
      <c r="O7">
        <v>241</v>
      </c>
      <c r="P7">
        <v>823</v>
      </c>
      <c r="Q7">
        <v>316</v>
      </c>
      <c r="R7" s="3">
        <v>5.26</v>
      </c>
      <c r="S7" s="9">
        <v>0.359039190897598</v>
      </c>
      <c r="T7" s="11">
        <v>184</v>
      </c>
      <c r="U7" s="3">
        <f>(R7+(((T7-32)/454)/S7))</f>
        <v>6.1924936402556305</v>
      </c>
      <c r="V7" s="11"/>
      <c r="W7" s="9"/>
      <c r="X7">
        <v>241</v>
      </c>
      <c r="Y7">
        <v>839</v>
      </c>
      <c r="Z7">
        <v>219</v>
      </c>
      <c r="AA7" s="3">
        <v>5.38</v>
      </c>
      <c r="AB7" s="9">
        <v>0.23172242874845106</v>
      </c>
      <c r="AC7">
        <v>94</v>
      </c>
      <c r="AD7" s="3">
        <f>(AA7+(((AC7-32)/454)/AB7))</f>
        <v>5.9693425051237954</v>
      </c>
    </row>
    <row r="8" spans="1:30" x14ac:dyDescent="0.25">
      <c r="A8" t="s">
        <v>46</v>
      </c>
      <c r="B8" t="s">
        <v>0</v>
      </c>
      <c r="C8">
        <v>63</v>
      </c>
      <c r="D8">
        <v>328</v>
      </c>
      <c r="E8" s="2">
        <v>2</v>
      </c>
      <c r="F8" t="s">
        <v>4</v>
      </c>
      <c r="I8" s="3">
        <v>14.5</v>
      </c>
      <c r="J8" s="9">
        <v>0.24776500638569604</v>
      </c>
      <c r="K8" s="11">
        <v>102</v>
      </c>
      <c r="L8" s="3">
        <f>(I8+(((K8-32)/454)/J8))</f>
        <v>15.122303465189155</v>
      </c>
      <c r="M8" s="9"/>
      <c r="N8" t="s">
        <v>4</v>
      </c>
      <c r="O8">
        <v>328</v>
      </c>
      <c r="R8" s="12">
        <v>2.2000000000000002</v>
      </c>
      <c r="S8" s="17">
        <v>0.36792452830188677</v>
      </c>
      <c r="T8" s="18">
        <v>151</v>
      </c>
      <c r="U8" s="12">
        <f>(R8+(((T8-32)/454)/S8))</f>
        <v>2.9124138710041798</v>
      </c>
      <c r="V8" s="11"/>
      <c r="W8" s="9"/>
      <c r="X8">
        <v>328</v>
      </c>
      <c r="AA8" s="3">
        <v>3.62</v>
      </c>
      <c r="AB8" s="9">
        <v>0.22195121951219512</v>
      </c>
      <c r="AC8">
        <v>84</v>
      </c>
      <c r="AD8" s="3">
        <f>(AA8+(((AC8-32)/454)/AB8))</f>
        <v>4.136047828823159</v>
      </c>
    </row>
    <row r="9" spans="1:30" x14ac:dyDescent="0.25">
      <c r="A9" t="s">
        <v>46</v>
      </c>
      <c r="B9" t="s">
        <v>0</v>
      </c>
      <c r="C9">
        <v>63</v>
      </c>
      <c r="D9">
        <v>438</v>
      </c>
      <c r="E9" s="2">
        <v>2</v>
      </c>
      <c r="F9" t="s">
        <v>4</v>
      </c>
      <c r="I9" s="3">
        <v>12.04</v>
      </c>
      <c r="J9" s="9">
        <v>0.26895565092989987</v>
      </c>
      <c r="K9" s="11"/>
      <c r="M9" s="9"/>
      <c r="N9" t="s">
        <v>4</v>
      </c>
      <c r="O9">
        <v>438</v>
      </c>
      <c r="R9" s="3">
        <v>4.22</v>
      </c>
      <c r="S9" s="9">
        <v>0.37623762376237624</v>
      </c>
      <c r="T9" s="11"/>
      <c r="U9" s="9"/>
      <c r="V9" s="11"/>
      <c r="W9" s="9"/>
      <c r="X9">
        <v>438</v>
      </c>
      <c r="AA9" s="3">
        <v>5.46</v>
      </c>
      <c r="AB9" s="9">
        <v>0.22526041666666666</v>
      </c>
    </row>
    <row r="10" spans="1:30" x14ac:dyDescent="0.25">
      <c r="A10" t="s">
        <v>46</v>
      </c>
      <c r="B10" t="s">
        <v>0</v>
      </c>
      <c r="C10">
        <v>63</v>
      </c>
      <c r="D10">
        <v>135</v>
      </c>
      <c r="E10" s="2">
        <v>3</v>
      </c>
      <c r="F10" t="s">
        <v>3</v>
      </c>
      <c r="I10" s="3">
        <v>13.78</v>
      </c>
      <c r="J10" s="9">
        <v>0.26200417536534448</v>
      </c>
      <c r="K10" s="11"/>
      <c r="M10" s="9"/>
      <c r="N10" t="s">
        <v>3</v>
      </c>
      <c r="O10">
        <v>135</v>
      </c>
      <c r="R10" s="3">
        <v>3.16</v>
      </c>
      <c r="S10" s="9">
        <v>0.36671177266576455</v>
      </c>
      <c r="T10" s="11"/>
      <c r="U10" s="9"/>
      <c r="V10" s="11"/>
      <c r="W10" s="9"/>
      <c r="X10">
        <v>135</v>
      </c>
      <c r="AA10" s="3">
        <v>3.92</v>
      </c>
      <c r="AB10" s="9">
        <v>0.2286158631415241</v>
      </c>
    </row>
    <row r="11" spans="1:30" x14ac:dyDescent="0.25">
      <c r="A11" t="s">
        <v>46</v>
      </c>
      <c r="B11" t="s">
        <v>0</v>
      </c>
      <c r="C11">
        <v>63</v>
      </c>
      <c r="D11">
        <v>223</v>
      </c>
      <c r="E11" s="2">
        <v>3</v>
      </c>
      <c r="F11" t="s">
        <v>3</v>
      </c>
      <c r="I11" s="3">
        <v>12.42</v>
      </c>
      <c r="J11" s="9">
        <v>0.2339304531085353</v>
      </c>
      <c r="K11" s="11">
        <v>99</v>
      </c>
      <c r="L11" s="3">
        <f>(I11+(((K11-32)/454)/J11))</f>
        <v>13.050858832400683</v>
      </c>
      <c r="M11" s="9"/>
      <c r="N11" t="s">
        <v>3</v>
      </c>
      <c r="O11">
        <v>223</v>
      </c>
      <c r="R11" s="3">
        <v>4.68</v>
      </c>
      <c r="S11" s="9">
        <v>0.35875706214689268</v>
      </c>
      <c r="T11" s="11">
        <v>163</v>
      </c>
      <c r="U11" s="3">
        <f>(R11+(((T11-32)/454)/S11))</f>
        <v>5.4842942870026707</v>
      </c>
      <c r="V11" s="11"/>
      <c r="W11" s="9"/>
      <c r="X11">
        <v>223</v>
      </c>
      <c r="AA11" s="3">
        <v>6.16</v>
      </c>
      <c r="AB11" s="9">
        <v>0.19146341463414634</v>
      </c>
      <c r="AC11">
        <v>91</v>
      </c>
      <c r="AD11" s="3">
        <f>(AA11+(((AC11-32)/454)/AB11))</f>
        <v>6.8387508067005252</v>
      </c>
    </row>
    <row r="12" spans="1:30" x14ac:dyDescent="0.25">
      <c r="A12" t="s">
        <v>46</v>
      </c>
      <c r="B12" t="s">
        <v>0</v>
      </c>
      <c r="C12">
        <v>63</v>
      </c>
      <c r="D12">
        <v>319</v>
      </c>
      <c r="E12" s="2">
        <v>3</v>
      </c>
      <c r="F12" t="s">
        <v>3</v>
      </c>
      <c r="I12" s="3">
        <v>14.88</v>
      </c>
      <c r="J12" s="9">
        <v>0.24938875305623473</v>
      </c>
      <c r="K12" s="11">
        <v>77</v>
      </c>
      <c r="L12" s="3">
        <f>(I12+(((K12-32)/454)/J12))</f>
        <v>15.277447525265613</v>
      </c>
      <c r="M12" s="9"/>
      <c r="N12" t="s">
        <v>3</v>
      </c>
      <c r="O12">
        <v>319</v>
      </c>
      <c r="R12" s="3">
        <v>2.7</v>
      </c>
      <c r="S12" s="9">
        <v>0.41165413533834588</v>
      </c>
      <c r="T12" s="11">
        <v>173</v>
      </c>
      <c r="U12" s="3">
        <f>(R12+(((T12-32)/454)/S12))</f>
        <v>3.4544505461348143</v>
      </c>
      <c r="V12" s="11"/>
      <c r="W12" s="9"/>
      <c r="X12">
        <v>319</v>
      </c>
      <c r="AA12" s="3">
        <v>4.26</v>
      </c>
      <c r="AB12" s="9">
        <v>0.19397116644823068</v>
      </c>
      <c r="AC12">
        <v>80</v>
      </c>
      <c r="AD12" s="3">
        <f>(AA12+(((AC12-32)/454)/AB12))</f>
        <v>4.8050648886772231</v>
      </c>
    </row>
    <row r="13" spans="1:30" x14ac:dyDescent="0.25">
      <c r="A13" t="s">
        <v>46</v>
      </c>
      <c r="B13" t="s">
        <v>0</v>
      </c>
      <c r="C13">
        <v>63</v>
      </c>
      <c r="D13">
        <v>442</v>
      </c>
      <c r="E13" s="2">
        <v>3</v>
      </c>
      <c r="F13" t="s">
        <v>3</v>
      </c>
      <c r="I13" s="3">
        <v>14.22</v>
      </c>
      <c r="J13" s="9">
        <v>0.26120556414219476</v>
      </c>
      <c r="K13" s="11"/>
      <c r="M13" s="9"/>
      <c r="N13" t="s">
        <v>3</v>
      </c>
      <c r="O13">
        <v>442</v>
      </c>
      <c r="R13" s="3">
        <v>4.7</v>
      </c>
      <c r="S13" s="9">
        <v>0.37247706422018351</v>
      </c>
      <c r="T13" s="11"/>
      <c r="U13" s="9"/>
      <c r="V13" s="11"/>
      <c r="W13" s="9"/>
      <c r="X13">
        <v>442</v>
      </c>
      <c r="AA13" s="3">
        <v>4.68</v>
      </c>
      <c r="AB13" s="9">
        <v>0.23900293255131966</v>
      </c>
    </row>
    <row r="14" spans="1:30" x14ac:dyDescent="0.25">
      <c r="A14" t="s">
        <v>46</v>
      </c>
      <c r="B14" t="s">
        <v>0</v>
      </c>
      <c r="C14">
        <v>63</v>
      </c>
      <c r="D14">
        <v>115</v>
      </c>
      <c r="E14" s="2">
        <v>4</v>
      </c>
      <c r="F14" t="s">
        <v>2</v>
      </c>
      <c r="I14" s="3">
        <v>6.48</v>
      </c>
      <c r="J14" s="9">
        <v>0.24741081703107021</v>
      </c>
      <c r="K14" s="11"/>
      <c r="M14" s="9"/>
      <c r="N14" t="s">
        <v>2</v>
      </c>
      <c r="O14">
        <v>115</v>
      </c>
      <c r="R14" s="3">
        <v>2.64</v>
      </c>
      <c r="S14" s="9">
        <v>0.39442231075697209</v>
      </c>
      <c r="T14" s="11"/>
      <c r="U14" s="9"/>
      <c r="V14" s="11"/>
      <c r="W14" s="9"/>
      <c r="X14">
        <v>115</v>
      </c>
      <c r="AA14" s="3">
        <v>4.62</v>
      </c>
      <c r="AB14" s="9">
        <v>0.20350404312668463</v>
      </c>
    </row>
    <row r="15" spans="1:30" x14ac:dyDescent="0.25">
      <c r="A15" t="s">
        <v>46</v>
      </c>
      <c r="B15" t="s">
        <v>0</v>
      </c>
      <c r="C15">
        <v>63</v>
      </c>
      <c r="D15">
        <v>234</v>
      </c>
      <c r="E15" s="2">
        <v>4</v>
      </c>
      <c r="F15" t="s">
        <v>2</v>
      </c>
      <c r="I15" s="3">
        <v>9.24</v>
      </c>
      <c r="J15" s="9">
        <v>0.25690276110444177</v>
      </c>
      <c r="K15" s="11">
        <v>76</v>
      </c>
      <c r="L15" s="3">
        <f>(I15+(((K15-32)/454)/J15))</f>
        <v>9.6172489604347646</v>
      </c>
      <c r="M15" s="9"/>
      <c r="N15" t="s">
        <v>2</v>
      </c>
      <c r="O15">
        <v>234</v>
      </c>
      <c r="R15" s="3">
        <v>3.94</v>
      </c>
      <c r="S15" s="9">
        <v>0.33889602053915274</v>
      </c>
      <c r="T15" s="11">
        <v>144</v>
      </c>
      <c r="U15" s="3">
        <f>(R15+(((T15-32)/454)/S15))</f>
        <v>4.667940194900547</v>
      </c>
      <c r="V15" s="11"/>
      <c r="W15" s="9"/>
      <c r="X15">
        <v>234</v>
      </c>
      <c r="AA15" s="3">
        <v>5.0199999999999996</v>
      </c>
      <c r="AB15" s="9">
        <v>0.2264957264957265</v>
      </c>
      <c r="AC15">
        <v>92</v>
      </c>
      <c r="AD15" s="3">
        <f>(AA15+(((AC15-32)/454)/AB15))</f>
        <v>5.6034926440029915</v>
      </c>
    </row>
    <row r="16" spans="1:30" x14ac:dyDescent="0.25">
      <c r="A16" t="s">
        <v>46</v>
      </c>
      <c r="B16" t="s">
        <v>0</v>
      </c>
      <c r="C16">
        <v>63</v>
      </c>
      <c r="D16">
        <v>324</v>
      </c>
      <c r="E16" s="2">
        <v>4</v>
      </c>
      <c r="F16" t="s">
        <v>2</v>
      </c>
      <c r="I16" s="3">
        <v>15.38</v>
      </c>
      <c r="J16" s="9">
        <v>0.23829787234042554</v>
      </c>
      <c r="K16" s="11">
        <v>131</v>
      </c>
      <c r="L16" s="3">
        <f>(I16+(((K16-32)/454)/J16))</f>
        <v>16.295080239144117</v>
      </c>
      <c r="M16" s="9"/>
      <c r="N16" t="s">
        <v>2</v>
      </c>
      <c r="O16">
        <v>324</v>
      </c>
      <c r="R16" s="3">
        <v>2.88</v>
      </c>
      <c r="S16" s="9">
        <v>0.3888888888888889</v>
      </c>
      <c r="T16" s="11">
        <v>125</v>
      </c>
      <c r="U16" s="3">
        <f>(R16+(((T16-32)/454)/S16))</f>
        <v>3.4067463813719319</v>
      </c>
      <c r="V16" s="11"/>
      <c r="W16" s="9"/>
      <c r="X16">
        <v>324</v>
      </c>
      <c r="AA16" s="3">
        <v>4.58</v>
      </c>
      <c r="AB16" s="9">
        <v>0.21706398996235884</v>
      </c>
      <c r="AC16">
        <v>91</v>
      </c>
      <c r="AD16" s="3">
        <f>(AA16+(((AC16-32)/454)/AB16))</f>
        <v>5.1786987853632453</v>
      </c>
    </row>
    <row r="17" spans="1:30" x14ac:dyDescent="0.25">
      <c r="A17" t="s">
        <v>46</v>
      </c>
      <c r="B17" t="s">
        <v>0</v>
      </c>
      <c r="C17">
        <v>63</v>
      </c>
      <c r="D17">
        <v>426</v>
      </c>
      <c r="E17" s="2">
        <v>4</v>
      </c>
      <c r="F17" t="s">
        <v>2</v>
      </c>
      <c r="I17" s="3">
        <v>10.36</v>
      </c>
      <c r="J17" s="9">
        <v>0.26378378378378381</v>
      </c>
      <c r="K17" s="11"/>
      <c r="M17" s="9"/>
      <c r="N17" t="s">
        <v>2</v>
      </c>
      <c r="O17">
        <v>426</v>
      </c>
      <c r="R17" s="12">
        <v>1.54</v>
      </c>
      <c r="S17" s="17">
        <v>0.36585365853658536</v>
      </c>
      <c r="T17" s="11"/>
      <c r="U17" s="9"/>
      <c r="V17" s="11"/>
      <c r="W17" s="9"/>
      <c r="X17">
        <v>426</v>
      </c>
      <c r="AA17" s="3">
        <v>3.84</v>
      </c>
      <c r="AB17" s="9">
        <v>0.21726190476190477</v>
      </c>
    </row>
    <row r="18" spans="1:30" x14ac:dyDescent="0.25">
      <c r="A18" t="s">
        <v>46</v>
      </c>
      <c r="B18" t="s">
        <v>0</v>
      </c>
      <c r="C18">
        <v>63</v>
      </c>
      <c r="D18">
        <v>140</v>
      </c>
      <c r="E18" s="2">
        <v>5</v>
      </c>
      <c r="F18" t="s">
        <v>5</v>
      </c>
      <c r="I18" s="3">
        <v>12.15</v>
      </c>
      <c r="J18" s="9">
        <v>0.27608142493638677</v>
      </c>
      <c r="K18" s="11"/>
      <c r="M18" s="9"/>
      <c r="N18" t="s">
        <v>5</v>
      </c>
      <c r="O18">
        <v>140</v>
      </c>
      <c r="R18" s="3">
        <v>3.46</v>
      </c>
      <c r="S18" s="9">
        <v>0.37161290322580648</v>
      </c>
      <c r="T18" s="11"/>
      <c r="U18" s="9"/>
      <c r="V18" s="11"/>
      <c r="W18" s="9"/>
      <c r="X18">
        <v>140</v>
      </c>
      <c r="AA18" s="3">
        <v>4.08</v>
      </c>
      <c r="AB18" s="9">
        <v>0.22948539638386647</v>
      </c>
    </row>
    <row r="19" spans="1:30" x14ac:dyDescent="0.25">
      <c r="A19" t="s">
        <v>46</v>
      </c>
      <c r="B19" t="s">
        <v>0</v>
      </c>
      <c r="C19">
        <v>63</v>
      </c>
      <c r="D19">
        <v>221</v>
      </c>
      <c r="E19" s="2">
        <v>5</v>
      </c>
      <c r="F19" t="s">
        <v>5</v>
      </c>
      <c r="G19">
        <v>981</v>
      </c>
      <c r="H19">
        <v>254</v>
      </c>
      <c r="I19" s="3">
        <v>11.24</v>
      </c>
      <c r="J19" s="9">
        <v>0.2339304531085353</v>
      </c>
      <c r="K19" s="11">
        <v>104</v>
      </c>
      <c r="L19" s="3">
        <f>(I19+(((K19-32)/454)/J19))</f>
        <v>11.917937849744018</v>
      </c>
      <c r="M19" s="9"/>
      <c r="N19" t="s">
        <v>5</v>
      </c>
      <c r="O19">
        <v>221</v>
      </c>
      <c r="P19">
        <v>740</v>
      </c>
      <c r="Q19">
        <v>286</v>
      </c>
      <c r="R19" s="3">
        <v>5.42</v>
      </c>
      <c r="S19" s="9">
        <v>0.35875706214689268</v>
      </c>
      <c r="T19" s="11">
        <v>124</v>
      </c>
      <c r="U19" s="3">
        <f>(R19+(((T19-32)/454)/S19))</f>
        <v>5.9848478962156157</v>
      </c>
      <c r="V19" s="11"/>
      <c r="W19" s="9"/>
      <c r="X19">
        <v>221</v>
      </c>
      <c r="Y19">
        <v>852</v>
      </c>
      <c r="Z19">
        <v>189</v>
      </c>
      <c r="AA19" s="3">
        <v>6.28</v>
      </c>
      <c r="AB19" s="9">
        <v>0.19146341463414634</v>
      </c>
      <c r="AC19">
        <v>95</v>
      </c>
      <c r="AD19" s="3">
        <f>(AA19+(((AC19-32)/454)/AB19))</f>
        <v>7.004767810544628</v>
      </c>
    </row>
    <row r="20" spans="1:30" x14ac:dyDescent="0.25">
      <c r="A20" t="s">
        <v>46</v>
      </c>
      <c r="B20" t="s">
        <v>0</v>
      </c>
      <c r="C20">
        <v>63</v>
      </c>
      <c r="D20">
        <v>348</v>
      </c>
      <c r="E20" s="2">
        <v>5</v>
      </c>
      <c r="F20" t="s">
        <v>5</v>
      </c>
      <c r="I20" s="3">
        <v>14.28</v>
      </c>
      <c r="J20" s="9">
        <v>0.25</v>
      </c>
      <c r="K20" s="11">
        <v>83</v>
      </c>
      <c r="L20" s="3">
        <f>(I20+(((K20-32)/454)/J20))</f>
        <v>14.729339207048458</v>
      </c>
      <c r="M20" s="9"/>
      <c r="N20" t="s">
        <v>5</v>
      </c>
      <c r="O20">
        <v>348</v>
      </c>
      <c r="R20" s="3">
        <v>3.12</v>
      </c>
      <c r="S20" s="9">
        <v>0.41346153846153844</v>
      </c>
      <c r="T20" s="11">
        <v>167</v>
      </c>
      <c r="U20" s="3">
        <f>(R20+(((T20-32)/454)/S20))</f>
        <v>3.8391886077246182</v>
      </c>
      <c r="V20" s="11"/>
      <c r="W20" s="9"/>
      <c r="X20">
        <v>348</v>
      </c>
      <c r="AA20" s="3">
        <v>4.66</v>
      </c>
      <c r="AB20" s="9">
        <v>0.21351351351351353</v>
      </c>
      <c r="AC20">
        <v>70</v>
      </c>
      <c r="AD20" s="3">
        <f>(AA20+(((AC20-32)/454)/AB20))</f>
        <v>5.0520147214632241</v>
      </c>
    </row>
    <row r="21" spans="1:30" x14ac:dyDescent="0.25">
      <c r="A21" t="s">
        <v>46</v>
      </c>
      <c r="B21" t="s">
        <v>0</v>
      </c>
      <c r="C21">
        <v>63</v>
      </c>
      <c r="D21">
        <v>415</v>
      </c>
      <c r="E21" s="2">
        <v>5</v>
      </c>
      <c r="F21" t="s">
        <v>5</v>
      </c>
      <c r="I21" s="3">
        <v>9.6</v>
      </c>
      <c r="J21" s="9">
        <v>0.26328800988875156</v>
      </c>
      <c r="K21" s="11"/>
      <c r="M21" s="9"/>
      <c r="N21" t="s">
        <v>5</v>
      </c>
      <c r="O21">
        <v>415</v>
      </c>
      <c r="R21" s="3">
        <v>2.42</v>
      </c>
      <c r="S21" s="9">
        <v>0.40606060606060607</v>
      </c>
      <c r="T21" s="11"/>
      <c r="U21" s="9"/>
      <c r="V21" s="11"/>
      <c r="W21" s="9"/>
      <c r="X21">
        <v>415</v>
      </c>
      <c r="AA21" s="3">
        <v>3.84</v>
      </c>
      <c r="AB21" s="9">
        <v>0.20642201834862386</v>
      </c>
    </row>
    <row r="22" spans="1:30" x14ac:dyDescent="0.25">
      <c r="A22" t="s">
        <v>46</v>
      </c>
      <c r="B22" t="s">
        <v>0</v>
      </c>
      <c r="C22">
        <v>63</v>
      </c>
      <c r="D22">
        <v>143</v>
      </c>
      <c r="E22" s="2">
        <v>6</v>
      </c>
      <c r="F22" t="s">
        <v>1</v>
      </c>
      <c r="I22" s="3">
        <v>12.32</v>
      </c>
      <c r="J22" s="9">
        <v>0.25646794150731156</v>
      </c>
      <c r="K22" s="11"/>
      <c r="M22" s="9"/>
      <c r="N22" t="s">
        <v>1</v>
      </c>
      <c r="O22">
        <v>143</v>
      </c>
      <c r="R22" s="3">
        <v>2.72</v>
      </c>
      <c r="S22" s="9">
        <v>0.37952755905511809</v>
      </c>
      <c r="T22" s="11"/>
      <c r="U22" s="9"/>
      <c r="V22" s="11"/>
      <c r="W22" s="9"/>
      <c r="X22">
        <v>143</v>
      </c>
      <c r="AA22" s="3">
        <v>3.88</v>
      </c>
      <c r="AB22" s="9">
        <v>0.2335216572504708</v>
      </c>
    </row>
    <row r="23" spans="1:30" x14ac:dyDescent="0.25">
      <c r="A23" t="s">
        <v>46</v>
      </c>
      <c r="B23" t="s">
        <v>0</v>
      </c>
      <c r="C23">
        <v>63</v>
      </c>
      <c r="D23">
        <v>233</v>
      </c>
      <c r="E23" s="2">
        <v>6</v>
      </c>
      <c r="F23" t="s">
        <v>1</v>
      </c>
      <c r="G23">
        <v>865</v>
      </c>
      <c r="H23">
        <v>246</v>
      </c>
      <c r="I23" s="3">
        <v>13.94</v>
      </c>
      <c r="J23" s="9">
        <v>0.25690276110444177</v>
      </c>
      <c r="K23" s="11">
        <v>78</v>
      </c>
      <c r="L23" s="3">
        <f>(I23+(((K23-32)/454)/J23))</f>
        <v>14.334396640454527</v>
      </c>
      <c r="M23" s="9"/>
      <c r="N23" t="s">
        <v>1</v>
      </c>
      <c r="O23">
        <v>233</v>
      </c>
      <c r="P23">
        <v>811</v>
      </c>
      <c r="Q23">
        <v>296</v>
      </c>
      <c r="R23" s="3">
        <v>5.38</v>
      </c>
      <c r="S23" s="9">
        <v>0.33889602053915274</v>
      </c>
      <c r="T23" s="11">
        <v>150</v>
      </c>
      <c r="U23" s="3">
        <f>(R23+(((T23-32)/454)/S23))</f>
        <v>6.1469369910559335</v>
      </c>
      <c r="V23" s="11"/>
      <c r="W23" s="9"/>
      <c r="X23">
        <v>233</v>
      </c>
      <c r="Y23">
        <v>734</v>
      </c>
      <c r="Z23">
        <v>191</v>
      </c>
      <c r="AA23" s="3">
        <v>3.9</v>
      </c>
      <c r="AB23" s="9">
        <v>0.2264957264957265</v>
      </c>
      <c r="AC23">
        <v>77</v>
      </c>
      <c r="AD23" s="3">
        <f>(AA23+(((AC23-32)/454)/AB23))</f>
        <v>4.3376194830022445</v>
      </c>
    </row>
    <row r="24" spans="1:30" x14ac:dyDescent="0.25">
      <c r="A24" t="s">
        <v>46</v>
      </c>
      <c r="B24" t="s">
        <v>0</v>
      </c>
      <c r="C24">
        <v>63</v>
      </c>
      <c r="D24">
        <v>316</v>
      </c>
      <c r="E24" s="2">
        <v>6</v>
      </c>
      <c r="F24" t="s">
        <v>1</v>
      </c>
      <c r="I24" s="3">
        <v>14.58</v>
      </c>
      <c r="J24" s="9">
        <v>0.24795321637426901</v>
      </c>
      <c r="K24" s="11">
        <v>108</v>
      </c>
      <c r="L24" s="3">
        <f>(I24+(((K24-32)/454)/J24))</f>
        <v>15.255130911811154</v>
      </c>
      <c r="M24" s="9"/>
      <c r="N24" t="s">
        <v>1</v>
      </c>
      <c r="O24">
        <v>316</v>
      </c>
      <c r="R24" s="3">
        <v>3.24</v>
      </c>
      <c r="S24" s="9">
        <v>0.35792349726775957</v>
      </c>
      <c r="T24" s="11">
        <v>131</v>
      </c>
      <c r="U24" s="3">
        <f>(R24+(((T24-32)/454)/S24))</f>
        <v>3.849241012879578</v>
      </c>
      <c r="V24" s="11"/>
      <c r="W24" s="9"/>
      <c r="X24">
        <v>316</v>
      </c>
      <c r="AA24" s="3">
        <v>3.88</v>
      </c>
      <c r="AB24" s="9">
        <v>0.21408450704225351</v>
      </c>
      <c r="AC24">
        <v>80</v>
      </c>
      <c r="AD24" s="3">
        <f>(AA24+(((AC24-32)/454)/AB24))</f>
        <v>4.3738557848365405</v>
      </c>
    </row>
    <row r="25" spans="1:30" x14ac:dyDescent="0.25">
      <c r="A25" t="s">
        <v>46</v>
      </c>
      <c r="B25" t="s">
        <v>0</v>
      </c>
      <c r="C25">
        <v>63</v>
      </c>
      <c r="D25">
        <v>413</v>
      </c>
      <c r="E25" s="2">
        <v>6</v>
      </c>
      <c r="F25" t="s">
        <v>1</v>
      </c>
      <c r="G25">
        <v>841</v>
      </c>
      <c r="H25">
        <v>245</v>
      </c>
      <c r="I25" s="3">
        <v>10.1</v>
      </c>
      <c r="J25" s="9">
        <v>0.26328800988875156</v>
      </c>
      <c r="K25" s="11"/>
      <c r="M25" s="9"/>
      <c r="N25" t="s">
        <v>1</v>
      </c>
      <c r="O25">
        <v>413</v>
      </c>
      <c r="P25">
        <v>527</v>
      </c>
      <c r="Q25">
        <v>233</v>
      </c>
      <c r="R25" s="3">
        <v>2.1800000000000002</v>
      </c>
      <c r="S25" s="9">
        <v>0.40606060606060607</v>
      </c>
      <c r="T25" s="11"/>
      <c r="U25" s="9"/>
      <c r="V25" s="11"/>
      <c r="W25" s="9"/>
      <c r="X25">
        <v>413</v>
      </c>
      <c r="Y25">
        <v>904</v>
      </c>
      <c r="Z25">
        <v>212</v>
      </c>
      <c r="AA25" s="3">
        <v>3.4</v>
      </c>
      <c r="AB25" s="9">
        <v>0.20642201834862386</v>
      </c>
    </row>
    <row r="26" spans="1:30" x14ac:dyDescent="0.25">
      <c r="A26" t="s">
        <v>46</v>
      </c>
      <c r="B26" t="s">
        <v>0</v>
      </c>
      <c r="C26">
        <v>63</v>
      </c>
      <c r="D26">
        <v>123</v>
      </c>
      <c r="E26" s="2">
        <v>7</v>
      </c>
      <c r="F26" t="s">
        <v>16</v>
      </c>
      <c r="I26" s="3">
        <v>14.5</v>
      </c>
      <c r="J26" s="9">
        <v>0.24217844727694091</v>
      </c>
      <c r="K26" s="11"/>
      <c r="M26" s="9"/>
      <c r="N26" t="s">
        <v>16</v>
      </c>
      <c r="O26">
        <v>123</v>
      </c>
      <c r="R26" s="3">
        <v>3.48</v>
      </c>
      <c r="S26" s="9">
        <v>0.37404580152671757</v>
      </c>
      <c r="T26" s="11"/>
      <c r="U26" s="9"/>
      <c r="V26" s="11"/>
      <c r="W26" s="9"/>
      <c r="X26">
        <v>123</v>
      </c>
      <c r="AA26" s="3">
        <v>4.8600000000000003</v>
      </c>
      <c r="AB26" s="9">
        <v>0.20776255707762556</v>
      </c>
    </row>
    <row r="27" spans="1:30" x14ac:dyDescent="0.25">
      <c r="A27" t="s">
        <v>46</v>
      </c>
      <c r="B27" t="s">
        <v>0</v>
      </c>
      <c r="C27">
        <v>63</v>
      </c>
      <c r="D27">
        <v>237</v>
      </c>
      <c r="E27" s="2">
        <v>7</v>
      </c>
      <c r="F27" t="s">
        <v>16</v>
      </c>
      <c r="G27">
        <v>811</v>
      </c>
      <c r="H27">
        <v>224</v>
      </c>
      <c r="I27" s="3">
        <v>11.48</v>
      </c>
      <c r="J27" s="9">
        <v>0.24646983311938384</v>
      </c>
      <c r="K27" s="11">
        <v>94</v>
      </c>
      <c r="L27" s="3">
        <f>(I27+(((K27-32)/454)/J27))</f>
        <v>12.034079478707783</v>
      </c>
      <c r="M27" s="9"/>
      <c r="N27" t="s">
        <v>16</v>
      </c>
      <c r="O27">
        <v>237</v>
      </c>
      <c r="P27">
        <v>674</v>
      </c>
      <c r="Q27">
        <v>258</v>
      </c>
      <c r="R27" s="3">
        <v>4.78</v>
      </c>
      <c r="S27" s="9">
        <v>0.35202492211838005</v>
      </c>
      <c r="T27" s="11">
        <v>173</v>
      </c>
      <c r="U27" s="3">
        <f>(R27+(((T27-32)/454)/S27))</f>
        <v>5.6622463061868933</v>
      </c>
      <c r="V27" s="11"/>
      <c r="W27" s="9"/>
      <c r="X27">
        <v>237</v>
      </c>
      <c r="Y27">
        <v>543</v>
      </c>
      <c r="Z27">
        <v>144</v>
      </c>
      <c r="AA27" s="3">
        <v>5.0199999999999996</v>
      </c>
      <c r="AB27" s="9">
        <v>0.21917808219178081</v>
      </c>
    </row>
    <row r="28" spans="1:30" x14ac:dyDescent="0.25">
      <c r="A28" t="s">
        <v>46</v>
      </c>
      <c r="B28" t="s">
        <v>0</v>
      </c>
      <c r="C28">
        <v>63</v>
      </c>
      <c r="D28">
        <v>334</v>
      </c>
      <c r="E28" s="2">
        <v>7</v>
      </c>
      <c r="F28" t="s">
        <v>16</v>
      </c>
      <c r="I28" s="3">
        <v>13.96</v>
      </c>
      <c r="J28" s="9">
        <v>0.24825986078886311</v>
      </c>
      <c r="K28" s="11">
        <v>74</v>
      </c>
      <c r="L28" s="3">
        <f>(I28+(((K28-32)/454)/J28))</f>
        <v>14.332637819589115</v>
      </c>
      <c r="M28" s="9"/>
      <c r="N28" t="s">
        <v>16</v>
      </c>
      <c r="O28">
        <v>334</v>
      </c>
      <c r="R28" s="3">
        <v>3.3</v>
      </c>
      <c r="S28" s="9">
        <v>0.36569148936170215</v>
      </c>
      <c r="T28" s="11">
        <v>167</v>
      </c>
      <c r="U28" s="3">
        <f>(R28+(((T28-32)/454)/S28))</f>
        <v>4.1131357629154985</v>
      </c>
      <c r="V28" s="11"/>
      <c r="W28" s="9"/>
      <c r="X28">
        <v>334</v>
      </c>
      <c r="AA28" s="3">
        <v>3.7</v>
      </c>
      <c r="AB28" s="9">
        <v>0.22576687116564417</v>
      </c>
    </row>
    <row r="29" spans="1:30" x14ac:dyDescent="0.25">
      <c r="A29" t="s">
        <v>46</v>
      </c>
      <c r="B29" t="s">
        <v>0</v>
      </c>
      <c r="C29">
        <v>63</v>
      </c>
      <c r="D29">
        <v>419</v>
      </c>
      <c r="E29" s="2">
        <v>7</v>
      </c>
      <c r="F29" t="s">
        <v>16</v>
      </c>
      <c r="I29" s="3">
        <v>11.04</v>
      </c>
      <c r="J29" s="9">
        <v>0.29181494661921709</v>
      </c>
      <c r="K29" s="11"/>
      <c r="M29" s="9"/>
      <c r="N29" t="s">
        <v>16</v>
      </c>
      <c r="O29">
        <v>419</v>
      </c>
      <c r="R29" s="3">
        <v>2.44</v>
      </c>
      <c r="S29" s="9">
        <v>0.41493055555555558</v>
      </c>
      <c r="T29" s="11"/>
      <c r="U29" s="9"/>
      <c r="V29" s="11"/>
      <c r="W29" s="9"/>
      <c r="X29">
        <v>419</v>
      </c>
      <c r="AA29" s="3">
        <v>3.44</v>
      </c>
      <c r="AB29" s="9">
        <v>0.20816864295125165</v>
      </c>
    </row>
    <row r="30" spans="1:30" x14ac:dyDescent="0.25">
      <c r="A30" t="s">
        <v>46</v>
      </c>
      <c r="B30" t="s">
        <v>0</v>
      </c>
      <c r="C30">
        <v>63</v>
      </c>
      <c r="D30">
        <v>142</v>
      </c>
      <c r="E30" s="2">
        <v>8</v>
      </c>
      <c r="F30" t="s">
        <v>31</v>
      </c>
      <c r="I30" s="3">
        <v>11.94</v>
      </c>
      <c r="J30" s="9">
        <v>0.25646794150731156</v>
      </c>
      <c r="K30" s="11"/>
      <c r="M30" s="9"/>
      <c r="N30" t="s">
        <v>31</v>
      </c>
      <c r="O30">
        <v>142</v>
      </c>
      <c r="R30" s="3">
        <v>2.9</v>
      </c>
      <c r="S30" s="9">
        <v>0.37952755905511809</v>
      </c>
      <c r="T30" s="11"/>
      <c r="U30" s="9"/>
      <c r="V30" s="11"/>
      <c r="W30" s="9"/>
      <c r="X30">
        <v>142</v>
      </c>
      <c r="AA30" s="3">
        <v>4.04</v>
      </c>
      <c r="AB30" s="9">
        <v>0.2335216572504708</v>
      </c>
    </row>
    <row r="31" spans="1:30" x14ac:dyDescent="0.25">
      <c r="A31" t="s">
        <v>46</v>
      </c>
      <c r="B31" t="s">
        <v>0</v>
      </c>
      <c r="C31">
        <v>63</v>
      </c>
      <c r="D31">
        <v>215</v>
      </c>
      <c r="E31" s="2">
        <v>8</v>
      </c>
      <c r="F31" t="s">
        <v>31</v>
      </c>
      <c r="I31" s="3">
        <v>12.76</v>
      </c>
      <c r="J31" s="9">
        <v>0.24709976798143851</v>
      </c>
      <c r="K31" s="11">
        <v>96</v>
      </c>
      <c r="L31" s="3">
        <f>(I31+(((K31-32)/454)/J31))</f>
        <v>13.330494922545553</v>
      </c>
      <c r="M31" s="9"/>
      <c r="N31" t="s">
        <v>31</v>
      </c>
      <c r="O31">
        <v>215</v>
      </c>
      <c r="R31" s="3">
        <v>3.14</v>
      </c>
      <c r="S31" s="9">
        <v>0.40545454545454546</v>
      </c>
      <c r="T31" s="11">
        <v>158</v>
      </c>
      <c r="U31" s="3">
        <f>(R31+(((T31-32)/454)/S31))</f>
        <v>3.8244985282787778</v>
      </c>
      <c r="V31" s="11"/>
      <c r="W31" s="9"/>
      <c r="X31">
        <v>215</v>
      </c>
      <c r="AA31" s="3">
        <v>5.74</v>
      </c>
      <c r="AB31" s="9">
        <v>0.18859649122807018</v>
      </c>
    </row>
    <row r="32" spans="1:30" x14ac:dyDescent="0.25">
      <c r="A32" t="s">
        <v>46</v>
      </c>
      <c r="B32" t="s">
        <v>0</v>
      </c>
      <c r="C32">
        <v>63</v>
      </c>
      <c r="D32">
        <v>330</v>
      </c>
      <c r="E32" s="2">
        <v>8</v>
      </c>
      <c r="F32" t="s">
        <v>31</v>
      </c>
      <c r="I32" s="3">
        <v>15.04</v>
      </c>
      <c r="J32" s="9">
        <v>0.22252010723860591</v>
      </c>
      <c r="K32" s="11">
        <v>84</v>
      </c>
      <c r="L32" s="3">
        <f>(I32+(((K32-32)/454)/J32))</f>
        <v>15.554728517594606</v>
      </c>
      <c r="M32" s="9"/>
      <c r="N32" t="s">
        <v>31</v>
      </c>
      <c r="O32">
        <v>330</v>
      </c>
      <c r="R32" s="12">
        <v>11.3</v>
      </c>
      <c r="S32" s="17">
        <v>0.36317567567567566</v>
      </c>
      <c r="T32" s="18">
        <v>111</v>
      </c>
      <c r="U32" s="12">
        <f>(R32+(((T32-32)/454)/S32))</f>
        <v>11.779131236553633</v>
      </c>
      <c r="V32" s="11"/>
      <c r="W32" s="9"/>
      <c r="X32">
        <v>330</v>
      </c>
      <c r="AA32" s="3">
        <v>4.68</v>
      </c>
      <c r="AB32" s="9">
        <v>0.20729684908789386</v>
      </c>
    </row>
    <row r="33" spans="1:28" x14ac:dyDescent="0.25">
      <c r="A33" t="s">
        <v>46</v>
      </c>
      <c r="B33" t="s">
        <v>0</v>
      </c>
      <c r="C33">
        <v>63</v>
      </c>
      <c r="D33">
        <v>447</v>
      </c>
      <c r="E33" s="2">
        <v>8</v>
      </c>
      <c r="F33" t="s">
        <v>31</v>
      </c>
      <c r="I33" s="3">
        <v>15.96</v>
      </c>
      <c r="J33" s="9">
        <v>0.24587912087912087</v>
      </c>
      <c r="K33" s="11"/>
      <c r="M33" s="9"/>
      <c r="N33" t="s">
        <v>31</v>
      </c>
      <c r="O33">
        <v>447</v>
      </c>
      <c r="R33" s="3">
        <v>5.2</v>
      </c>
      <c r="S33" s="9">
        <v>0.38190184049079756</v>
      </c>
      <c r="T33" s="11"/>
      <c r="U33" s="9"/>
      <c r="V33" s="11"/>
      <c r="W33" s="9"/>
      <c r="X33">
        <v>447</v>
      </c>
      <c r="AA33" s="3">
        <v>7.14</v>
      </c>
      <c r="AB33" s="9">
        <v>0.21963190184049081</v>
      </c>
    </row>
    <row r="34" spans="1:28" x14ac:dyDescent="0.25">
      <c r="A34" t="s">
        <v>46</v>
      </c>
      <c r="B34" t="s">
        <v>0</v>
      </c>
      <c r="C34">
        <v>63</v>
      </c>
      <c r="D34">
        <v>127</v>
      </c>
      <c r="E34" s="2">
        <v>9</v>
      </c>
      <c r="F34" t="s">
        <v>19</v>
      </c>
      <c r="I34" s="3">
        <v>11.36</v>
      </c>
      <c r="J34" s="9">
        <v>0.27107061503416857</v>
      </c>
      <c r="K34" s="11"/>
      <c r="M34" s="9"/>
      <c r="N34" t="s">
        <v>19</v>
      </c>
      <c r="O34">
        <v>127</v>
      </c>
      <c r="R34" s="12">
        <v>1.96</v>
      </c>
      <c r="S34" s="17">
        <v>0.37611408199643492</v>
      </c>
      <c r="T34" s="11"/>
      <c r="U34" s="9"/>
      <c r="V34" s="11"/>
      <c r="W34" s="9"/>
      <c r="X34">
        <v>127</v>
      </c>
      <c r="AA34" s="3">
        <v>3.72</v>
      </c>
      <c r="AB34" s="9">
        <v>0.21913236929922136</v>
      </c>
    </row>
    <row r="35" spans="1:28" x14ac:dyDescent="0.25">
      <c r="A35" t="s">
        <v>46</v>
      </c>
      <c r="B35" t="s">
        <v>0</v>
      </c>
      <c r="C35">
        <v>63</v>
      </c>
      <c r="D35">
        <v>219</v>
      </c>
      <c r="E35" s="2">
        <v>9</v>
      </c>
      <c r="F35" t="s">
        <v>19</v>
      </c>
      <c r="I35" s="3">
        <v>11.72</v>
      </c>
      <c r="J35" s="9">
        <v>0.25151148730350664</v>
      </c>
      <c r="K35" s="11">
        <v>109</v>
      </c>
      <c r="L35" s="3">
        <f>(I35+(((K35-32)/454)/J35))</f>
        <v>12.394337089122333</v>
      </c>
      <c r="M35" s="9"/>
      <c r="N35" t="s">
        <v>19</v>
      </c>
      <c r="O35">
        <v>219</v>
      </c>
      <c r="R35" s="3">
        <v>4.16</v>
      </c>
      <c r="S35" s="9">
        <v>0.3857566765578635</v>
      </c>
      <c r="T35" s="11">
        <v>136</v>
      </c>
      <c r="U35" s="3">
        <f>(R35+(((T35-32)/454)/S35))</f>
        <v>4.753832599118943</v>
      </c>
      <c r="V35" s="11"/>
      <c r="W35" s="9"/>
      <c r="X35">
        <v>219</v>
      </c>
      <c r="AA35" s="3">
        <v>7.04</v>
      </c>
      <c r="AB35" s="9">
        <v>0.18665018541409148</v>
      </c>
    </row>
    <row r="36" spans="1:28" x14ac:dyDescent="0.25">
      <c r="A36" t="s">
        <v>46</v>
      </c>
      <c r="B36" t="s">
        <v>0</v>
      </c>
      <c r="C36">
        <v>63</v>
      </c>
      <c r="D36">
        <v>335</v>
      </c>
      <c r="E36" s="2">
        <v>9</v>
      </c>
      <c r="F36" t="s">
        <v>19</v>
      </c>
      <c r="I36" s="3">
        <v>14.56</v>
      </c>
      <c r="J36" s="9">
        <v>0.24825986078886311</v>
      </c>
      <c r="K36" s="11">
        <v>77</v>
      </c>
      <c r="L36" s="3">
        <f>(I36+(((K36-32)/454)/J36))</f>
        <v>14.959254806702623</v>
      </c>
      <c r="M36" s="9"/>
      <c r="N36" t="s">
        <v>19</v>
      </c>
      <c r="O36">
        <v>335</v>
      </c>
      <c r="R36" s="3">
        <v>3.5</v>
      </c>
      <c r="S36" s="9">
        <v>0.36569148936170215</v>
      </c>
      <c r="T36" s="11">
        <v>168</v>
      </c>
      <c r="U36" s="3">
        <f>(R36+(((T36-32)/454)/S36))</f>
        <v>4.3191589907889467</v>
      </c>
      <c r="V36" s="11"/>
      <c r="W36" s="9"/>
      <c r="X36">
        <v>335</v>
      </c>
      <c r="AA36" s="3">
        <v>4.5199999999999996</v>
      </c>
      <c r="AB36" s="9">
        <v>0.22576687116564417</v>
      </c>
    </row>
    <row r="37" spans="1:28" x14ac:dyDescent="0.25">
      <c r="A37" t="s">
        <v>46</v>
      </c>
      <c r="B37" t="s">
        <v>0</v>
      </c>
      <c r="C37">
        <v>63</v>
      </c>
      <c r="D37">
        <v>432</v>
      </c>
      <c r="E37" s="2">
        <v>9</v>
      </c>
      <c r="F37" t="s">
        <v>19</v>
      </c>
      <c r="I37" s="3">
        <v>12.7</v>
      </c>
      <c r="J37" s="9">
        <v>0.25299760191846521</v>
      </c>
      <c r="K37" s="11"/>
      <c r="M37" s="9"/>
      <c r="N37" t="s">
        <v>19</v>
      </c>
      <c r="O37">
        <v>432</v>
      </c>
      <c r="R37" s="3">
        <v>4.5999999999999996</v>
      </c>
      <c r="S37" s="9">
        <v>0.32838038632986627</v>
      </c>
      <c r="T37" s="11"/>
      <c r="U37" s="9"/>
      <c r="V37" s="11"/>
      <c r="W37" s="9"/>
      <c r="X37">
        <v>432</v>
      </c>
      <c r="AA37" s="3">
        <v>4.3600000000000003</v>
      </c>
      <c r="AB37" s="9">
        <v>0.23448275862068965</v>
      </c>
    </row>
    <row r="38" spans="1:28" x14ac:dyDescent="0.25">
      <c r="A38" t="s">
        <v>46</v>
      </c>
      <c r="B38" t="s">
        <v>0</v>
      </c>
      <c r="C38">
        <v>63</v>
      </c>
      <c r="D38">
        <v>147</v>
      </c>
      <c r="E38" s="2">
        <v>10</v>
      </c>
      <c r="F38" t="s">
        <v>35</v>
      </c>
      <c r="I38" s="3">
        <v>14.92</v>
      </c>
      <c r="J38" s="9">
        <v>0.25407166123778502</v>
      </c>
      <c r="K38" s="11"/>
      <c r="M38" s="9"/>
      <c r="N38" t="s">
        <v>35</v>
      </c>
      <c r="O38">
        <v>147</v>
      </c>
      <c r="R38" s="3">
        <v>3.08</v>
      </c>
      <c r="S38" s="9">
        <v>0.37931034482758619</v>
      </c>
      <c r="T38" s="11"/>
      <c r="U38" s="9"/>
      <c r="V38" s="11"/>
      <c r="W38" s="9"/>
      <c r="X38">
        <v>147</v>
      </c>
      <c r="AA38" s="3">
        <v>3.94</v>
      </c>
      <c r="AB38" s="9">
        <v>0.23112480739599384</v>
      </c>
    </row>
    <row r="39" spans="1:28" x14ac:dyDescent="0.25">
      <c r="A39" t="s">
        <v>46</v>
      </c>
      <c r="B39" t="s">
        <v>0</v>
      </c>
      <c r="C39">
        <v>63</v>
      </c>
      <c r="D39">
        <v>224</v>
      </c>
      <c r="E39" s="2">
        <v>10</v>
      </c>
      <c r="F39" t="s">
        <v>35</v>
      </c>
      <c r="I39" s="3">
        <v>7.4</v>
      </c>
      <c r="J39" s="9">
        <v>0.2339304531085353</v>
      </c>
      <c r="K39" s="11">
        <v>84</v>
      </c>
      <c r="L39" s="3">
        <f>(I39+(((K39-32)/454)/J39))</f>
        <v>7.8896217803706792</v>
      </c>
      <c r="M39" s="9"/>
      <c r="N39" t="s">
        <v>35</v>
      </c>
      <c r="O39">
        <v>224</v>
      </c>
      <c r="R39" s="3">
        <v>3.74</v>
      </c>
      <c r="S39" s="9">
        <v>0.35875706214689268</v>
      </c>
      <c r="T39" s="11">
        <v>108</v>
      </c>
      <c r="U39" s="3">
        <f>(R39+(((T39-32)/454)/S39))</f>
        <v>4.2066134794824661</v>
      </c>
      <c r="V39" s="11"/>
      <c r="W39" s="9"/>
      <c r="X39">
        <v>224</v>
      </c>
      <c r="AA39" s="3">
        <v>6.84</v>
      </c>
      <c r="AB39" s="9">
        <v>0.19146341463414634</v>
      </c>
    </row>
    <row r="40" spans="1:28" x14ac:dyDescent="0.25">
      <c r="A40" t="s">
        <v>46</v>
      </c>
      <c r="B40" t="s">
        <v>0</v>
      </c>
      <c r="C40">
        <v>63</v>
      </c>
      <c r="D40">
        <v>341</v>
      </c>
      <c r="E40" s="2">
        <v>10</v>
      </c>
      <c r="F40" t="s">
        <v>35</v>
      </c>
      <c r="G40">
        <v>942</v>
      </c>
      <c r="H40">
        <v>249</v>
      </c>
      <c r="I40" s="3">
        <v>14.5</v>
      </c>
      <c r="J40" s="9">
        <v>0.23846153846153847</v>
      </c>
      <c r="K40" s="11">
        <v>81</v>
      </c>
      <c r="L40" s="3">
        <f>(I40+(((K40-32)/454)/J40))</f>
        <v>14.952607645303397</v>
      </c>
      <c r="M40" s="9"/>
      <c r="N40" t="s">
        <v>35</v>
      </c>
      <c r="O40">
        <v>341</v>
      </c>
      <c r="P40">
        <v>642</v>
      </c>
      <c r="Q40">
        <v>267</v>
      </c>
      <c r="R40" s="3">
        <v>3.12</v>
      </c>
      <c r="S40" s="9">
        <v>0.38524590163934425</v>
      </c>
      <c r="T40" s="11">
        <v>105</v>
      </c>
      <c r="U40" s="3">
        <f>(R40+(((T40-32)/454)/S40))</f>
        <v>3.5373774486831007</v>
      </c>
      <c r="V40" s="11"/>
      <c r="W40" s="9"/>
      <c r="X40">
        <v>341</v>
      </c>
      <c r="Y40">
        <v>878</v>
      </c>
      <c r="Z40">
        <v>208</v>
      </c>
      <c r="AA40" s="3">
        <v>5.19</v>
      </c>
      <c r="AB40" s="9">
        <v>0.20803782505910165</v>
      </c>
    </row>
    <row r="41" spans="1:28" x14ac:dyDescent="0.25">
      <c r="A41" t="s">
        <v>46</v>
      </c>
      <c r="B41" t="s">
        <v>0</v>
      </c>
      <c r="C41">
        <v>63</v>
      </c>
      <c r="D41">
        <v>423</v>
      </c>
      <c r="E41" s="2">
        <v>10</v>
      </c>
      <c r="F41" t="s">
        <v>35</v>
      </c>
      <c r="I41" s="3">
        <v>12.24</v>
      </c>
      <c r="J41" s="9">
        <v>0.26177285318559557</v>
      </c>
      <c r="K41" s="11"/>
      <c r="M41" s="9"/>
      <c r="N41" t="s">
        <v>35</v>
      </c>
      <c r="O41">
        <v>423</v>
      </c>
      <c r="R41" s="3">
        <v>3.32</v>
      </c>
      <c r="S41" s="9">
        <v>0.38351254480286739</v>
      </c>
      <c r="T41" s="11"/>
      <c r="U41" s="9"/>
      <c r="V41" s="11"/>
      <c r="W41" s="9"/>
      <c r="X41">
        <v>423</v>
      </c>
      <c r="AA41" s="3">
        <v>4.6399999999999997</v>
      </c>
      <c r="AB41" s="9">
        <v>0.21476510067114093</v>
      </c>
    </row>
    <row r="42" spans="1:28" x14ac:dyDescent="0.25">
      <c r="A42" t="s">
        <v>46</v>
      </c>
      <c r="B42" t="s">
        <v>0</v>
      </c>
      <c r="C42">
        <v>63</v>
      </c>
      <c r="D42">
        <v>122</v>
      </c>
      <c r="E42" s="2">
        <v>11</v>
      </c>
      <c r="F42" t="s">
        <v>15</v>
      </c>
      <c r="I42" s="3">
        <v>13.12</v>
      </c>
      <c r="J42" s="9">
        <v>0.24217844727694091</v>
      </c>
      <c r="K42" s="11"/>
      <c r="M42" s="9"/>
      <c r="N42" t="s">
        <v>15</v>
      </c>
      <c r="O42">
        <v>122</v>
      </c>
      <c r="R42" s="3">
        <v>3.54</v>
      </c>
      <c r="S42" s="9">
        <v>0.37404580152671757</v>
      </c>
      <c r="T42" s="11"/>
      <c r="U42" s="9"/>
      <c r="V42" s="11"/>
      <c r="W42" s="9"/>
      <c r="X42">
        <v>122</v>
      </c>
      <c r="AA42" s="3">
        <v>5.82</v>
      </c>
      <c r="AB42" s="9">
        <v>0.20776255707762556</v>
      </c>
    </row>
    <row r="43" spans="1:28" x14ac:dyDescent="0.25">
      <c r="A43" t="s">
        <v>46</v>
      </c>
      <c r="B43" t="s">
        <v>0</v>
      </c>
      <c r="C43">
        <v>63</v>
      </c>
      <c r="D43">
        <v>244</v>
      </c>
      <c r="E43" s="2">
        <v>11</v>
      </c>
      <c r="F43" t="s">
        <v>15</v>
      </c>
      <c r="I43" s="3">
        <v>11.36</v>
      </c>
      <c r="J43" s="9">
        <v>0.25356750823271129</v>
      </c>
      <c r="K43" s="11">
        <v>70</v>
      </c>
      <c r="L43" s="3">
        <f>(I43+(((K43-32)/454)/J43))</f>
        <v>11.690091347712492</v>
      </c>
      <c r="M43" s="9"/>
      <c r="N43" t="s">
        <v>15</v>
      </c>
      <c r="O43">
        <v>244</v>
      </c>
      <c r="R43" s="3">
        <v>4.28</v>
      </c>
      <c r="S43" s="9">
        <v>0.359039190897598</v>
      </c>
      <c r="T43" s="11">
        <v>109</v>
      </c>
      <c r="U43" s="3">
        <f>(R43+(((T43-32)/454)/S43))</f>
        <v>4.7523816467084448</v>
      </c>
      <c r="V43" s="11"/>
      <c r="W43" s="9"/>
      <c r="X43">
        <v>244</v>
      </c>
      <c r="AA43" s="3">
        <v>6.2</v>
      </c>
      <c r="AB43" s="9">
        <v>0.23172242874845106</v>
      </c>
    </row>
    <row r="44" spans="1:28" x14ac:dyDescent="0.25">
      <c r="A44" t="s">
        <v>46</v>
      </c>
      <c r="B44" t="s">
        <v>0</v>
      </c>
      <c r="C44">
        <v>63</v>
      </c>
      <c r="D44">
        <v>336</v>
      </c>
      <c r="E44" s="2">
        <v>11</v>
      </c>
      <c r="F44" t="s">
        <v>15</v>
      </c>
      <c r="I44" s="3">
        <v>17.079999999999998</v>
      </c>
      <c r="J44" s="9">
        <v>0.24825986078886311</v>
      </c>
      <c r="K44" s="11">
        <v>73</v>
      </c>
      <c r="L44" s="3">
        <f>(I44+(((K44-32)/454)/J44))</f>
        <v>17.443765490551275</v>
      </c>
      <c r="M44" s="9"/>
      <c r="N44" t="s">
        <v>15</v>
      </c>
      <c r="O44">
        <v>336</v>
      </c>
      <c r="R44" s="3">
        <v>5.36</v>
      </c>
      <c r="S44" s="9">
        <v>0.36569148936170215</v>
      </c>
      <c r="T44" s="11">
        <v>125</v>
      </c>
      <c r="U44" s="3">
        <f>(R44+(((T44-32)/454)/S44))</f>
        <v>5.9201601922306768</v>
      </c>
      <c r="V44" s="11"/>
      <c r="W44" s="9"/>
      <c r="X44">
        <v>336</v>
      </c>
      <c r="AA44" s="3">
        <v>5.16</v>
      </c>
      <c r="AB44" s="9">
        <v>0.22576687116564417</v>
      </c>
    </row>
    <row r="45" spans="1:28" x14ac:dyDescent="0.25">
      <c r="A45" t="s">
        <v>46</v>
      </c>
      <c r="B45" t="s">
        <v>0</v>
      </c>
      <c r="C45">
        <v>63</v>
      </c>
      <c r="D45">
        <v>425</v>
      </c>
      <c r="E45" s="2">
        <v>11</v>
      </c>
      <c r="F45" t="s">
        <v>15</v>
      </c>
      <c r="G45">
        <v>957</v>
      </c>
      <c r="H45">
        <v>276</v>
      </c>
      <c r="I45" s="3">
        <v>12.42</v>
      </c>
      <c r="J45" s="9">
        <v>0.26378378378378381</v>
      </c>
      <c r="K45" s="11"/>
      <c r="M45" s="9"/>
      <c r="N45" t="s">
        <v>15</v>
      </c>
      <c r="O45">
        <v>425</v>
      </c>
      <c r="P45">
        <v>606</v>
      </c>
      <c r="Q45">
        <v>242</v>
      </c>
      <c r="R45" s="12">
        <v>2.3199999999999998</v>
      </c>
      <c r="S45" s="17">
        <v>0.36585365853658536</v>
      </c>
      <c r="T45" s="11"/>
      <c r="U45" s="9"/>
      <c r="V45" s="11"/>
      <c r="W45" s="9"/>
      <c r="X45">
        <v>425</v>
      </c>
      <c r="Y45">
        <v>704</v>
      </c>
      <c r="Z45">
        <v>178</v>
      </c>
      <c r="AA45" s="3">
        <v>4.74</v>
      </c>
      <c r="AB45" s="9">
        <v>0.21726190476190477</v>
      </c>
    </row>
    <row r="46" spans="1:28" x14ac:dyDescent="0.25">
      <c r="A46" t="s">
        <v>46</v>
      </c>
      <c r="B46" t="s">
        <v>0</v>
      </c>
      <c r="C46">
        <v>63</v>
      </c>
      <c r="D46">
        <v>145</v>
      </c>
      <c r="E46" s="2">
        <v>12</v>
      </c>
      <c r="F46" t="s">
        <v>33</v>
      </c>
      <c r="G46">
        <v>953</v>
      </c>
      <c r="H46">
        <v>266</v>
      </c>
      <c r="I46" s="3">
        <v>15.98</v>
      </c>
      <c r="J46" s="9">
        <v>0.25407166123778502</v>
      </c>
      <c r="K46" s="11"/>
      <c r="M46" s="9"/>
      <c r="N46" t="s">
        <v>33</v>
      </c>
      <c r="O46">
        <v>145</v>
      </c>
      <c r="P46">
        <v>641</v>
      </c>
      <c r="Q46">
        <v>263</v>
      </c>
      <c r="R46" s="3">
        <v>3.6</v>
      </c>
      <c r="S46" s="9">
        <v>0.37931034482758619</v>
      </c>
      <c r="T46" s="11"/>
      <c r="U46" s="9"/>
      <c r="V46" s="11"/>
      <c r="W46" s="9"/>
      <c r="X46">
        <v>145</v>
      </c>
      <c r="Y46">
        <v>681</v>
      </c>
      <c r="Z46">
        <v>182</v>
      </c>
      <c r="AA46" s="3">
        <v>4.0199999999999996</v>
      </c>
      <c r="AB46" s="9">
        <v>0.23112480739599384</v>
      </c>
    </row>
    <row r="47" spans="1:28" x14ac:dyDescent="0.25">
      <c r="A47" t="s">
        <v>46</v>
      </c>
      <c r="B47" t="s">
        <v>0</v>
      </c>
      <c r="C47">
        <v>63</v>
      </c>
      <c r="D47">
        <v>235</v>
      </c>
      <c r="E47" s="2">
        <v>12</v>
      </c>
      <c r="F47" t="s">
        <v>33</v>
      </c>
      <c r="I47" s="3">
        <v>14.72</v>
      </c>
      <c r="J47" s="9">
        <v>0.25690276110444177</v>
      </c>
      <c r="K47" s="11">
        <v>98</v>
      </c>
      <c r="L47" s="3">
        <f>(I47+(((K47-32)/454)/J47))</f>
        <v>15.285873440652148</v>
      </c>
      <c r="M47" s="9"/>
      <c r="N47" t="s">
        <v>33</v>
      </c>
      <c r="O47">
        <v>235</v>
      </c>
      <c r="R47" s="3">
        <v>6.82</v>
      </c>
      <c r="S47" s="9">
        <v>0.33889602053915274</v>
      </c>
      <c r="T47" s="11">
        <v>132</v>
      </c>
      <c r="U47" s="3">
        <f>(R47+(((T47-32)/454)/S47))</f>
        <v>7.4699466025897747</v>
      </c>
      <c r="V47" s="11"/>
      <c r="W47" s="9"/>
      <c r="X47">
        <v>235</v>
      </c>
      <c r="AA47" s="3">
        <v>6.12</v>
      </c>
      <c r="AB47" s="9">
        <v>0.2264957264957265</v>
      </c>
    </row>
    <row r="48" spans="1:28" x14ac:dyDescent="0.25">
      <c r="A48" t="s">
        <v>46</v>
      </c>
      <c r="B48" t="s">
        <v>0</v>
      </c>
      <c r="C48">
        <v>63</v>
      </c>
      <c r="D48">
        <v>325</v>
      </c>
      <c r="E48" s="2">
        <v>12</v>
      </c>
      <c r="F48" t="s">
        <v>33</v>
      </c>
      <c r="G48">
        <v>815</v>
      </c>
      <c r="H48">
        <v>226</v>
      </c>
      <c r="I48" s="3">
        <v>17.84</v>
      </c>
      <c r="J48" s="9">
        <v>0.24776500638569604</v>
      </c>
      <c r="K48" s="11">
        <v>94</v>
      </c>
      <c r="L48" s="3">
        <f>(I48+(((K48-32)/454)/J48))</f>
        <v>18.391183069167536</v>
      </c>
      <c r="M48" s="9"/>
      <c r="N48" t="s">
        <v>33</v>
      </c>
      <c r="O48">
        <v>325</v>
      </c>
      <c r="P48">
        <v>562</v>
      </c>
      <c r="Q48">
        <v>227</v>
      </c>
      <c r="R48" s="12">
        <v>3.24</v>
      </c>
      <c r="S48" s="17">
        <v>0.36792452830188677</v>
      </c>
      <c r="T48" s="18">
        <v>120</v>
      </c>
      <c r="U48" s="12">
        <f>(R48+(((T48-32)/454)/S48))</f>
        <v>3.7668270642719985</v>
      </c>
      <c r="V48" s="11"/>
      <c r="W48" s="9"/>
      <c r="X48">
        <v>325</v>
      </c>
      <c r="Y48">
        <v>852</v>
      </c>
      <c r="Z48">
        <v>214</v>
      </c>
      <c r="AA48" s="3">
        <v>4.72</v>
      </c>
      <c r="AB48" s="9">
        <v>0.22195121951219512</v>
      </c>
    </row>
    <row r="49" spans="1:28" x14ac:dyDescent="0.25">
      <c r="A49" t="s">
        <v>46</v>
      </c>
      <c r="B49" t="s">
        <v>0</v>
      </c>
      <c r="C49">
        <v>63</v>
      </c>
      <c r="D49">
        <v>446</v>
      </c>
      <c r="E49" s="2">
        <v>12</v>
      </c>
      <c r="F49" t="s">
        <v>33</v>
      </c>
      <c r="I49" s="3">
        <v>15.22</v>
      </c>
      <c r="J49" s="9">
        <v>0.24587912087912087</v>
      </c>
      <c r="K49" s="11"/>
      <c r="M49" s="9"/>
      <c r="N49" t="s">
        <v>33</v>
      </c>
      <c r="O49">
        <v>446</v>
      </c>
      <c r="R49" s="3">
        <v>4.82</v>
      </c>
      <c r="S49" s="9">
        <v>0.38190184049079756</v>
      </c>
      <c r="T49" s="11"/>
      <c r="U49" s="9"/>
      <c r="V49" s="11"/>
      <c r="W49" s="9"/>
      <c r="X49">
        <v>446</v>
      </c>
      <c r="AA49" s="3">
        <v>6.8</v>
      </c>
      <c r="AB49" s="9">
        <v>0.21963190184049081</v>
      </c>
    </row>
    <row r="50" spans="1:28" x14ac:dyDescent="0.25">
      <c r="A50" t="s">
        <v>46</v>
      </c>
      <c r="B50" t="s">
        <v>0</v>
      </c>
      <c r="C50">
        <v>63</v>
      </c>
      <c r="D50">
        <v>132</v>
      </c>
      <c r="E50" s="2">
        <v>13</v>
      </c>
      <c r="F50" t="s">
        <v>24</v>
      </c>
      <c r="I50" s="3">
        <v>11.74</v>
      </c>
      <c r="J50" s="9">
        <v>0.26605504587155965</v>
      </c>
      <c r="K50" s="11"/>
      <c r="M50" s="9"/>
      <c r="N50" t="s">
        <v>24</v>
      </c>
      <c r="O50">
        <v>132</v>
      </c>
      <c r="R50" s="3">
        <v>2.7</v>
      </c>
      <c r="S50" s="9">
        <v>0.35714285714285715</v>
      </c>
      <c r="T50" s="11"/>
      <c r="U50" s="9"/>
      <c r="V50" s="11"/>
      <c r="W50" s="9"/>
      <c r="X50">
        <v>132</v>
      </c>
      <c r="AA50" s="3">
        <v>3.5</v>
      </c>
      <c r="AB50" s="9">
        <v>0.22686567164179106</v>
      </c>
    </row>
    <row r="51" spans="1:28" x14ac:dyDescent="0.25">
      <c r="A51" t="s">
        <v>46</v>
      </c>
      <c r="B51" t="s">
        <v>0</v>
      </c>
      <c r="C51">
        <v>63</v>
      </c>
      <c r="D51">
        <v>242</v>
      </c>
      <c r="E51" s="2">
        <v>13</v>
      </c>
      <c r="F51" t="s">
        <v>24</v>
      </c>
      <c r="I51" s="3">
        <v>14.68</v>
      </c>
      <c r="J51" s="9">
        <v>0.25356750823271129</v>
      </c>
      <c r="K51" s="11">
        <v>85</v>
      </c>
      <c r="L51" s="3">
        <f>(I51+(((K51-32)/454)/J51))</f>
        <v>15.140390563914792</v>
      </c>
      <c r="M51" s="9"/>
      <c r="N51" t="s">
        <v>24</v>
      </c>
      <c r="O51">
        <v>242</v>
      </c>
      <c r="R51" s="3">
        <v>5.72</v>
      </c>
      <c r="S51" s="9">
        <v>0.359039190897598</v>
      </c>
      <c r="T51" s="11">
        <v>145</v>
      </c>
      <c r="U51" s="3">
        <f>(R51+(((T51-32)/454)/S51))</f>
        <v>6.4132354036110932</v>
      </c>
      <c r="V51" s="11"/>
      <c r="W51" s="9"/>
      <c r="X51">
        <v>242</v>
      </c>
      <c r="AA51" s="3">
        <v>5.68</v>
      </c>
      <c r="AB51" s="9">
        <v>0.23172242874845106</v>
      </c>
    </row>
    <row r="52" spans="1:28" x14ac:dyDescent="0.25">
      <c r="A52" t="s">
        <v>46</v>
      </c>
      <c r="B52" t="s">
        <v>0</v>
      </c>
      <c r="C52">
        <v>63</v>
      </c>
      <c r="D52">
        <v>314</v>
      </c>
      <c r="E52" s="2">
        <v>13</v>
      </c>
      <c r="F52" t="s">
        <v>24</v>
      </c>
      <c r="I52" s="3">
        <v>15.02</v>
      </c>
      <c r="J52" s="9">
        <v>0.24795321637426901</v>
      </c>
      <c r="K52" s="11">
        <v>93</v>
      </c>
      <c r="L52" s="3">
        <f>(I52+(((K52-32)/454)/J52))</f>
        <v>15.561881389743164</v>
      </c>
      <c r="M52" s="9"/>
      <c r="N52" t="s">
        <v>24</v>
      </c>
      <c r="O52">
        <v>314</v>
      </c>
      <c r="R52" s="3">
        <v>4.76</v>
      </c>
      <c r="S52" s="9">
        <v>0.35792349726775957</v>
      </c>
      <c r="T52" s="11">
        <v>129</v>
      </c>
      <c r="U52" s="3">
        <f>(R52+(((T52-32)/454)/S52))</f>
        <v>5.3569331136294851</v>
      </c>
      <c r="V52" s="11"/>
      <c r="W52" s="9"/>
      <c r="X52">
        <v>314</v>
      </c>
      <c r="AA52" s="3">
        <v>4.1399999999999997</v>
      </c>
      <c r="AB52" s="9">
        <v>0.21408450704225351</v>
      </c>
    </row>
    <row r="53" spans="1:28" x14ac:dyDescent="0.25">
      <c r="A53" t="s">
        <v>46</v>
      </c>
      <c r="B53" t="s">
        <v>0</v>
      </c>
      <c r="C53">
        <v>63</v>
      </c>
      <c r="D53">
        <v>440</v>
      </c>
      <c r="E53" s="2">
        <v>13</v>
      </c>
      <c r="F53" t="s">
        <v>24</v>
      </c>
      <c r="I53" s="3">
        <v>12.08</v>
      </c>
      <c r="J53" s="9">
        <v>0.26895565092989987</v>
      </c>
      <c r="K53" s="11"/>
      <c r="M53" s="9"/>
      <c r="N53" t="s">
        <v>24</v>
      </c>
      <c r="O53">
        <v>440</v>
      </c>
      <c r="R53" s="3">
        <v>4.1399999999999997</v>
      </c>
      <c r="S53" s="9">
        <v>0.37623762376237624</v>
      </c>
      <c r="T53" s="11"/>
      <c r="U53" s="9"/>
      <c r="V53" s="11"/>
      <c r="W53" s="9"/>
      <c r="X53">
        <v>440</v>
      </c>
      <c r="AA53" s="3">
        <v>4.28</v>
      </c>
      <c r="AB53" s="9">
        <v>0.22526041666666666</v>
      </c>
    </row>
    <row r="54" spans="1:28" x14ac:dyDescent="0.25">
      <c r="A54" t="s">
        <v>46</v>
      </c>
      <c r="B54" t="s">
        <v>0</v>
      </c>
      <c r="C54">
        <v>63</v>
      </c>
      <c r="D54">
        <v>134</v>
      </c>
      <c r="E54" s="2">
        <v>14</v>
      </c>
      <c r="F54" t="s">
        <v>25</v>
      </c>
      <c r="I54" s="3">
        <v>12.92</v>
      </c>
      <c r="J54" s="9">
        <v>0.26200417536534448</v>
      </c>
      <c r="K54" s="11"/>
      <c r="M54" s="9"/>
      <c r="N54" t="s">
        <v>25</v>
      </c>
      <c r="O54">
        <v>134</v>
      </c>
      <c r="R54" s="3">
        <v>2.92</v>
      </c>
      <c r="S54" s="9">
        <v>0.36671177266576455</v>
      </c>
      <c r="T54" s="11"/>
      <c r="U54" s="9"/>
      <c r="V54" s="11"/>
      <c r="W54" s="9"/>
      <c r="X54">
        <v>134</v>
      </c>
      <c r="AA54" s="3">
        <v>3.52</v>
      </c>
      <c r="AB54" s="9">
        <v>0.2286158631415241</v>
      </c>
    </row>
    <row r="55" spans="1:28" x14ac:dyDescent="0.25">
      <c r="A55" t="s">
        <v>46</v>
      </c>
      <c r="B55" t="s">
        <v>0</v>
      </c>
      <c r="C55">
        <v>63</v>
      </c>
      <c r="D55">
        <v>247</v>
      </c>
      <c r="E55" s="2">
        <v>14</v>
      </c>
      <c r="F55" t="s">
        <v>25</v>
      </c>
      <c r="I55" s="3">
        <v>15.82</v>
      </c>
      <c r="J55" s="9">
        <v>0.23837784371909002</v>
      </c>
      <c r="K55" s="11">
        <v>68</v>
      </c>
      <c r="L55" s="3">
        <f>(I55+(((K55-32)/454)/J55))</f>
        <v>16.152644816933847</v>
      </c>
      <c r="M55" s="9"/>
      <c r="N55" t="s">
        <v>25</v>
      </c>
      <c r="O55">
        <v>247</v>
      </c>
      <c r="R55" s="3">
        <v>3.9</v>
      </c>
      <c r="S55" s="9">
        <v>0.35953177257525082</v>
      </c>
      <c r="T55" s="11">
        <v>114</v>
      </c>
      <c r="U55" s="3">
        <f>(R55+(((T55-32)/454)/S55))</f>
        <v>4.4023665608031965</v>
      </c>
      <c r="V55" s="11"/>
      <c r="W55" s="9"/>
      <c r="X55">
        <v>247</v>
      </c>
      <c r="AA55" s="3">
        <v>7.12</v>
      </c>
      <c r="AB55" s="9">
        <v>0.2196969696969697</v>
      </c>
    </row>
    <row r="56" spans="1:28" x14ac:dyDescent="0.25">
      <c r="A56" t="s">
        <v>46</v>
      </c>
      <c r="B56" t="s">
        <v>0</v>
      </c>
      <c r="C56">
        <v>63</v>
      </c>
      <c r="D56">
        <v>333</v>
      </c>
      <c r="E56" s="2">
        <v>14</v>
      </c>
      <c r="F56" t="s">
        <v>25</v>
      </c>
      <c r="G56">
        <v>894</v>
      </c>
      <c r="H56">
        <v>246</v>
      </c>
      <c r="I56" s="3">
        <v>13.86</v>
      </c>
      <c r="J56" s="9">
        <v>0.24825986078886311</v>
      </c>
      <c r="K56" s="11">
        <v>71</v>
      </c>
      <c r="L56" s="3">
        <f>(I56+(((K56-32)/454)/J56))</f>
        <v>14.206020832475605</v>
      </c>
      <c r="M56" s="9"/>
      <c r="N56" t="s">
        <v>25</v>
      </c>
      <c r="O56">
        <v>333</v>
      </c>
      <c r="P56">
        <v>784</v>
      </c>
      <c r="Q56">
        <v>307</v>
      </c>
      <c r="R56" s="3">
        <v>3.32</v>
      </c>
      <c r="S56" s="9">
        <v>0.36569148936170215</v>
      </c>
      <c r="T56" s="11">
        <v>129</v>
      </c>
      <c r="U56" s="3">
        <f>(R56+(((T56-32)/454)/S56))</f>
        <v>3.9042531037244692</v>
      </c>
      <c r="V56" s="11"/>
      <c r="W56" s="9"/>
      <c r="X56">
        <v>333</v>
      </c>
      <c r="Y56">
        <v>847</v>
      </c>
      <c r="Z56">
        <v>216</v>
      </c>
      <c r="AA56" s="3">
        <v>3.9</v>
      </c>
      <c r="AB56" s="9">
        <v>0.22576687116564417</v>
      </c>
    </row>
    <row r="57" spans="1:28" x14ac:dyDescent="0.25">
      <c r="A57" t="s">
        <v>46</v>
      </c>
      <c r="B57" t="s">
        <v>0</v>
      </c>
      <c r="C57">
        <v>63</v>
      </c>
      <c r="D57">
        <v>436</v>
      </c>
      <c r="E57" s="2">
        <v>14</v>
      </c>
      <c r="F57" t="s">
        <v>25</v>
      </c>
      <c r="I57" s="3">
        <v>12.92</v>
      </c>
      <c r="J57" s="9">
        <v>0.25505617977528089</v>
      </c>
      <c r="K57" s="11"/>
      <c r="M57" s="9"/>
      <c r="N57" t="s">
        <v>25</v>
      </c>
      <c r="O57">
        <v>436</v>
      </c>
      <c r="R57" s="3">
        <v>2.84</v>
      </c>
      <c r="S57" s="9">
        <v>0.32027027027027027</v>
      </c>
      <c r="T57" s="11"/>
      <c r="U57" s="9"/>
      <c r="V57" s="11"/>
      <c r="W57" s="9"/>
      <c r="X57">
        <v>436</v>
      </c>
      <c r="AA57" s="3">
        <v>4.38</v>
      </c>
      <c r="AB57" s="9">
        <v>0.2233502538071066</v>
      </c>
    </row>
    <row r="58" spans="1:28" x14ac:dyDescent="0.25">
      <c r="A58" t="s">
        <v>46</v>
      </c>
      <c r="B58" t="s">
        <v>0</v>
      </c>
      <c r="C58">
        <v>63</v>
      </c>
      <c r="D58">
        <v>128</v>
      </c>
      <c r="E58" s="2">
        <v>15</v>
      </c>
      <c r="F58" t="s">
        <v>20</v>
      </c>
      <c r="I58" s="3">
        <v>12.7</v>
      </c>
      <c r="J58" s="9">
        <v>0.27107061503416857</v>
      </c>
      <c r="K58" s="11"/>
      <c r="M58" s="9"/>
      <c r="N58" t="s">
        <v>20</v>
      </c>
      <c r="O58">
        <v>128</v>
      </c>
      <c r="R58" s="12">
        <v>1.94</v>
      </c>
      <c r="S58" s="17">
        <v>0.37611408199643492</v>
      </c>
      <c r="T58" s="11"/>
      <c r="U58" s="9"/>
      <c r="V58" s="11"/>
      <c r="W58" s="9"/>
      <c r="X58">
        <v>128</v>
      </c>
      <c r="AA58" s="3">
        <v>3.76</v>
      </c>
      <c r="AB58" s="9">
        <v>0.21913236929922136</v>
      </c>
    </row>
    <row r="59" spans="1:28" x14ac:dyDescent="0.25">
      <c r="A59" t="s">
        <v>46</v>
      </c>
      <c r="B59" t="s">
        <v>0</v>
      </c>
      <c r="C59">
        <v>63</v>
      </c>
      <c r="D59">
        <v>240</v>
      </c>
      <c r="E59" s="2">
        <v>15</v>
      </c>
      <c r="F59" t="s">
        <v>20</v>
      </c>
      <c r="I59" s="3">
        <v>13.38</v>
      </c>
      <c r="J59" s="9">
        <v>0.24646983311938384</v>
      </c>
      <c r="K59" s="11">
        <v>94</v>
      </c>
      <c r="L59" s="3">
        <f>(I59+(((K59-32)/454)/J59))</f>
        <v>13.934079478707783</v>
      </c>
      <c r="M59" s="9"/>
      <c r="N59" t="s">
        <v>20</v>
      </c>
      <c r="O59">
        <v>240</v>
      </c>
      <c r="R59" s="3">
        <v>4.82</v>
      </c>
      <c r="S59" s="9">
        <v>0.35202492211838005</v>
      </c>
      <c r="T59" s="11">
        <v>195</v>
      </c>
      <c r="U59" s="3">
        <f>(R59+(((T59-32)/454)/S59))</f>
        <v>5.8399017582160546</v>
      </c>
      <c r="V59" s="11"/>
      <c r="W59" s="9"/>
      <c r="X59">
        <v>240</v>
      </c>
      <c r="AA59" s="3">
        <v>4.82</v>
      </c>
      <c r="AB59" s="9">
        <v>0.21917808219178081</v>
      </c>
    </row>
    <row r="60" spans="1:28" x14ac:dyDescent="0.25">
      <c r="A60" t="s">
        <v>46</v>
      </c>
      <c r="B60" t="s">
        <v>0</v>
      </c>
      <c r="C60">
        <v>63</v>
      </c>
      <c r="D60">
        <v>323</v>
      </c>
      <c r="E60" s="2">
        <v>15</v>
      </c>
      <c r="F60" t="s">
        <v>20</v>
      </c>
      <c r="I60" s="3">
        <v>16.2</v>
      </c>
      <c r="J60" s="9">
        <v>0.23829787234042554</v>
      </c>
      <c r="K60" s="11">
        <v>93</v>
      </c>
      <c r="L60" s="3">
        <f>(I60+(((K60-32)/454)/J60))</f>
        <v>16.763837319068596</v>
      </c>
      <c r="M60" s="9"/>
      <c r="N60" t="s">
        <v>20</v>
      </c>
      <c r="O60">
        <v>323</v>
      </c>
      <c r="R60" s="3">
        <v>3.92</v>
      </c>
      <c r="S60" s="9">
        <v>0.3888888888888889</v>
      </c>
      <c r="T60" s="11">
        <v>217</v>
      </c>
      <c r="U60" s="3">
        <f>(R60+(((T60-32)/454)/S60))</f>
        <v>4.9678288231592198</v>
      </c>
      <c r="V60" s="11"/>
      <c r="W60" s="9"/>
      <c r="X60">
        <v>323</v>
      </c>
      <c r="AA60" s="3">
        <v>4.58</v>
      </c>
      <c r="AB60" s="9">
        <v>0.21706398996235884</v>
      </c>
    </row>
    <row r="61" spans="1:28" x14ac:dyDescent="0.25">
      <c r="A61" t="s">
        <v>46</v>
      </c>
      <c r="B61" t="s">
        <v>0</v>
      </c>
      <c r="C61">
        <v>63</v>
      </c>
      <c r="D61">
        <v>445</v>
      </c>
      <c r="E61" s="2">
        <v>15</v>
      </c>
      <c r="F61" t="s">
        <v>20</v>
      </c>
      <c r="G61">
        <v>760</v>
      </c>
      <c r="H61">
        <v>211</v>
      </c>
      <c r="I61" s="3">
        <v>12.1</v>
      </c>
      <c r="J61" s="9">
        <v>0.24587912087912087</v>
      </c>
      <c r="K61" s="11"/>
      <c r="M61" s="9"/>
      <c r="N61" t="s">
        <v>20</v>
      </c>
      <c r="O61">
        <v>445</v>
      </c>
      <c r="P61">
        <v>684</v>
      </c>
      <c r="Q61">
        <v>281</v>
      </c>
      <c r="R61" s="3">
        <v>4.32</v>
      </c>
      <c r="S61" s="9">
        <v>0.38190184049079756</v>
      </c>
      <c r="T61" s="11"/>
      <c r="U61" s="9"/>
      <c r="V61" s="11"/>
      <c r="W61" s="9"/>
      <c r="X61">
        <v>445</v>
      </c>
      <c r="Y61">
        <v>847</v>
      </c>
      <c r="Z61">
        <v>211</v>
      </c>
      <c r="AA61" s="3">
        <v>5.8</v>
      </c>
      <c r="AB61" s="9">
        <v>0.21963190184049081</v>
      </c>
    </row>
    <row r="62" spans="1:28" x14ac:dyDescent="0.25">
      <c r="A62" t="s">
        <v>46</v>
      </c>
      <c r="B62" t="s">
        <v>0</v>
      </c>
      <c r="C62">
        <v>63</v>
      </c>
      <c r="D62">
        <v>119</v>
      </c>
      <c r="E62" s="2">
        <v>16</v>
      </c>
      <c r="F62" t="s">
        <v>12</v>
      </c>
      <c r="I62" s="3">
        <v>9.48</v>
      </c>
      <c r="J62" s="9">
        <v>0.25350593311758363</v>
      </c>
      <c r="K62" s="11"/>
      <c r="M62" s="9"/>
      <c r="N62" t="s">
        <v>12</v>
      </c>
      <c r="O62">
        <v>119</v>
      </c>
      <c r="R62" s="3">
        <v>2.54</v>
      </c>
      <c r="S62" s="9">
        <v>0.38235294117647056</v>
      </c>
      <c r="T62" s="11"/>
      <c r="U62" s="9"/>
      <c r="V62" s="11"/>
      <c r="W62" s="9"/>
      <c r="X62">
        <v>119</v>
      </c>
      <c r="AA62" s="3">
        <v>4.3600000000000003</v>
      </c>
      <c r="AB62" s="9">
        <v>0.21153846153846154</v>
      </c>
    </row>
    <row r="63" spans="1:28" x14ac:dyDescent="0.25">
      <c r="A63" t="s">
        <v>46</v>
      </c>
      <c r="B63" t="s">
        <v>0</v>
      </c>
      <c r="C63">
        <v>63</v>
      </c>
      <c r="D63">
        <v>238</v>
      </c>
      <c r="E63" s="2">
        <v>16</v>
      </c>
      <c r="F63" t="s">
        <v>12</v>
      </c>
      <c r="I63" s="3">
        <v>12.14</v>
      </c>
      <c r="J63" s="9">
        <v>0.24646983311938384</v>
      </c>
      <c r="K63" s="11">
        <v>66</v>
      </c>
      <c r="L63" s="3">
        <f>(I63+(((K63-32)/454)/J63))</f>
        <v>12.443850036710721</v>
      </c>
      <c r="M63" s="9"/>
      <c r="N63" t="s">
        <v>12</v>
      </c>
      <c r="O63">
        <v>238</v>
      </c>
      <c r="R63" s="3">
        <v>4.34</v>
      </c>
      <c r="S63" s="9">
        <v>0.35202492211838005</v>
      </c>
      <c r="T63" s="11">
        <v>120</v>
      </c>
      <c r="U63" s="3">
        <f>(R63+(((T63-32)/454)/S63))</f>
        <v>4.8906218081166424</v>
      </c>
      <c r="V63" s="11"/>
      <c r="W63" s="9"/>
      <c r="X63">
        <v>238</v>
      </c>
      <c r="AA63" s="3">
        <v>4.78</v>
      </c>
      <c r="AB63" s="9">
        <v>0.21917808219178081</v>
      </c>
    </row>
    <row r="64" spans="1:28" x14ac:dyDescent="0.25">
      <c r="A64" t="s">
        <v>46</v>
      </c>
      <c r="B64" t="s">
        <v>0</v>
      </c>
      <c r="C64">
        <v>63</v>
      </c>
      <c r="D64">
        <v>345</v>
      </c>
      <c r="E64" s="2">
        <v>16</v>
      </c>
      <c r="F64" t="s">
        <v>12</v>
      </c>
      <c r="G64">
        <v>944</v>
      </c>
      <c r="H64">
        <v>260</v>
      </c>
      <c r="I64" s="3">
        <v>13.22</v>
      </c>
      <c r="J64" s="9">
        <v>0.25</v>
      </c>
      <c r="K64" s="11">
        <v>82</v>
      </c>
      <c r="L64" s="3">
        <f>(I64+(((K64-32)/454)/J64))</f>
        <v>13.660528634361235</v>
      </c>
      <c r="M64" s="9"/>
      <c r="N64" t="s">
        <v>12</v>
      </c>
      <c r="O64">
        <v>345</v>
      </c>
      <c r="P64">
        <v>344</v>
      </c>
      <c r="Q64">
        <v>161</v>
      </c>
      <c r="R64" s="3">
        <v>3.14</v>
      </c>
      <c r="S64" s="9">
        <v>0.41346153846153844</v>
      </c>
      <c r="T64" s="11">
        <v>151</v>
      </c>
      <c r="U64" s="3">
        <f>(R64+(((T64-32)/454)/S64))</f>
        <v>3.7739514394017006</v>
      </c>
      <c r="V64" s="11"/>
      <c r="W64" s="9"/>
      <c r="X64">
        <v>345</v>
      </c>
      <c r="Y64">
        <v>772</v>
      </c>
      <c r="Z64">
        <v>190</v>
      </c>
      <c r="AA64" s="3">
        <v>4.54</v>
      </c>
      <c r="AB64" s="9">
        <v>0.21351351351351353</v>
      </c>
    </row>
    <row r="65" spans="1:28" x14ac:dyDescent="0.25">
      <c r="A65" t="s">
        <v>46</v>
      </c>
      <c r="B65" t="s">
        <v>0</v>
      </c>
      <c r="C65">
        <v>63</v>
      </c>
      <c r="D65">
        <v>433</v>
      </c>
      <c r="E65" s="2">
        <v>16</v>
      </c>
      <c r="F65" t="s">
        <v>12</v>
      </c>
      <c r="G65">
        <v>922</v>
      </c>
      <c r="H65">
        <v>259</v>
      </c>
      <c r="I65" s="3">
        <v>11.22</v>
      </c>
      <c r="J65" s="9">
        <v>0.25505617977528089</v>
      </c>
      <c r="K65" s="11"/>
      <c r="M65" s="9"/>
      <c r="N65" t="s">
        <v>12</v>
      </c>
      <c r="O65">
        <v>433</v>
      </c>
      <c r="P65">
        <v>772</v>
      </c>
      <c r="Q65">
        <v>269</v>
      </c>
      <c r="R65" s="3">
        <v>4.74</v>
      </c>
      <c r="S65" s="9">
        <v>0.32027027027027027</v>
      </c>
      <c r="T65" s="11"/>
      <c r="U65" s="9"/>
      <c r="V65" s="11"/>
      <c r="W65" s="9"/>
      <c r="X65">
        <v>433</v>
      </c>
      <c r="Y65">
        <v>820</v>
      </c>
      <c r="Z65">
        <v>208</v>
      </c>
      <c r="AA65" s="3">
        <v>3.58</v>
      </c>
      <c r="AB65" s="9">
        <v>0.2233502538071066</v>
      </c>
    </row>
    <row r="66" spans="1:28" x14ac:dyDescent="0.25">
      <c r="A66" t="s">
        <v>46</v>
      </c>
      <c r="B66" t="s">
        <v>0</v>
      </c>
      <c r="C66">
        <v>63</v>
      </c>
      <c r="D66">
        <v>124</v>
      </c>
      <c r="E66" s="2">
        <v>17</v>
      </c>
      <c r="F66" t="s">
        <v>17</v>
      </c>
      <c r="I66" s="3">
        <v>14.58</v>
      </c>
      <c r="J66" s="9">
        <v>0.24217844727694091</v>
      </c>
      <c r="K66" s="11"/>
      <c r="M66" s="9"/>
      <c r="N66" t="s">
        <v>17</v>
      </c>
      <c r="O66">
        <v>124</v>
      </c>
      <c r="R66" s="3">
        <v>3.44</v>
      </c>
      <c r="S66" s="9">
        <v>0.37404580152671757</v>
      </c>
      <c r="T66" s="11"/>
      <c r="U66" s="9"/>
      <c r="V66" s="11"/>
      <c r="W66" s="9"/>
      <c r="X66">
        <v>124</v>
      </c>
      <c r="AA66" s="3">
        <v>4.68</v>
      </c>
      <c r="AB66" s="9">
        <v>0.20776255707762556</v>
      </c>
    </row>
    <row r="67" spans="1:28" x14ac:dyDescent="0.25">
      <c r="A67" t="s">
        <v>46</v>
      </c>
      <c r="B67" t="s">
        <v>0</v>
      </c>
      <c r="C67">
        <v>63</v>
      </c>
      <c r="D67">
        <v>227</v>
      </c>
      <c r="E67" s="2">
        <v>17</v>
      </c>
      <c r="F67" t="s">
        <v>17</v>
      </c>
      <c r="I67" s="3">
        <v>13.2</v>
      </c>
      <c r="J67" s="9">
        <v>0.23863636363636365</v>
      </c>
      <c r="K67" s="11">
        <v>72</v>
      </c>
      <c r="L67" s="3">
        <f>(I67+(((K67-32)/454)/J67))</f>
        <v>13.569204950702748</v>
      </c>
      <c r="M67" s="9"/>
      <c r="N67" t="s">
        <v>17</v>
      </c>
      <c r="O67">
        <v>227</v>
      </c>
      <c r="R67" s="12">
        <v>3.18</v>
      </c>
      <c r="S67" s="17">
        <v>0.36224489795918369</v>
      </c>
      <c r="T67" s="18">
        <v>177</v>
      </c>
      <c r="U67" s="12">
        <f>(R67+(((T67-32)/454)/S67))</f>
        <v>4.0616777315877641</v>
      </c>
      <c r="V67" s="11"/>
      <c r="W67" s="9"/>
      <c r="X67">
        <v>227</v>
      </c>
      <c r="AA67" s="3">
        <v>4.9000000000000004</v>
      </c>
      <c r="AB67" s="9">
        <v>0.19170984455958548</v>
      </c>
    </row>
    <row r="68" spans="1:28" x14ac:dyDescent="0.25">
      <c r="A68" t="s">
        <v>46</v>
      </c>
      <c r="B68" t="s">
        <v>0</v>
      </c>
      <c r="C68">
        <v>63</v>
      </c>
      <c r="D68">
        <v>331</v>
      </c>
      <c r="E68" s="2">
        <v>17</v>
      </c>
      <c r="F68" t="s">
        <v>17</v>
      </c>
      <c r="I68" s="3">
        <v>15.36</v>
      </c>
      <c r="J68" s="9">
        <v>0.22252010723860591</v>
      </c>
      <c r="K68" s="11">
        <v>93</v>
      </c>
      <c r="L68" s="3">
        <f>(I68+(((K68-32)/454)/J68))</f>
        <v>15.963816145639827</v>
      </c>
      <c r="M68" s="9"/>
      <c r="N68" t="s">
        <v>17</v>
      </c>
      <c r="O68">
        <v>331</v>
      </c>
      <c r="R68" s="3">
        <v>4.38</v>
      </c>
      <c r="S68" s="9">
        <v>0.36317567567567566</v>
      </c>
      <c r="T68" s="11">
        <v>106</v>
      </c>
      <c r="U68" s="3">
        <f>(R68+(((T68-32)/454)/S68))</f>
        <v>4.8288064747464396</v>
      </c>
      <c r="V68" s="11"/>
      <c r="W68" s="9"/>
      <c r="X68">
        <v>331</v>
      </c>
      <c r="AA68" s="3">
        <v>4.4000000000000004</v>
      </c>
      <c r="AB68" s="9">
        <v>0.20729684908789386</v>
      </c>
    </row>
    <row r="69" spans="1:28" x14ac:dyDescent="0.25">
      <c r="A69" t="s">
        <v>46</v>
      </c>
      <c r="B69" t="s">
        <v>0</v>
      </c>
      <c r="C69">
        <v>63</v>
      </c>
      <c r="D69">
        <v>416</v>
      </c>
      <c r="E69" s="2">
        <v>17</v>
      </c>
      <c r="F69" t="s">
        <v>17</v>
      </c>
      <c r="I69" s="3">
        <v>9.14</v>
      </c>
      <c r="J69" s="9">
        <v>0.26328800988875156</v>
      </c>
      <c r="K69" s="11"/>
      <c r="M69" s="9"/>
      <c r="N69" t="s">
        <v>17</v>
      </c>
      <c r="O69">
        <v>416</v>
      </c>
      <c r="R69" s="3">
        <v>2.16</v>
      </c>
      <c r="S69" s="9">
        <v>0.40606060606060607</v>
      </c>
      <c r="T69" s="11"/>
      <c r="U69" s="9"/>
      <c r="V69" s="11"/>
      <c r="W69" s="9"/>
      <c r="X69">
        <v>416</v>
      </c>
      <c r="AA69" s="3">
        <v>3.22</v>
      </c>
      <c r="AB69" s="9">
        <v>0.20642201834862386</v>
      </c>
    </row>
    <row r="70" spans="1:28" x14ac:dyDescent="0.25">
      <c r="A70" t="s">
        <v>46</v>
      </c>
      <c r="B70" t="s">
        <v>0</v>
      </c>
      <c r="C70">
        <v>63</v>
      </c>
      <c r="D70">
        <v>125</v>
      </c>
      <c r="E70" s="2">
        <v>18</v>
      </c>
      <c r="F70" t="s">
        <v>18</v>
      </c>
      <c r="G70">
        <v>910</v>
      </c>
      <c r="H70">
        <v>270</v>
      </c>
      <c r="I70" s="3">
        <v>13.92</v>
      </c>
      <c r="J70" s="9">
        <v>0.27107061503416857</v>
      </c>
      <c r="K70" s="11"/>
      <c r="M70" s="9"/>
      <c r="N70" t="s">
        <v>18</v>
      </c>
      <c r="O70">
        <v>125</v>
      </c>
      <c r="P70">
        <v>593</v>
      </c>
      <c r="Q70">
        <v>243</v>
      </c>
      <c r="R70" s="12">
        <v>2.42</v>
      </c>
      <c r="S70" s="17">
        <v>0.37611408199643492</v>
      </c>
      <c r="T70" s="11"/>
      <c r="U70" s="9"/>
      <c r="V70" s="11"/>
      <c r="W70" s="9"/>
      <c r="X70">
        <v>125</v>
      </c>
      <c r="Y70">
        <v>931</v>
      </c>
      <c r="Z70">
        <v>229</v>
      </c>
      <c r="AA70" s="3">
        <v>5.0999999999999996</v>
      </c>
      <c r="AB70" s="9">
        <v>0.21913236929922136</v>
      </c>
    </row>
    <row r="71" spans="1:28" x14ac:dyDescent="0.25">
      <c r="A71" t="s">
        <v>46</v>
      </c>
      <c r="B71" t="s">
        <v>0</v>
      </c>
      <c r="C71">
        <v>63</v>
      </c>
      <c r="D71">
        <v>220</v>
      </c>
      <c r="E71" s="2">
        <v>18</v>
      </c>
      <c r="F71" t="s">
        <v>18</v>
      </c>
      <c r="I71" s="3">
        <v>10.74</v>
      </c>
      <c r="J71" s="9">
        <v>0.25151148730350664</v>
      </c>
      <c r="K71" s="11">
        <v>95</v>
      </c>
      <c r="L71" s="3">
        <f>(I71+(((K71-32)/454)/J71))</f>
        <v>11.291730345645544</v>
      </c>
      <c r="M71" s="9"/>
      <c r="N71" t="s">
        <v>18</v>
      </c>
      <c r="O71">
        <v>220</v>
      </c>
      <c r="R71" s="3">
        <v>3.92</v>
      </c>
      <c r="S71" s="9">
        <v>0.3857566765578635</v>
      </c>
      <c r="T71" s="11">
        <v>153</v>
      </c>
      <c r="U71" s="3">
        <f>(R71+(((T71-32)/454)/S71))</f>
        <v>4.6109013893595394</v>
      </c>
      <c r="V71" s="11"/>
      <c r="W71" s="9"/>
      <c r="X71">
        <v>220</v>
      </c>
      <c r="AA71" s="3">
        <v>7.12</v>
      </c>
      <c r="AB71" s="9">
        <v>0.18665018541409148</v>
      </c>
    </row>
    <row r="72" spans="1:28" x14ac:dyDescent="0.25">
      <c r="A72" t="s">
        <v>46</v>
      </c>
      <c r="B72" t="s">
        <v>0</v>
      </c>
      <c r="C72">
        <v>63</v>
      </c>
      <c r="D72">
        <v>344</v>
      </c>
      <c r="E72" s="2">
        <v>18</v>
      </c>
      <c r="F72" t="s">
        <v>18</v>
      </c>
      <c r="I72" s="3">
        <v>13.16</v>
      </c>
      <c r="J72" s="9">
        <v>0.23846153846153847</v>
      </c>
      <c r="K72" s="11">
        <v>79</v>
      </c>
      <c r="L72" s="3">
        <f>(I72+(((K72-32)/454)/J72))</f>
        <v>13.594133863862442</v>
      </c>
      <c r="M72" s="9"/>
      <c r="N72" t="s">
        <v>18</v>
      </c>
      <c r="O72">
        <v>344</v>
      </c>
      <c r="R72" s="3">
        <v>3.08</v>
      </c>
      <c r="S72" s="9">
        <v>0.38524590163934425</v>
      </c>
      <c r="T72" s="11">
        <v>141</v>
      </c>
      <c r="U72" s="3">
        <f>(R72+(((T72-32)/454)/S72))</f>
        <v>3.7032074233761367</v>
      </c>
      <c r="V72" s="11"/>
      <c r="W72" s="9"/>
      <c r="X72">
        <v>344</v>
      </c>
      <c r="AA72" s="3">
        <v>5.3</v>
      </c>
      <c r="AB72" s="9">
        <v>0.20803782505910165</v>
      </c>
    </row>
    <row r="73" spans="1:28" x14ac:dyDescent="0.25">
      <c r="A73" t="s">
        <v>46</v>
      </c>
      <c r="B73" t="s">
        <v>0</v>
      </c>
      <c r="C73">
        <v>63</v>
      </c>
      <c r="D73">
        <v>420</v>
      </c>
      <c r="E73" s="2">
        <v>18</v>
      </c>
      <c r="F73" t="s">
        <v>18</v>
      </c>
      <c r="I73" s="3">
        <v>11.16</v>
      </c>
      <c r="J73" s="9">
        <v>0.29181494661921709</v>
      </c>
      <c r="K73" s="11"/>
      <c r="M73" s="9"/>
      <c r="N73" t="s">
        <v>18</v>
      </c>
      <c r="O73">
        <v>420</v>
      </c>
      <c r="R73" s="3">
        <v>2.36</v>
      </c>
      <c r="S73" s="9">
        <v>0.41493055555555558</v>
      </c>
      <c r="T73" s="11"/>
      <c r="U73" s="9"/>
      <c r="V73" s="11"/>
      <c r="W73" s="9"/>
      <c r="X73">
        <v>420</v>
      </c>
      <c r="AA73" s="3">
        <v>4.4400000000000004</v>
      </c>
      <c r="AB73" s="9">
        <v>0.20816864295125165</v>
      </c>
    </row>
    <row r="74" spans="1:28" x14ac:dyDescent="0.25">
      <c r="A74" t="s">
        <v>46</v>
      </c>
      <c r="B74" t="s">
        <v>0</v>
      </c>
      <c r="C74">
        <v>63</v>
      </c>
      <c r="D74">
        <v>117</v>
      </c>
      <c r="E74" s="2">
        <v>19</v>
      </c>
      <c r="F74" t="s">
        <v>10</v>
      </c>
      <c r="G74">
        <v>959</v>
      </c>
      <c r="H74">
        <v>267</v>
      </c>
      <c r="I74" s="3">
        <v>15.14</v>
      </c>
      <c r="J74" s="9">
        <v>0.25350593311758363</v>
      </c>
      <c r="K74" s="11"/>
      <c r="M74" s="9"/>
      <c r="N74" t="s">
        <v>10</v>
      </c>
      <c r="O74">
        <v>117</v>
      </c>
      <c r="P74">
        <v>678</v>
      </c>
      <c r="Q74">
        <v>279</v>
      </c>
      <c r="R74" s="3">
        <v>4.34</v>
      </c>
      <c r="S74" s="9">
        <v>0.38235294117647056</v>
      </c>
      <c r="T74" s="11"/>
      <c r="U74" s="9"/>
      <c r="V74" s="11"/>
      <c r="W74" s="9"/>
      <c r="X74">
        <v>117</v>
      </c>
      <c r="Y74">
        <v>760</v>
      </c>
      <c r="Z74">
        <v>186</v>
      </c>
      <c r="AA74" s="3">
        <v>5.94</v>
      </c>
      <c r="AB74" s="9">
        <v>0.21153846153846154</v>
      </c>
    </row>
    <row r="75" spans="1:28" x14ac:dyDescent="0.25">
      <c r="A75" t="s">
        <v>46</v>
      </c>
      <c r="B75" t="s">
        <v>0</v>
      </c>
      <c r="C75">
        <v>63</v>
      </c>
      <c r="D75">
        <v>236</v>
      </c>
      <c r="E75" s="2">
        <v>19</v>
      </c>
      <c r="F75" t="s">
        <v>10</v>
      </c>
      <c r="I75" s="3">
        <v>15.8</v>
      </c>
      <c r="J75" s="9">
        <v>0.25690276110444177</v>
      </c>
      <c r="K75" s="11">
        <v>89</v>
      </c>
      <c r="L75" s="3">
        <f>(I75+(((K75-32)/454)/J75))</f>
        <v>16.28870888056322</v>
      </c>
      <c r="M75" s="9"/>
      <c r="N75" t="s">
        <v>10</v>
      </c>
      <c r="O75">
        <v>236</v>
      </c>
      <c r="R75" s="3">
        <v>6.44</v>
      </c>
      <c r="S75" s="9">
        <v>0.33889602053915274</v>
      </c>
      <c r="T75" s="11">
        <v>192</v>
      </c>
      <c r="U75" s="3">
        <f>(R75+(((T75-32)/454)/S75))</f>
        <v>7.4799145641436393</v>
      </c>
      <c r="V75" s="11"/>
      <c r="W75" s="9"/>
      <c r="X75">
        <v>236</v>
      </c>
      <c r="AA75" s="3">
        <v>6.2</v>
      </c>
      <c r="AB75" s="9">
        <v>0.2264957264957265</v>
      </c>
    </row>
    <row r="76" spans="1:28" x14ac:dyDescent="0.25">
      <c r="A76" t="s">
        <v>46</v>
      </c>
      <c r="B76" t="s">
        <v>0</v>
      </c>
      <c r="C76">
        <v>63</v>
      </c>
      <c r="D76">
        <v>313</v>
      </c>
      <c r="E76" s="2">
        <v>19</v>
      </c>
      <c r="F76" t="s">
        <v>10</v>
      </c>
      <c r="G76">
        <v>887</v>
      </c>
      <c r="H76">
        <v>244</v>
      </c>
      <c r="I76" s="3">
        <v>16.14</v>
      </c>
      <c r="J76" s="9">
        <v>0.24795321637426901</v>
      </c>
      <c r="K76" s="11">
        <v>134</v>
      </c>
      <c r="L76" s="3">
        <f>(I76+(((K76-32)/454)/J76))</f>
        <v>17.04609675006234</v>
      </c>
      <c r="M76" s="9"/>
      <c r="N76" t="s">
        <v>10</v>
      </c>
      <c r="O76">
        <v>313</v>
      </c>
      <c r="P76">
        <v>764</v>
      </c>
      <c r="Q76">
        <v>294</v>
      </c>
      <c r="R76" s="3">
        <v>3.94</v>
      </c>
      <c r="S76" s="9">
        <v>0.35792349726775957</v>
      </c>
      <c r="T76" s="11">
        <v>166</v>
      </c>
      <c r="U76" s="3">
        <f>(R76+(((T76-32)/454)/S76))</f>
        <v>4.7646292497561955</v>
      </c>
      <c r="V76" s="11"/>
      <c r="W76" s="9"/>
      <c r="X76">
        <v>313</v>
      </c>
      <c r="Y76">
        <v>742</v>
      </c>
      <c r="Z76">
        <v>184</v>
      </c>
      <c r="AA76" s="3">
        <v>4.6399999999999997</v>
      </c>
      <c r="AB76" s="9">
        <v>0.21408450704225351</v>
      </c>
    </row>
    <row r="77" spans="1:28" x14ac:dyDescent="0.25">
      <c r="A77" t="s">
        <v>46</v>
      </c>
      <c r="B77" t="s">
        <v>0</v>
      </c>
      <c r="C77">
        <v>63</v>
      </c>
      <c r="D77">
        <v>448</v>
      </c>
      <c r="E77" s="2">
        <v>19</v>
      </c>
      <c r="F77" t="s">
        <v>10</v>
      </c>
      <c r="I77" s="3">
        <v>16.98</v>
      </c>
      <c r="J77" s="9">
        <v>0.24587912087912087</v>
      </c>
      <c r="K77" s="11"/>
      <c r="M77" s="9"/>
      <c r="N77" t="s">
        <v>10</v>
      </c>
      <c r="O77">
        <v>448</v>
      </c>
      <c r="R77" s="3">
        <v>4.8600000000000003</v>
      </c>
      <c r="S77" s="9">
        <v>0.38190184049079756</v>
      </c>
      <c r="T77" s="11"/>
      <c r="U77" s="9"/>
      <c r="V77" s="11"/>
      <c r="W77" s="9"/>
      <c r="X77">
        <v>448</v>
      </c>
      <c r="AA77" s="3">
        <v>7.54</v>
      </c>
      <c r="AB77" s="9">
        <v>0.21963190184049081</v>
      </c>
    </row>
    <row r="78" spans="1:28" x14ac:dyDescent="0.25">
      <c r="A78" t="s">
        <v>46</v>
      </c>
      <c r="B78" t="s">
        <v>0</v>
      </c>
      <c r="C78">
        <v>63</v>
      </c>
      <c r="D78">
        <v>138</v>
      </c>
      <c r="E78" s="2">
        <v>20</v>
      </c>
      <c r="F78" t="s">
        <v>28</v>
      </c>
      <c r="I78" s="3">
        <v>12.1</v>
      </c>
      <c r="J78" s="9">
        <v>0.27608142493638677</v>
      </c>
      <c r="K78" s="11"/>
      <c r="M78" s="9"/>
      <c r="N78" t="s">
        <v>28</v>
      </c>
      <c r="O78">
        <v>138</v>
      </c>
      <c r="R78" s="3">
        <v>3.6</v>
      </c>
      <c r="S78" s="9">
        <v>0.37161290322580648</v>
      </c>
      <c r="T78" s="11"/>
      <c r="U78" s="9"/>
      <c r="V78" s="11"/>
      <c r="W78" s="9"/>
      <c r="X78">
        <v>138</v>
      </c>
      <c r="AA78" s="3">
        <v>3.9</v>
      </c>
      <c r="AB78" s="9">
        <v>0.22948539638386647</v>
      </c>
    </row>
    <row r="79" spans="1:28" x14ac:dyDescent="0.25">
      <c r="A79" t="s">
        <v>46</v>
      </c>
      <c r="B79" t="s">
        <v>0</v>
      </c>
      <c r="C79">
        <v>63</v>
      </c>
      <c r="D79">
        <v>226</v>
      </c>
      <c r="E79" s="2">
        <v>20</v>
      </c>
      <c r="F79" t="s">
        <v>28</v>
      </c>
      <c r="I79" s="3">
        <v>13.12</v>
      </c>
      <c r="J79" s="9">
        <v>0.23863636363636365</v>
      </c>
      <c r="K79" s="11">
        <v>91</v>
      </c>
      <c r="L79" s="3">
        <f>(I79+(((K79-32)/454)/J79))</f>
        <v>13.664577302286553</v>
      </c>
      <c r="M79" s="9"/>
      <c r="N79" t="s">
        <v>28</v>
      </c>
      <c r="O79">
        <v>226</v>
      </c>
      <c r="R79" s="12">
        <v>3.1</v>
      </c>
      <c r="S79" s="17">
        <v>0.36224489795918369</v>
      </c>
      <c r="T79" s="18">
        <v>149</v>
      </c>
      <c r="U79" s="12">
        <f>(R79+(((T79-32)/454)/S79))</f>
        <v>3.8114227213501275</v>
      </c>
      <c r="V79" s="11"/>
      <c r="W79" s="9"/>
      <c r="X79">
        <v>226</v>
      </c>
      <c r="AA79" s="3">
        <v>5.78</v>
      </c>
      <c r="AB79" s="9">
        <v>0.19170984455958548</v>
      </c>
    </row>
    <row r="80" spans="1:28" x14ac:dyDescent="0.25">
      <c r="A80" t="s">
        <v>46</v>
      </c>
      <c r="B80" t="s">
        <v>0</v>
      </c>
      <c r="C80">
        <v>63</v>
      </c>
      <c r="D80">
        <v>317</v>
      </c>
      <c r="E80" s="2">
        <v>20</v>
      </c>
      <c r="F80" t="s">
        <v>28</v>
      </c>
      <c r="G80">
        <v>850</v>
      </c>
      <c r="H80">
        <v>236</v>
      </c>
      <c r="I80" s="3">
        <v>12.6</v>
      </c>
      <c r="J80" s="9">
        <v>0.24938875305623473</v>
      </c>
      <c r="K80" s="11">
        <v>73</v>
      </c>
      <c r="L80" s="3">
        <f>(I80+(((K80-32)/454)/J80))</f>
        <v>12.962118856353113</v>
      </c>
      <c r="M80" s="9"/>
      <c r="N80" t="s">
        <v>28</v>
      </c>
      <c r="O80">
        <v>317</v>
      </c>
      <c r="P80">
        <v>564</v>
      </c>
      <c r="Q80">
        <v>251</v>
      </c>
      <c r="R80" s="3">
        <v>3.14</v>
      </c>
      <c r="S80" s="9">
        <v>0.41165413533834588</v>
      </c>
      <c r="T80" s="11">
        <v>118</v>
      </c>
      <c r="U80" s="3">
        <f>(R80+(((T80-32)/454)/S80))</f>
        <v>3.600161326011305</v>
      </c>
      <c r="V80" s="11"/>
      <c r="W80" s="9"/>
      <c r="X80">
        <v>317</v>
      </c>
      <c r="Y80">
        <v>795</v>
      </c>
      <c r="Z80">
        <v>180</v>
      </c>
      <c r="AA80" s="3">
        <v>4.46</v>
      </c>
      <c r="AB80" s="9">
        <v>0.19397116644823068</v>
      </c>
    </row>
    <row r="81" spans="1:28" x14ac:dyDescent="0.25">
      <c r="A81" t="s">
        <v>46</v>
      </c>
      <c r="B81" t="s">
        <v>0</v>
      </c>
      <c r="C81">
        <v>63</v>
      </c>
      <c r="D81">
        <v>430</v>
      </c>
      <c r="E81" s="2">
        <v>20</v>
      </c>
      <c r="F81" t="s">
        <v>28</v>
      </c>
      <c r="I81" s="3">
        <v>13.06</v>
      </c>
      <c r="J81" s="9">
        <v>0.25299760191846521</v>
      </c>
      <c r="K81" s="11"/>
      <c r="M81" s="9"/>
      <c r="N81" t="s">
        <v>28</v>
      </c>
      <c r="O81">
        <v>430</v>
      </c>
      <c r="R81" s="3">
        <v>5.16</v>
      </c>
      <c r="S81" s="9">
        <v>0.32838038632986627</v>
      </c>
      <c r="T81" s="11"/>
      <c r="U81" s="9"/>
      <c r="V81" s="11"/>
      <c r="W81" s="9"/>
      <c r="X81">
        <v>430</v>
      </c>
      <c r="AA81" s="3">
        <v>4.2</v>
      </c>
      <c r="AB81" s="9">
        <v>0.23448275862068965</v>
      </c>
    </row>
    <row r="82" spans="1:28" x14ac:dyDescent="0.25">
      <c r="A82" t="s">
        <v>46</v>
      </c>
      <c r="B82" t="s">
        <v>0</v>
      </c>
      <c r="C82">
        <v>63</v>
      </c>
      <c r="D82">
        <v>130</v>
      </c>
      <c r="E82" s="2">
        <v>21</v>
      </c>
      <c r="F82" t="s">
        <v>22</v>
      </c>
      <c r="I82" s="3">
        <v>14.76</v>
      </c>
      <c r="J82" s="9">
        <v>0.26605504587155965</v>
      </c>
      <c r="K82" s="11"/>
      <c r="M82" s="9"/>
      <c r="N82" t="s">
        <v>22</v>
      </c>
      <c r="O82">
        <v>130</v>
      </c>
      <c r="R82" s="12">
        <v>1.48</v>
      </c>
      <c r="S82" s="17">
        <v>0.35714285714285715</v>
      </c>
      <c r="T82" s="11"/>
      <c r="U82" s="9"/>
      <c r="V82" s="11"/>
      <c r="W82" s="9"/>
      <c r="X82">
        <v>130</v>
      </c>
      <c r="AA82" s="3">
        <v>4.88</v>
      </c>
      <c r="AB82" s="9">
        <v>0.22686567164179106</v>
      </c>
    </row>
    <row r="83" spans="1:28" x14ac:dyDescent="0.25">
      <c r="A83" t="s">
        <v>46</v>
      </c>
      <c r="B83" t="s">
        <v>0</v>
      </c>
      <c r="C83">
        <v>63</v>
      </c>
      <c r="D83">
        <v>245</v>
      </c>
      <c r="E83" s="2">
        <v>21</v>
      </c>
      <c r="F83" t="s">
        <v>22</v>
      </c>
      <c r="G83">
        <v>1043</v>
      </c>
      <c r="H83">
        <v>273</v>
      </c>
      <c r="I83" s="3">
        <v>9.76</v>
      </c>
      <c r="J83" s="9">
        <v>0.23837784371909002</v>
      </c>
      <c r="K83" s="11">
        <v>77</v>
      </c>
      <c r="L83" s="3">
        <f>(I83+(((K83-32)/454)/J83))</f>
        <v>10.175806021167309</v>
      </c>
      <c r="M83" s="9"/>
      <c r="N83" t="s">
        <v>22</v>
      </c>
      <c r="O83">
        <v>245</v>
      </c>
      <c r="P83">
        <v>630</v>
      </c>
      <c r="Q83">
        <v>247</v>
      </c>
      <c r="R83" s="3">
        <v>3.94</v>
      </c>
      <c r="S83" s="9">
        <v>0.35953177257525082</v>
      </c>
      <c r="T83" s="11">
        <v>160</v>
      </c>
      <c r="U83" s="3">
        <f>(R83+(((T83-32)/454)/S83))</f>
        <v>4.7241819485708429</v>
      </c>
      <c r="V83" s="11"/>
      <c r="W83" s="9"/>
      <c r="X83">
        <v>245</v>
      </c>
      <c r="Y83">
        <v>692</v>
      </c>
      <c r="Z83">
        <v>177</v>
      </c>
      <c r="AA83" s="3">
        <v>6.38</v>
      </c>
      <c r="AB83" s="9">
        <v>0.2196969696969697</v>
      </c>
    </row>
    <row r="84" spans="1:28" x14ac:dyDescent="0.25">
      <c r="A84" t="s">
        <v>46</v>
      </c>
      <c r="B84" t="s">
        <v>0</v>
      </c>
      <c r="C84">
        <v>63</v>
      </c>
      <c r="D84">
        <v>327</v>
      </c>
      <c r="E84" s="2">
        <v>21</v>
      </c>
      <c r="F84" t="s">
        <v>22</v>
      </c>
      <c r="I84" s="3">
        <v>12.54</v>
      </c>
      <c r="J84" s="9">
        <v>0.24776500638569604</v>
      </c>
      <c r="K84" s="11">
        <v>148</v>
      </c>
      <c r="L84" s="3">
        <f>(I84+(((K84-32)/454)/J84))</f>
        <v>13.571245742313456</v>
      </c>
      <c r="M84" s="9"/>
      <c r="N84" t="s">
        <v>22</v>
      </c>
      <c r="O84">
        <v>327</v>
      </c>
      <c r="R84" s="12">
        <v>2.2999999999999998</v>
      </c>
      <c r="S84" s="17">
        <v>0.36792452830188677</v>
      </c>
      <c r="T84" s="18">
        <v>108</v>
      </c>
      <c r="U84" s="12">
        <f>(R84+(((T84-32)/454)/S84))</f>
        <v>2.7549870100530893</v>
      </c>
      <c r="V84" s="11"/>
      <c r="W84" s="9"/>
      <c r="X84">
        <v>327</v>
      </c>
      <c r="AA84" s="3">
        <v>3.72</v>
      </c>
      <c r="AB84" s="9">
        <v>0.22195121951219512</v>
      </c>
    </row>
    <row r="85" spans="1:28" x14ac:dyDescent="0.25">
      <c r="A85" t="s">
        <v>46</v>
      </c>
      <c r="B85" t="s">
        <v>0</v>
      </c>
      <c r="C85">
        <v>63</v>
      </c>
      <c r="D85">
        <v>434</v>
      </c>
      <c r="E85" s="2">
        <v>21</v>
      </c>
      <c r="F85" t="s">
        <v>22</v>
      </c>
      <c r="I85" s="3">
        <v>11.56</v>
      </c>
      <c r="J85" s="9">
        <v>0.25505617977528089</v>
      </c>
      <c r="K85" s="11"/>
      <c r="M85" s="9"/>
      <c r="N85" t="s">
        <v>22</v>
      </c>
      <c r="O85">
        <v>434</v>
      </c>
      <c r="R85" s="3">
        <v>4.22</v>
      </c>
      <c r="S85" s="9">
        <v>0.32027027027027027</v>
      </c>
      <c r="T85" s="11"/>
      <c r="U85" s="9"/>
      <c r="V85" s="11"/>
      <c r="W85" s="9"/>
      <c r="X85">
        <v>434</v>
      </c>
      <c r="AA85" s="3">
        <v>4.16</v>
      </c>
      <c r="AB85" s="9">
        <v>0.2233502538071066</v>
      </c>
    </row>
    <row r="86" spans="1:28" x14ac:dyDescent="0.25">
      <c r="A86" t="s">
        <v>46</v>
      </c>
      <c r="B86" t="s">
        <v>0</v>
      </c>
      <c r="C86">
        <v>63</v>
      </c>
      <c r="D86">
        <v>113</v>
      </c>
      <c r="E86" s="2">
        <v>22</v>
      </c>
      <c r="F86" t="s">
        <v>7</v>
      </c>
      <c r="G86">
        <v>901</v>
      </c>
      <c r="H86">
        <v>247</v>
      </c>
      <c r="I86" s="3">
        <v>12.88</v>
      </c>
      <c r="J86" s="9">
        <v>0.24741081703107021</v>
      </c>
      <c r="K86" s="11"/>
      <c r="M86" s="9"/>
      <c r="N86" t="s">
        <v>7</v>
      </c>
      <c r="O86">
        <v>113</v>
      </c>
      <c r="P86">
        <v>534</v>
      </c>
      <c r="Q86">
        <v>230</v>
      </c>
      <c r="R86" s="3">
        <v>3.06</v>
      </c>
      <c r="S86" s="9">
        <v>0.39442231075697209</v>
      </c>
      <c r="T86" s="11"/>
      <c r="U86" s="9"/>
      <c r="V86" s="11"/>
      <c r="W86" s="9"/>
      <c r="X86">
        <v>113</v>
      </c>
      <c r="Y86">
        <v>774</v>
      </c>
      <c r="Z86">
        <v>183</v>
      </c>
      <c r="AA86" s="3">
        <v>4.9000000000000004</v>
      </c>
      <c r="AB86" s="9">
        <v>0.20350404312668463</v>
      </c>
    </row>
    <row r="87" spans="1:28" x14ac:dyDescent="0.25">
      <c r="A87" t="s">
        <v>46</v>
      </c>
      <c r="B87" t="s">
        <v>0</v>
      </c>
      <c r="C87">
        <v>63</v>
      </c>
      <c r="D87">
        <v>230</v>
      </c>
      <c r="E87" s="2">
        <v>22</v>
      </c>
      <c r="F87" t="s">
        <v>7</v>
      </c>
      <c r="I87" s="3">
        <v>15.94</v>
      </c>
      <c r="J87" s="9">
        <v>0.23230088495575221</v>
      </c>
      <c r="K87" s="11">
        <v>112</v>
      </c>
      <c r="L87" s="3">
        <f>(I87+(((K87-32)/454)/J87))</f>
        <v>16.698548353262009</v>
      </c>
      <c r="M87" s="9"/>
      <c r="N87" t="s">
        <v>7</v>
      </c>
      <c r="O87">
        <v>230</v>
      </c>
      <c r="R87" s="12">
        <v>2.42</v>
      </c>
      <c r="S87" s="17">
        <v>0.35277382645803701</v>
      </c>
      <c r="T87" s="18">
        <v>169</v>
      </c>
      <c r="U87" s="12">
        <f>(R87+(((T87-32)/454)/S87))</f>
        <v>3.2753982520960636</v>
      </c>
      <c r="V87" s="11"/>
      <c r="W87" s="9"/>
      <c r="X87">
        <v>230</v>
      </c>
      <c r="AA87" s="3">
        <v>5.42</v>
      </c>
      <c r="AB87" s="9">
        <v>0.22458270106221548</v>
      </c>
    </row>
    <row r="88" spans="1:28" x14ac:dyDescent="0.25">
      <c r="A88" t="s">
        <v>46</v>
      </c>
      <c r="B88" t="s">
        <v>0</v>
      </c>
      <c r="C88">
        <v>63</v>
      </c>
      <c r="D88">
        <v>321</v>
      </c>
      <c r="E88" s="2">
        <v>22</v>
      </c>
      <c r="F88" t="s">
        <v>7</v>
      </c>
      <c r="G88">
        <v>972</v>
      </c>
      <c r="H88">
        <v>256</v>
      </c>
      <c r="I88" s="3">
        <v>15.78</v>
      </c>
      <c r="J88" s="9">
        <v>0.23829787234042554</v>
      </c>
      <c r="K88" s="11">
        <v>136</v>
      </c>
      <c r="L88" s="3">
        <f>(I88+(((K88-32)/454)/J88))</f>
        <v>16.741296412838263</v>
      </c>
      <c r="M88" s="9"/>
      <c r="N88" t="s">
        <v>7</v>
      </c>
      <c r="O88">
        <v>321</v>
      </c>
      <c r="P88">
        <v>662</v>
      </c>
      <c r="Q88">
        <v>277</v>
      </c>
      <c r="R88" s="3">
        <v>3.92</v>
      </c>
      <c r="S88" s="9">
        <v>0.3888888888888889</v>
      </c>
      <c r="T88" s="11">
        <v>141</v>
      </c>
      <c r="U88" s="3">
        <f>(R88+(((T88-32)/454)/S88))</f>
        <v>4.5373694147262427</v>
      </c>
      <c r="V88" s="11"/>
      <c r="W88" s="9"/>
      <c r="X88">
        <v>321</v>
      </c>
      <c r="Y88">
        <v>829</v>
      </c>
      <c r="Z88">
        <v>205</v>
      </c>
      <c r="AA88" s="3">
        <v>4.4400000000000004</v>
      </c>
      <c r="AB88" s="9">
        <v>0.21706398996235884</v>
      </c>
    </row>
    <row r="89" spans="1:28" x14ac:dyDescent="0.25">
      <c r="A89" t="s">
        <v>46</v>
      </c>
      <c r="B89" t="s">
        <v>0</v>
      </c>
      <c r="C89">
        <v>63</v>
      </c>
      <c r="D89">
        <v>428</v>
      </c>
      <c r="E89" s="2">
        <v>22</v>
      </c>
      <c r="F89" t="s">
        <v>7</v>
      </c>
      <c r="I89" s="3">
        <v>11.6</v>
      </c>
      <c r="J89" s="9">
        <v>0.26378378378378381</v>
      </c>
      <c r="K89" s="11"/>
      <c r="M89" s="9"/>
      <c r="N89" t="s">
        <v>7</v>
      </c>
      <c r="O89">
        <v>428</v>
      </c>
      <c r="R89" s="12">
        <v>2.6</v>
      </c>
      <c r="S89" s="17">
        <v>0.36585365853658536</v>
      </c>
      <c r="T89" s="11"/>
      <c r="U89" s="9"/>
      <c r="V89" s="11"/>
      <c r="W89" s="9"/>
      <c r="X89">
        <v>428</v>
      </c>
      <c r="AA89" s="3">
        <v>3.32</v>
      </c>
      <c r="AB89" s="9">
        <v>0.21726190476190477</v>
      </c>
    </row>
    <row r="90" spans="1:28" x14ac:dyDescent="0.25">
      <c r="A90" t="s">
        <v>46</v>
      </c>
      <c r="B90" t="s">
        <v>0</v>
      </c>
      <c r="C90">
        <v>63</v>
      </c>
      <c r="D90">
        <v>148</v>
      </c>
      <c r="E90" s="2">
        <v>23</v>
      </c>
      <c r="F90" t="s">
        <v>36</v>
      </c>
      <c r="I90" s="3">
        <v>13.16</v>
      </c>
      <c r="J90" s="9">
        <v>0.25407166123778502</v>
      </c>
      <c r="K90" s="11"/>
      <c r="M90" s="9"/>
      <c r="N90" t="s">
        <v>36</v>
      </c>
      <c r="O90">
        <v>148</v>
      </c>
      <c r="R90" s="3">
        <v>2.52</v>
      </c>
      <c r="S90" s="9">
        <v>0.37931034482758619</v>
      </c>
      <c r="T90" s="11"/>
      <c r="U90" s="9"/>
      <c r="V90" s="11"/>
      <c r="W90" s="9"/>
      <c r="X90">
        <v>148</v>
      </c>
      <c r="AA90" s="3">
        <v>3.96</v>
      </c>
      <c r="AB90" s="9">
        <v>0.23112480739599384</v>
      </c>
    </row>
    <row r="91" spans="1:28" x14ac:dyDescent="0.25">
      <c r="A91" t="s">
        <v>46</v>
      </c>
      <c r="B91" t="s">
        <v>0</v>
      </c>
      <c r="C91">
        <v>63</v>
      </c>
      <c r="D91">
        <v>246</v>
      </c>
      <c r="E91" s="2">
        <v>23</v>
      </c>
      <c r="F91" t="s">
        <v>36</v>
      </c>
      <c r="I91" s="3">
        <v>11.54</v>
      </c>
      <c r="J91" s="9">
        <v>0.23837784371909002</v>
      </c>
      <c r="K91" s="11">
        <v>67</v>
      </c>
      <c r="L91" s="3">
        <f>(I91+(((K91-32)/454)/J91))</f>
        <v>11.863404683130129</v>
      </c>
      <c r="M91" s="9"/>
      <c r="N91" t="s">
        <v>36</v>
      </c>
      <c r="O91">
        <v>246</v>
      </c>
      <c r="R91" s="3">
        <v>4.12</v>
      </c>
      <c r="S91" s="9">
        <v>0.35953177257525082</v>
      </c>
      <c r="T91" s="11">
        <v>104</v>
      </c>
      <c r="U91" s="3">
        <f>(R91+(((T91-32)/454)/S91))</f>
        <v>4.5611023460710998</v>
      </c>
      <c r="V91" s="11"/>
      <c r="W91" s="9"/>
      <c r="X91">
        <v>246</v>
      </c>
      <c r="AA91" s="3">
        <v>6.7</v>
      </c>
      <c r="AB91" s="9">
        <v>0.2196969696969697</v>
      </c>
    </row>
    <row r="92" spans="1:28" x14ac:dyDescent="0.25">
      <c r="A92" t="s">
        <v>46</v>
      </c>
      <c r="B92" t="s">
        <v>0</v>
      </c>
      <c r="C92">
        <v>63</v>
      </c>
      <c r="D92">
        <v>315</v>
      </c>
      <c r="E92" s="2">
        <v>23</v>
      </c>
      <c r="F92" t="s">
        <v>36</v>
      </c>
      <c r="I92" s="3">
        <v>14.98</v>
      </c>
      <c r="J92" s="9">
        <v>0.24795321637426901</v>
      </c>
      <c r="K92" s="11">
        <v>108</v>
      </c>
      <c r="L92" s="3">
        <f>(I92+(((K92-32)/454)/J92))</f>
        <v>15.655130911811154</v>
      </c>
      <c r="M92" s="9"/>
      <c r="N92" t="s">
        <v>36</v>
      </c>
      <c r="O92">
        <v>315</v>
      </c>
      <c r="R92" s="3">
        <v>4.4400000000000004</v>
      </c>
      <c r="S92" s="9">
        <v>0.35792349726775957</v>
      </c>
      <c r="T92" s="11">
        <v>172</v>
      </c>
      <c r="U92" s="3">
        <f>(R92+(((T92-32)/454)/S92))</f>
        <v>5.3015529475064742</v>
      </c>
      <c r="V92" s="11"/>
      <c r="W92" s="9"/>
      <c r="X92">
        <v>315</v>
      </c>
      <c r="AA92" s="3">
        <v>4.62</v>
      </c>
      <c r="AB92" s="9">
        <v>0.21408450704225351</v>
      </c>
    </row>
    <row r="93" spans="1:28" x14ac:dyDescent="0.25">
      <c r="A93" t="s">
        <v>46</v>
      </c>
      <c r="B93" t="s">
        <v>0</v>
      </c>
      <c r="C93">
        <v>63</v>
      </c>
      <c r="D93">
        <v>439</v>
      </c>
      <c r="E93" s="2">
        <v>23</v>
      </c>
      <c r="F93" t="s">
        <v>36</v>
      </c>
      <c r="I93" s="3">
        <v>10.68</v>
      </c>
      <c r="J93" s="9">
        <v>0.26895565092989987</v>
      </c>
      <c r="K93" s="11"/>
      <c r="M93" s="9"/>
      <c r="N93" t="s">
        <v>36</v>
      </c>
      <c r="O93">
        <v>439</v>
      </c>
      <c r="R93" s="3">
        <v>3.48</v>
      </c>
      <c r="S93" s="9">
        <v>0.37623762376237624</v>
      </c>
      <c r="T93" s="11"/>
      <c r="U93" s="9"/>
      <c r="V93" s="11"/>
      <c r="W93" s="9"/>
      <c r="X93">
        <v>439</v>
      </c>
      <c r="AA93" s="3">
        <v>4.62</v>
      </c>
      <c r="AB93" s="9">
        <v>0.22526041666666666</v>
      </c>
    </row>
    <row r="94" spans="1:28" x14ac:dyDescent="0.25">
      <c r="A94" t="s">
        <v>46</v>
      </c>
      <c r="B94" t="s">
        <v>0</v>
      </c>
      <c r="C94">
        <v>63</v>
      </c>
      <c r="D94">
        <v>144</v>
      </c>
      <c r="E94" s="2">
        <v>24</v>
      </c>
      <c r="F94" t="s">
        <v>32</v>
      </c>
      <c r="I94" s="3">
        <v>14.16</v>
      </c>
      <c r="J94" s="9">
        <v>0.25646794150731156</v>
      </c>
      <c r="K94" s="11"/>
      <c r="M94" s="9"/>
      <c r="N94" t="s">
        <v>32</v>
      </c>
      <c r="O94">
        <v>144</v>
      </c>
      <c r="R94" s="3">
        <v>3.06</v>
      </c>
      <c r="S94" s="9">
        <v>0.37952755905511809</v>
      </c>
      <c r="T94" s="11"/>
      <c r="U94" s="9"/>
      <c r="V94" s="11"/>
      <c r="W94" s="9"/>
      <c r="X94">
        <v>144</v>
      </c>
      <c r="AA94" s="3">
        <v>4.5199999999999996</v>
      </c>
      <c r="AB94" s="9">
        <v>0.2335216572504708</v>
      </c>
    </row>
    <row r="95" spans="1:28" x14ac:dyDescent="0.25">
      <c r="A95" t="s">
        <v>46</v>
      </c>
      <c r="B95" t="s">
        <v>0</v>
      </c>
      <c r="C95">
        <v>63</v>
      </c>
      <c r="D95">
        <v>213</v>
      </c>
      <c r="E95" s="2">
        <v>24</v>
      </c>
      <c r="F95" t="s">
        <v>32</v>
      </c>
      <c r="G95">
        <v>894</v>
      </c>
      <c r="H95">
        <v>245</v>
      </c>
      <c r="I95" s="3">
        <v>12.76</v>
      </c>
      <c r="J95" s="9">
        <v>0.24709976798143851</v>
      </c>
      <c r="K95" s="11">
        <v>103</v>
      </c>
      <c r="L95" s="3">
        <f>(I95+(((K95-32)/454)/J95))</f>
        <v>13.392892804698972</v>
      </c>
      <c r="M95" s="9"/>
      <c r="N95" t="s">
        <v>32</v>
      </c>
      <c r="O95">
        <v>213</v>
      </c>
      <c r="P95">
        <v>582</v>
      </c>
      <c r="Q95">
        <v>255</v>
      </c>
      <c r="R95" s="3">
        <v>2.86</v>
      </c>
      <c r="S95" s="9">
        <v>0.40545454545454546</v>
      </c>
      <c r="T95" s="11">
        <v>139</v>
      </c>
      <c r="U95" s="3">
        <f>(R95+(((T95-32)/454)/S95))</f>
        <v>3.4412804962367396</v>
      </c>
      <c r="V95" s="11"/>
      <c r="W95" s="9"/>
      <c r="X95">
        <v>213</v>
      </c>
      <c r="Y95">
        <v>944</v>
      </c>
      <c r="Z95">
        <v>204</v>
      </c>
      <c r="AA95" s="3">
        <v>6.32</v>
      </c>
      <c r="AB95" s="9">
        <v>0.18859649122807018</v>
      </c>
    </row>
    <row r="96" spans="1:28" x14ac:dyDescent="0.25">
      <c r="A96" t="s">
        <v>46</v>
      </c>
      <c r="B96" t="s">
        <v>0</v>
      </c>
      <c r="C96">
        <v>63</v>
      </c>
      <c r="D96">
        <v>326</v>
      </c>
      <c r="E96" s="2">
        <v>24</v>
      </c>
      <c r="F96" t="s">
        <v>32</v>
      </c>
      <c r="I96" s="3">
        <v>16.48</v>
      </c>
      <c r="J96" s="9">
        <v>0.24776500638569604</v>
      </c>
      <c r="K96" s="11">
        <v>139</v>
      </c>
      <c r="L96" s="3">
        <f>(I96+(((K96-32)/454)/J96))</f>
        <v>17.431235296789136</v>
      </c>
      <c r="M96" s="9"/>
      <c r="N96" t="s">
        <v>32</v>
      </c>
      <c r="O96">
        <v>326</v>
      </c>
      <c r="R96" s="12">
        <v>2.84</v>
      </c>
      <c r="S96" s="17">
        <v>0.36792452830188677</v>
      </c>
      <c r="T96" s="18">
        <v>171</v>
      </c>
      <c r="U96" s="12">
        <f>(R96+(((T96-32)/454)/S96))</f>
        <v>3.6721472947023606</v>
      </c>
      <c r="V96" s="11"/>
      <c r="W96" s="9"/>
      <c r="X96">
        <v>326</v>
      </c>
      <c r="AA96" s="3">
        <v>4.22</v>
      </c>
      <c r="AB96" s="9">
        <v>0.22195121951219512</v>
      </c>
    </row>
    <row r="97" spans="1:28" x14ac:dyDescent="0.25">
      <c r="A97" t="s">
        <v>46</v>
      </c>
      <c r="B97" t="s">
        <v>0</v>
      </c>
      <c r="C97">
        <v>63</v>
      </c>
      <c r="D97">
        <v>417</v>
      </c>
      <c r="E97" s="2">
        <v>24</v>
      </c>
      <c r="F97" t="s">
        <v>32</v>
      </c>
      <c r="G97">
        <v>875</v>
      </c>
      <c r="H97">
        <v>278</v>
      </c>
      <c r="I97" s="3">
        <v>9.9</v>
      </c>
      <c r="J97" s="9">
        <v>0.29181494661921709</v>
      </c>
      <c r="K97" s="11"/>
      <c r="M97" s="9"/>
      <c r="N97" t="s">
        <v>32</v>
      </c>
      <c r="O97">
        <v>417</v>
      </c>
      <c r="P97">
        <v>608</v>
      </c>
      <c r="Q97">
        <v>271</v>
      </c>
      <c r="R97" s="3">
        <v>2.06</v>
      </c>
      <c r="S97" s="9">
        <v>0.41493055555555558</v>
      </c>
      <c r="T97" s="11"/>
      <c r="U97" s="9"/>
      <c r="V97" s="11"/>
      <c r="W97" s="9"/>
      <c r="X97">
        <v>417</v>
      </c>
      <c r="Y97">
        <v>791</v>
      </c>
      <c r="Z97">
        <v>190</v>
      </c>
      <c r="AA97" s="3">
        <v>3.84</v>
      </c>
      <c r="AB97" s="9">
        <v>0.20816864295125165</v>
      </c>
    </row>
    <row r="98" spans="1:28" x14ac:dyDescent="0.25">
      <c r="A98" t="s">
        <v>46</v>
      </c>
      <c r="B98" t="s">
        <v>0</v>
      </c>
      <c r="C98">
        <v>63</v>
      </c>
      <c r="D98">
        <v>114</v>
      </c>
      <c r="E98" s="2">
        <v>25</v>
      </c>
      <c r="F98" t="s">
        <v>8</v>
      </c>
      <c r="I98" s="3">
        <v>10.42</v>
      </c>
      <c r="J98" s="9">
        <v>0.24741081703107021</v>
      </c>
      <c r="K98" s="11"/>
      <c r="M98" s="9"/>
      <c r="N98" t="s">
        <v>8</v>
      </c>
      <c r="O98">
        <v>114</v>
      </c>
      <c r="R98" s="3">
        <v>3.52</v>
      </c>
      <c r="S98" s="9">
        <v>0.39442231075697209</v>
      </c>
      <c r="T98" s="11"/>
      <c r="U98" s="9"/>
      <c r="V98" s="11"/>
      <c r="W98" s="9"/>
      <c r="X98">
        <v>114</v>
      </c>
      <c r="AA98" s="3">
        <v>5.74</v>
      </c>
      <c r="AB98" s="9">
        <v>0.20350404312668463</v>
      </c>
    </row>
    <row r="99" spans="1:28" x14ac:dyDescent="0.25">
      <c r="A99" t="s">
        <v>46</v>
      </c>
      <c r="B99" t="s">
        <v>0</v>
      </c>
      <c r="C99">
        <v>63</v>
      </c>
      <c r="D99">
        <v>225</v>
      </c>
      <c r="E99" s="2">
        <v>25</v>
      </c>
      <c r="F99" t="s">
        <v>8</v>
      </c>
      <c r="G99">
        <v>912</v>
      </c>
      <c r="H99">
        <v>242</v>
      </c>
      <c r="I99" s="3">
        <v>15.78</v>
      </c>
      <c r="J99" s="9">
        <v>0.23863636363636365</v>
      </c>
      <c r="K99" s="11">
        <v>90</v>
      </c>
      <c r="L99" s="3">
        <f>(I99+(((K99-32)/454)/J99))</f>
        <v>16.315347178518984</v>
      </c>
      <c r="M99" s="9"/>
      <c r="N99" t="s">
        <v>8</v>
      </c>
      <c r="O99">
        <v>225</v>
      </c>
      <c r="P99">
        <v>620</v>
      </c>
      <c r="Q99">
        <v>245</v>
      </c>
      <c r="R99" s="12">
        <v>3.74</v>
      </c>
      <c r="S99" s="17">
        <v>0.36224489795918369</v>
      </c>
      <c r="T99" s="18">
        <v>115</v>
      </c>
      <c r="U99" s="12">
        <f>(R99+(((T99-32)/454)/S99))</f>
        <v>4.2446844946329962</v>
      </c>
      <c r="V99" s="11"/>
      <c r="W99" s="9"/>
      <c r="X99">
        <v>225</v>
      </c>
      <c r="Y99">
        <v>997</v>
      </c>
      <c r="Z99">
        <v>217</v>
      </c>
      <c r="AA99" s="3">
        <v>6.98</v>
      </c>
      <c r="AB99" s="9">
        <v>0.19170984455958548</v>
      </c>
    </row>
    <row r="100" spans="1:28" x14ac:dyDescent="0.25">
      <c r="A100" t="s">
        <v>46</v>
      </c>
      <c r="B100" t="s">
        <v>0</v>
      </c>
      <c r="C100">
        <v>63</v>
      </c>
      <c r="D100">
        <v>347</v>
      </c>
      <c r="E100" s="2">
        <v>25</v>
      </c>
      <c r="F100" t="s">
        <v>8</v>
      </c>
      <c r="I100" s="3">
        <v>16.52</v>
      </c>
      <c r="J100" s="9">
        <v>0.25</v>
      </c>
      <c r="K100" s="11">
        <v>85</v>
      </c>
      <c r="L100" s="3">
        <f>(I100+(((K100-32)/454)/J100))</f>
        <v>16.986960352422908</v>
      </c>
      <c r="M100" s="9"/>
      <c r="N100" t="s">
        <v>8</v>
      </c>
      <c r="O100">
        <v>347</v>
      </c>
      <c r="R100" s="3">
        <v>3.42</v>
      </c>
      <c r="S100" s="9">
        <v>0.41346153846153844</v>
      </c>
      <c r="T100" s="11">
        <v>149</v>
      </c>
      <c r="U100" s="3">
        <f>(R100+(((T100-32)/454)/S100))</f>
        <v>4.0432967933613355</v>
      </c>
      <c r="V100" s="11"/>
      <c r="W100" s="9"/>
      <c r="X100">
        <v>347</v>
      </c>
      <c r="AA100" s="3">
        <v>5.5</v>
      </c>
      <c r="AB100" s="9">
        <v>0.21351351351351353</v>
      </c>
    </row>
    <row r="101" spans="1:28" x14ac:dyDescent="0.25">
      <c r="A101" t="s">
        <v>46</v>
      </c>
      <c r="B101" t="s">
        <v>0</v>
      </c>
      <c r="C101">
        <v>63</v>
      </c>
      <c r="D101">
        <v>435</v>
      </c>
      <c r="E101" s="2">
        <v>25</v>
      </c>
      <c r="F101" t="s">
        <v>8</v>
      </c>
      <c r="I101" s="3">
        <v>12.8</v>
      </c>
      <c r="J101" s="9">
        <v>0.25505617977528089</v>
      </c>
      <c r="K101" s="11"/>
      <c r="M101" s="9"/>
      <c r="N101" t="s">
        <v>8</v>
      </c>
      <c r="O101">
        <v>435</v>
      </c>
      <c r="R101" s="3">
        <v>4.0999999999999996</v>
      </c>
      <c r="S101" s="9">
        <v>0.32027027027027027</v>
      </c>
      <c r="T101" s="11"/>
      <c r="U101" s="9"/>
      <c r="V101" s="11"/>
      <c r="W101" s="9"/>
      <c r="X101">
        <v>435</v>
      </c>
      <c r="AA101" s="3">
        <v>3.76</v>
      </c>
      <c r="AB101" s="9">
        <v>0.2233502538071066</v>
      </c>
    </row>
    <row r="102" spans="1:28" x14ac:dyDescent="0.25">
      <c r="A102" t="s">
        <v>46</v>
      </c>
      <c r="B102" t="s">
        <v>0</v>
      </c>
      <c r="C102">
        <v>63</v>
      </c>
      <c r="D102">
        <v>129</v>
      </c>
      <c r="E102" s="2">
        <v>26</v>
      </c>
      <c r="F102" t="s">
        <v>21</v>
      </c>
      <c r="G102">
        <v>904</v>
      </c>
      <c r="H102">
        <v>264</v>
      </c>
      <c r="I102" s="3">
        <v>16.28</v>
      </c>
      <c r="J102" s="9">
        <v>0.26605504587155965</v>
      </c>
      <c r="K102" s="11"/>
      <c r="M102" s="9"/>
      <c r="N102" t="s">
        <v>21</v>
      </c>
      <c r="O102">
        <v>129</v>
      </c>
      <c r="P102">
        <v>480</v>
      </c>
      <c r="Q102">
        <v>192</v>
      </c>
      <c r="R102" s="12">
        <v>1.7</v>
      </c>
      <c r="S102" s="17">
        <v>0.35714285714285715</v>
      </c>
      <c r="T102" s="11"/>
      <c r="U102" s="9"/>
      <c r="V102" s="11"/>
      <c r="W102" s="9"/>
      <c r="X102">
        <v>129</v>
      </c>
      <c r="Y102">
        <v>702</v>
      </c>
      <c r="Z102">
        <v>184</v>
      </c>
      <c r="AA102" s="3">
        <v>4.72</v>
      </c>
      <c r="AB102" s="9">
        <v>0.22686567164179106</v>
      </c>
    </row>
    <row r="103" spans="1:28" x14ac:dyDescent="0.25">
      <c r="A103" t="s">
        <v>46</v>
      </c>
      <c r="B103" t="s">
        <v>0</v>
      </c>
      <c r="C103">
        <v>63</v>
      </c>
      <c r="D103">
        <v>217</v>
      </c>
      <c r="E103" s="2">
        <v>26</v>
      </c>
      <c r="F103" t="s">
        <v>21</v>
      </c>
      <c r="G103">
        <v>859</v>
      </c>
      <c r="H103">
        <v>240</v>
      </c>
      <c r="I103" s="3">
        <v>14.58</v>
      </c>
      <c r="J103" s="9">
        <v>0.25151148730350664</v>
      </c>
      <c r="K103" s="11">
        <v>114</v>
      </c>
      <c r="L103" s="3">
        <f>(I103+(((K103-32)/454)/J103))</f>
        <v>15.298125211792613</v>
      </c>
      <c r="M103" s="9"/>
      <c r="N103" t="s">
        <v>21</v>
      </c>
      <c r="O103">
        <v>217</v>
      </c>
      <c r="P103">
        <v>706</v>
      </c>
      <c r="Q103">
        <v>292</v>
      </c>
      <c r="R103" s="3">
        <v>3.1</v>
      </c>
      <c r="S103" s="9">
        <v>0.3857566765578635</v>
      </c>
      <c r="T103" s="11">
        <v>114</v>
      </c>
      <c r="U103" s="3">
        <f>(R103+(((T103-32)/454)/S103))</f>
        <v>3.5682141646899357</v>
      </c>
      <c r="V103" s="11"/>
      <c r="W103" s="9"/>
      <c r="X103">
        <v>217</v>
      </c>
      <c r="Y103">
        <v>841</v>
      </c>
      <c r="Z103">
        <v>183</v>
      </c>
      <c r="AA103" s="3">
        <v>6.32</v>
      </c>
      <c r="AB103" s="9">
        <v>0.18665018541409148</v>
      </c>
    </row>
    <row r="104" spans="1:28" x14ac:dyDescent="0.25">
      <c r="A104" t="s">
        <v>46</v>
      </c>
      <c r="B104" t="s">
        <v>0</v>
      </c>
      <c r="C104">
        <v>63</v>
      </c>
      <c r="D104">
        <v>338</v>
      </c>
      <c r="E104" s="2">
        <v>26</v>
      </c>
      <c r="F104" t="s">
        <v>21</v>
      </c>
      <c r="I104" s="3">
        <v>16.78</v>
      </c>
      <c r="J104" s="9">
        <v>0.24066924066924067</v>
      </c>
      <c r="K104" s="11">
        <v>81</v>
      </c>
      <c r="L104" s="3">
        <f>(I104+(((K104-32)/454)/J104))</f>
        <v>17.228455794011637</v>
      </c>
      <c r="M104" s="9"/>
      <c r="N104" t="s">
        <v>21</v>
      </c>
      <c r="O104">
        <v>338</v>
      </c>
      <c r="R104" s="3">
        <v>3.8</v>
      </c>
      <c r="S104" s="9">
        <v>0.36842105263157893</v>
      </c>
      <c r="T104" s="11">
        <v>140</v>
      </c>
      <c r="U104" s="3">
        <f>(R104+(((T104-32)/454)/S104))</f>
        <v>4.4456891126494646</v>
      </c>
      <c r="V104" s="11"/>
      <c r="W104" s="9"/>
      <c r="X104">
        <v>338</v>
      </c>
      <c r="AA104" s="3">
        <v>5.22</v>
      </c>
      <c r="AB104" s="9">
        <v>0.21249999999999999</v>
      </c>
    </row>
    <row r="105" spans="1:28" x14ac:dyDescent="0.25">
      <c r="A105" t="s">
        <v>46</v>
      </c>
      <c r="B105" t="s">
        <v>0</v>
      </c>
      <c r="C105">
        <v>63</v>
      </c>
      <c r="D105">
        <v>431</v>
      </c>
      <c r="E105" s="2">
        <v>26</v>
      </c>
      <c r="F105" t="s">
        <v>21</v>
      </c>
      <c r="I105" s="3">
        <v>14.02</v>
      </c>
      <c r="J105" s="9">
        <v>0.25299760191846521</v>
      </c>
      <c r="K105" s="11"/>
      <c r="M105" s="9"/>
      <c r="N105" t="s">
        <v>21</v>
      </c>
      <c r="O105">
        <v>431</v>
      </c>
      <c r="R105" s="3">
        <v>4.2</v>
      </c>
      <c r="S105" s="9">
        <v>0.32838038632986627</v>
      </c>
      <c r="T105" s="11"/>
      <c r="U105" s="9"/>
      <c r="V105" s="11"/>
      <c r="W105" s="9"/>
      <c r="X105">
        <v>431</v>
      </c>
      <c r="AA105" s="3">
        <v>4.7</v>
      </c>
      <c r="AB105" s="9">
        <v>0.23448275862068965</v>
      </c>
    </row>
    <row r="106" spans="1:28" x14ac:dyDescent="0.25">
      <c r="A106" t="s">
        <v>46</v>
      </c>
      <c r="B106" t="s">
        <v>0</v>
      </c>
      <c r="C106">
        <v>63</v>
      </c>
      <c r="D106">
        <v>121</v>
      </c>
      <c r="E106" s="2">
        <v>27</v>
      </c>
      <c r="F106" t="s">
        <v>14</v>
      </c>
      <c r="G106">
        <v>895</v>
      </c>
      <c r="H106">
        <v>241</v>
      </c>
      <c r="I106" s="3">
        <v>8.36</v>
      </c>
      <c r="J106" s="9">
        <v>0.24217844727694091</v>
      </c>
      <c r="K106" s="11"/>
      <c r="M106" s="9"/>
      <c r="N106" t="s">
        <v>14</v>
      </c>
      <c r="O106">
        <v>121</v>
      </c>
      <c r="P106">
        <v>687</v>
      </c>
      <c r="Q106">
        <v>277</v>
      </c>
      <c r="R106" s="3">
        <v>2.9</v>
      </c>
      <c r="S106" s="9">
        <v>0.37404580152671757</v>
      </c>
      <c r="T106" s="11"/>
      <c r="U106" s="9"/>
      <c r="V106" s="11"/>
      <c r="W106" s="9"/>
      <c r="X106">
        <v>121</v>
      </c>
      <c r="Y106">
        <v>908</v>
      </c>
      <c r="Z106">
        <v>214</v>
      </c>
      <c r="AA106" s="3">
        <v>5.5</v>
      </c>
      <c r="AB106" s="9">
        <v>0.20776255707762556</v>
      </c>
    </row>
    <row r="107" spans="1:28" x14ac:dyDescent="0.25">
      <c r="A107" t="s">
        <v>46</v>
      </c>
      <c r="B107" t="s">
        <v>0</v>
      </c>
      <c r="C107">
        <v>63</v>
      </c>
      <c r="D107">
        <v>232</v>
      </c>
      <c r="E107" s="2">
        <v>27</v>
      </c>
      <c r="F107" t="s">
        <v>14</v>
      </c>
      <c r="I107" s="3">
        <v>10.94</v>
      </c>
      <c r="J107" s="9">
        <v>0.23230088495575221</v>
      </c>
      <c r="K107" s="11">
        <v>60</v>
      </c>
      <c r="L107" s="3">
        <f>(I107+(((K107-32)/454)/J107))</f>
        <v>11.205491923641702</v>
      </c>
      <c r="M107" s="9"/>
      <c r="N107" t="s">
        <v>14</v>
      </c>
      <c r="O107">
        <v>232</v>
      </c>
      <c r="R107" s="3">
        <v>4.2</v>
      </c>
      <c r="S107" s="9">
        <v>0.35277382645803701</v>
      </c>
      <c r="T107" s="11">
        <v>110</v>
      </c>
      <c r="U107" s="3">
        <f>(R107+(((T107-32)/454)/S107))</f>
        <v>4.6870150632371752</v>
      </c>
      <c r="V107" s="11"/>
      <c r="W107" s="9"/>
      <c r="X107">
        <v>232</v>
      </c>
      <c r="AA107" s="3">
        <v>4.82</v>
      </c>
      <c r="AB107" s="9">
        <v>0.22458270106221548</v>
      </c>
    </row>
    <row r="108" spans="1:28" x14ac:dyDescent="0.25">
      <c r="A108" t="s">
        <v>46</v>
      </c>
      <c r="B108" t="s">
        <v>0</v>
      </c>
      <c r="C108">
        <v>63</v>
      </c>
      <c r="D108">
        <v>343</v>
      </c>
      <c r="E108" s="2">
        <v>27</v>
      </c>
      <c r="F108" t="s">
        <v>14</v>
      </c>
      <c r="I108" s="3">
        <v>13.36</v>
      </c>
      <c r="J108" s="9">
        <v>0.23846153846153847</v>
      </c>
      <c r="K108" s="11">
        <v>85</v>
      </c>
      <c r="L108" s="3">
        <f>(I108+(((K108-32)/454)/J108))</f>
        <v>13.849555208185306</v>
      </c>
      <c r="M108" s="9"/>
      <c r="N108" t="s">
        <v>14</v>
      </c>
      <c r="O108">
        <v>343</v>
      </c>
      <c r="R108" s="3">
        <v>3.26</v>
      </c>
      <c r="S108" s="9">
        <v>0.38524590163934425</v>
      </c>
      <c r="T108" s="11">
        <v>127</v>
      </c>
      <c r="U108" s="3">
        <f>(R108+(((T108-32)/454)/S108))</f>
        <v>3.8031624332177332</v>
      </c>
      <c r="V108" s="11"/>
      <c r="W108" s="9"/>
      <c r="X108">
        <v>343</v>
      </c>
      <c r="AA108" s="3">
        <v>5.2</v>
      </c>
      <c r="AB108" s="9">
        <v>0.20803782505910165</v>
      </c>
    </row>
    <row r="109" spans="1:28" x14ac:dyDescent="0.25">
      <c r="A109" t="s">
        <v>46</v>
      </c>
      <c r="B109" t="s">
        <v>0</v>
      </c>
      <c r="C109">
        <v>63</v>
      </c>
      <c r="D109">
        <v>418</v>
      </c>
      <c r="E109" s="2">
        <v>27</v>
      </c>
      <c r="F109" t="s">
        <v>14</v>
      </c>
      <c r="I109" s="3">
        <v>8.3800000000000008</v>
      </c>
      <c r="J109" s="9">
        <v>0.29181494661921709</v>
      </c>
      <c r="K109" s="11"/>
      <c r="M109" s="9"/>
      <c r="N109" t="s">
        <v>14</v>
      </c>
      <c r="O109">
        <v>418</v>
      </c>
      <c r="R109" s="3">
        <v>1.84</v>
      </c>
      <c r="S109" s="9">
        <v>0.41493055555555558</v>
      </c>
      <c r="T109" s="11"/>
      <c r="U109" s="9"/>
      <c r="V109" s="11"/>
      <c r="W109" s="9"/>
      <c r="X109">
        <v>418</v>
      </c>
      <c r="AA109" s="3">
        <v>3.78</v>
      </c>
      <c r="AB109" s="9">
        <v>0.20816864295125165</v>
      </c>
    </row>
    <row r="110" spans="1:28" x14ac:dyDescent="0.25">
      <c r="A110" t="s">
        <v>46</v>
      </c>
      <c r="B110" t="s">
        <v>0</v>
      </c>
      <c r="C110">
        <v>63</v>
      </c>
      <c r="D110">
        <v>120</v>
      </c>
      <c r="E110" s="2">
        <v>28</v>
      </c>
      <c r="F110" t="s">
        <v>13</v>
      </c>
      <c r="I110" s="3">
        <v>9.9</v>
      </c>
      <c r="J110" s="9">
        <v>0.25350593311758363</v>
      </c>
      <c r="K110" s="11"/>
      <c r="M110" s="9"/>
      <c r="N110" t="s">
        <v>13</v>
      </c>
      <c r="O110">
        <v>120</v>
      </c>
      <c r="R110" s="3">
        <v>3.02</v>
      </c>
      <c r="S110" s="9">
        <v>0.38235294117647056</v>
      </c>
      <c r="T110" s="11"/>
      <c r="U110" s="9"/>
      <c r="V110" s="11"/>
      <c r="W110" s="9"/>
      <c r="X110">
        <v>120</v>
      </c>
      <c r="AA110" s="3">
        <v>5.56</v>
      </c>
      <c r="AB110" s="9">
        <v>0.21153846153846154</v>
      </c>
    </row>
    <row r="111" spans="1:28" x14ac:dyDescent="0.25">
      <c r="A111" t="s">
        <v>46</v>
      </c>
      <c r="B111" t="s">
        <v>0</v>
      </c>
      <c r="C111">
        <v>63</v>
      </c>
      <c r="D111">
        <v>218</v>
      </c>
      <c r="E111" s="2">
        <v>28</v>
      </c>
      <c r="F111" t="s">
        <v>13</v>
      </c>
      <c r="I111" s="3">
        <v>11.72</v>
      </c>
      <c r="J111" s="9">
        <v>0.25151148730350664</v>
      </c>
      <c r="K111" s="11">
        <v>98</v>
      </c>
      <c r="L111" s="3">
        <f>(I111+(((K111-32)/454)/J111))</f>
        <v>12.298003219247713</v>
      </c>
      <c r="M111" s="9"/>
      <c r="N111" t="s">
        <v>13</v>
      </c>
      <c r="O111">
        <v>218</v>
      </c>
      <c r="R111" s="3">
        <v>3.88</v>
      </c>
      <c r="S111" s="9">
        <v>0.3857566765578635</v>
      </c>
      <c r="T111" s="11">
        <v>170</v>
      </c>
      <c r="U111" s="3">
        <f>(R111+(((T111-32)/454)/S111))</f>
        <v>4.6679701796001352</v>
      </c>
      <c r="V111" s="11"/>
      <c r="W111" s="9"/>
      <c r="X111">
        <v>218</v>
      </c>
      <c r="AA111" s="3">
        <v>6.48</v>
      </c>
      <c r="AB111" s="9">
        <v>0.18665018541409148</v>
      </c>
    </row>
    <row r="112" spans="1:28" x14ac:dyDescent="0.25">
      <c r="A112" t="s">
        <v>46</v>
      </c>
      <c r="B112" t="s">
        <v>0</v>
      </c>
      <c r="C112">
        <v>63</v>
      </c>
      <c r="D112">
        <v>339</v>
      </c>
      <c r="E112" s="2">
        <v>28</v>
      </c>
      <c r="F112" t="s">
        <v>13</v>
      </c>
      <c r="I112" s="3">
        <v>16.440000000000001</v>
      </c>
      <c r="J112" s="9">
        <v>0.24066924066924067</v>
      </c>
      <c r="K112" s="11">
        <v>85</v>
      </c>
      <c r="L112" s="3">
        <f>(I112+(((K112-32)/454)/J112))</f>
        <v>16.925064430257486</v>
      </c>
      <c r="M112" s="9"/>
      <c r="N112" t="s">
        <v>13</v>
      </c>
      <c r="O112">
        <v>339</v>
      </c>
      <c r="R112" s="3">
        <v>3.8</v>
      </c>
      <c r="S112" s="9">
        <v>0.36842105263157893</v>
      </c>
      <c r="T112" s="11">
        <v>107</v>
      </c>
      <c r="U112" s="3">
        <f>(R112+(((T112-32)/454)/S112))</f>
        <v>4.2483952171176842</v>
      </c>
      <c r="V112" s="11"/>
      <c r="W112" s="9"/>
      <c r="X112">
        <v>339</v>
      </c>
      <c r="AA112" s="3">
        <v>4.84</v>
      </c>
      <c r="AB112" s="9">
        <v>0.21249999999999999</v>
      </c>
    </row>
    <row r="113" spans="1:28" x14ac:dyDescent="0.25">
      <c r="A113" t="s">
        <v>46</v>
      </c>
      <c r="B113" t="s">
        <v>0</v>
      </c>
      <c r="C113">
        <v>63</v>
      </c>
      <c r="D113">
        <v>441</v>
      </c>
      <c r="E113" s="2">
        <v>28</v>
      </c>
      <c r="F113" t="s">
        <v>13</v>
      </c>
      <c r="G113">
        <v>679</v>
      </c>
      <c r="H113">
        <v>201</v>
      </c>
      <c r="I113" s="3">
        <v>13.66</v>
      </c>
      <c r="J113" s="9">
        <v>0.26120556414219476</v>
      </c>
      <c r="K113" s="11"/>
      <c r="M113" s="9"/>
      <c r="N113" t="s">
        <v>13</v>
      </c>
      <c r="O113">
        <v>441</v>
      </c>
      <c r="P113">
        <v>577</v>
      </c>
      <c r="Q113">
        <v>235</v>
      </c>
      <c r="R113" s="3">
        <v>4.18</v>
      </c>
      <c r="S113" s="9">
        <v>0.37247706422018351</v>
      </c>
      <c r="T113" s="11"/>
      <c r="U113" s="9"/>
      <c r="V113" s="11"/>
      <c r="W113" s="9"/>
      <c r="X113">
        <v>441</v>
      </c>
      <c r="Y113">
        <v>714</v>
      </c>
      <c r="Z113">
        <v>195</v>
      </c>
      <c r="AA113" s="3">
        <v>5.0199999999999996</v>
      </c>
      <c r="AB113" s="9">
        <v>0.23900293255131966</v>
      </c>
    </row>
    <row r="114" spans="1:28" x14ac:dyDescent="0.25">
      <c r="A114" t="s">
        <v>46</v>
      </c>
      <c r="B114" t="s">
        <v>0</v>
      </c>
      <c r="C114">
        <v>63</v>
      </c>
      <c r="D114">
        <v>118</v>
      </c>
      <c r="E114" s="2">
        <v>29</v>
      </c>
      <c r="F114" t="s">
        <v>11</v>
      </c>
      <c r="I114" s="3">
        <v>10.94</v>
      </c>
      <c r="J114" s="9">
        <v>0.25350593311758363</v>
      </c>
      <c r="K114" s="11"/>
      <c r="M114" s="9"/>
      <c r="N114" t="s">
        <v>11</v>
      </c>
      <c r="O114">
        <v>118</v>
      </c>
      <c r="R114" s="3">
        <v>3.1</v>
      </c>
      <c r="S114" s="9">
        <v>0.38235294117647056</v>
      </c>
      <c r="T114" s="11"/>
      <c r="U114" s="9"/>
      <c r="V114" s="11"/>
      <c r="W114" s="9"/>
      <c r="X114">
        <v>118</v>
      </c>
      <c r="AA114" s="3">
        <v>4.66</v>
      </c>
      <c r="AB114" s="9">
        <v>0.21153846153846154</v>
      </c>
    </row>
    <row r="115" spans="1:28" x14ac:dyDescent="0.25">
      <c r="A115" t="s">
        <v>46</v>
      </c>
      <c r="B115" t="s">
        <v>0</v>
      </c>
      <c r="C115">
        <v>63</v>
      </c>
      <c r="D115">
        <v>216</v>
      </c>
      <c r="E115" s="2">
        <v>29</v>
      </c>
      <c r="F115" t="s">
        <v>11</v>
      </c>
      <c r="I115" s="3">
        <v>13.14</v>
      </c>
      <c r="J115" s="9">
        <v>0.24709976798143851</v>
      </c>
      <c r="K115" s="11">
        <v>104</v>
      </c>
      <c r="L115" s="3">
        <f>(I115+(((K115-32)/454)/J115))</f>
        <v>13.781806787863747</v>
      </c>
      <c r="M115" s="9"/>
      <c r="N115" t="s">
        <v>11</v>
      </c>
      <c r="O115">
        <v>216</v>
      </c>
      <c r="R115" s="3">
        <v>3.16</v>
      </c>
      <c r="S115" s="9">
        <v>0.40545454545454546</v>
      </c>
      <c r="T115" s="11">
        <v>146</v>
      </c>
      <c r="U115" s="3">
        <f>(R115+(((T115-32)/454)/S115))</f>
        <v>3.7793081922522274</v>
      </c>
      <c r="V115" s="11"/>
      <c r="W115" s="9"/>
      <c r="X115">
        <v>216</v>
      </c>
      <c r="AA115" s="3">
        <v>6.1</v>
      </c>
      <c r="AB115" s="9">
        <v>0.18859649122807018</v>
      </c>
    </row>
    <row r="116" spans="1:28" x14ac:dyDescent="0.25">
      <c r="A116" t="s">
        <v>46</v>
      </c>
      <c r="B116" t="s">
        <v>0</v>
      </c>
      <c r="C116">
        <v>63</v>
      </c>
      <c r="D116">
        <v>337</v>
      </c>
      <c r="E116" s="2">
        <v>29</v>
      </c>
      <c r="F116" t="s">
        <v>11</v>
      </c>
      <c r="G116">
        <v>809</v>
      </c>
      <c r="H116">
        <v>219</v>
      </c>
      <c r="I116" s="3">
        <v>16</v>
      </c>
      <c r="J116" s="9">
        <v>0.24066924066924067</v>
      </c>
      <c r="K116" s="11">
        <v>84</v>
      </c>
      <c r="L116" s="3">
        <f>(I116+(((K116-32)/454)/J116))</f>
        <v>16.475912271196023</v>
      </c>
      <c r="M116" s="9"/>
      <c r="N116" t="s">
        <v>11</v>
      </c>
      <c r="O116">
        <v>337</v>
      </c>
      <c r="P116">
        <v>849</v>
      </c>
      <c r="Q116">
        <v>333</v>
      </c>
      <c r="R116" s="3">
        <v>5.2</v>
      </c>
      <c r="S116" s="9">
        <v>0.36842105263157893</v>
      </c>
      <c r="T116" s="11">
        <v>121</v>
      </c>
      <c r="U116" s="3">
        <f>(R116+(((T116-32)/454)/S116))</f>
        <v>5.7320956576463189</v>
      </c>
      <c r="V116" s="11"/>
      <c r="W116" s="9"/>
      <c r="X116">
        <v>337</v>
      </c>
      <c r="Y116">
        <v>752</v>
      </c>
      <c r="Z116">
        <v>185</v>
      </c>
      <c r="AA116" s="3">
        <v>5.08</v>
      </c>
      <c r="AB116" s="9">
        <v>0.21249999999999999</v>
      </c>
    </row>
    <row r="117" spans="1:28" x14ac:dyDescent="0.25">
      <c r="A117" t="s">
        <v>46</v>
      </c>
      <c r="B117" t="s">
        <v>0</v>
      </c>
      <c r="C117">
        <v>63</v>
      </c>
      <c r="D117">
        <v>414</v>
      </c>
      <c r="E117" s="2">
        <v>29</v>
      </c>
      <c r="F117" t="s">
        <v>11</v>
      </c>
      <c r="I117" s="3">
        <v>9.42</v>
      </c>
      <c r="J117" s="9">
        <v>0.26328800988875156</v>
      </c>
      <c r="K117" s="11"/>
      <c r="M117" s="9"/>
      <c r="N117" t="s">
        <v>11</v>
      </c>
      <c r="O117">
        <v>414</v>
      </c>
      <c r="R117" s="3">
        <v>2.1</v>
      </c>
      <c r="S117" s="9">
        <v>0.40606060606060607</v>
      </c>
      <c r="T117" s="11"/>
      <c r="U117" s="9"/>
      <c r="V117" s="11"/>
      <c r="W117" s="9"/>
      <c r="X117">
        <v>414</v>
      </c>
      <c r="AA117" s="3">
        <v>3.42</v>
      </c>
      <c r="AB117" s="9">
        <v>0.20642201834862386</v>
      </c>
    </row>
    <row r="118" spans="1:28" x14ac:dyDescent="0.25">
      <c r="A118" t="s">
        <v>46</v>
      </c>
      <c r="B118" t="s">
        <v>0</v>
      </c>
      <c r="C118">
        <v>63</v>
      </c>
      <c r="D118">
        <v>116</v>
      </c>
      <c r="E118" s="2">
        <v>30</v>
      </c>
      <c r="F118" t="s">
        <v>9</v>
      </c>
      <c r="I118" s="3">
        <v>10.58</v>
      </c>
      <c r="J118" s="9">
        <v>0.24741081703107021</v>
      </c>
      <c r="K118" s="11"/>
      <c r="M118" s="9"/>
      <c r="N118" t="s">
        <v>9</v>
      </c>
      <c r="O118">
        <v>116</v>
      </c>
      <c r="R118" s="3">
        <v>3.78</v>
      </c>
      <c r="S118" s="9">
        <v>0.39442231075697209</v>
      </c>
      <c r="T118" s="11"/>
      <c r="U118" s="9"/>
      <c r="V118" s="11"/>
      <c r="W118" s="9"/>
      <c r="X118">
        <v>116</v>
      </c>
      <c r="AA118" s="3">
        <v>5.98</v>
      </c>
      <c r="AB118" s="9">
        <v>0.20350404312668463</v>
      </c>
    </row>
    <row r="119" spans="1:28" x14ac:dyDescent="0.25">
      <c r="A119" t="s">
        <v>46</v>
      </c>
      <c r="B119" t="s">
        <v>0</v>
      </c>
      <c r="C119">
        <v>63</v>
      </c>
      <c r="D119">
        <v>239</v>
      </c>
      <c r="E119" s="2">
        <v>30</v>
      </c>
      <c r="F119" t="s">
        <v>9</v>
      </c>
      <c r="I119" s="3">
        <v>11.58</v>
      </c>
      <c r="J119" s="9">
        <v>0.24646983311938384</v>
      </c>
      <c r="K119" s="11">
        <v>83</v>
      </c>
      <c r="L119" s="3">
        <f>(I119+(((K119-32)/454)/J119))</f>
        <v>12.035775055066079</v>
      </c>
      <c r="M119" s="9"/>
      <c r="N119" t="s">
        <v>9</v>
      </c>
      <c r="O119">
        <v>239</v>
      </c>
      <c r="R119" s="3">
        <v>4.88</v>
      </c>
      <c r="S119" s="9">
        <v>0.35202492211838005</v>
      </c>
      <c r="T119" s="11">
        <v>119</v>
      </c>
      <c r="U119" s="3">
        <f>(R119+(((T119-32)/454)/S119))</f>
        <v>5.4243647421153174</v>
      </c>
      <c r="V119" s="11"/>
      <c r="W119" s="9"/>
      <c r="X119">
        <v>239</v>
      </c>
      <c r="AA119" s="3">
        <v>5.0199999999999996</v>
      </c>
      <c r="AB119" s="9">
        <v>0.21917808219178081</v>
      </c>
    </row>
    <row r="120" spans="1:28" x14ac:dyDescent="0.25">
      <c r="A120" t="s">
        <v>46</v>
      </c>
      <c r="B120" t="s">
        <v>0</v>
      </c>
      <c r="C120">
        <v>63</v>
      </c>
      <c r="D120">
        <v>329</v>
      </c>
      <c r="E120" s="2">
        <v>30</v>
      </c>
      <c r="F120" t="s">
        <v>9</v>
      </c>
      <c r="G120">
        <v>778</v>
      </c>
      <c r="H120">
        <v>198</v>
      </c>
      <c r="I120" s="3">
        <v>14.36</v>
      </c>
      <c r="J120" s="9">
        <v>0.22252010723860591</v>
      </c>
      <c r="K120" s="11">
        <v>88</v>
      </c>
      <c r="L120" s="3">
        <f>(I120+(((K120-32)/454)/J120))</f>
        <v>14.914323018948039</v>
      </c>
      <c r="M120" s="9"/>
      <c r="N120" t="s">
        <v>9</v>
      </c>
      <c r="O120">
        <v>329</v>
      </c>
      <c r="P120">
        <v>624</v>
      </c>
      <c r="Q120">
        <v>247</v>
      </c>
      <c r="R120" s="12">
        <v>1.7</v>
      </c>
      <c r="S120" s="17">
        <v>0.36317567567567566</v>
      </c>
      <c r="T120" s="18">
        <v>162</v>
      </c>
      <c r="U120" s="12">
        <f>(R120+(((T120-32)/454)/S120))</f>
        <v>2.488443806986989</v>
      </c>
      <c r="V120" s="11"/>
      <c r="W120" s="9"/>
      <c r="X120">
        <v>329</v>
      </c>
      <c r="Y120">
        <v>635</v>
      </c>
      <c r="Z120">
        <v>157</v>
      </c>
      <c r="AA120" s="3">
        <v>4.38</v>
      </c>
      <c r="AB120" s="9">
        <v>0.20729684908789386</v>
      </c>
    </row>
    <row r="121" spans="1:28" x14ac:dyDescent="0.25">
      <c r="A121" t="s">
        <v>46</v>
      </c>
      <c r="B121" t="s">
        <v>0</v>
      </c>
      <c r="C121">
        <v>63</v>
      </c>
      <c r="D121">
        <v>427</v>
      </c>
      <c r="E121" s="2">
        <v>30</v>
      </c>
      <c r="F121" t="s">
        <v>9</v>
      </c>
      <c r="I121" s="3">
        <v>10.46</v>
      </c>
      <c r="J121" s="9">
        <v>0.26378378378378381</v>
      </c>
      <c r="K121" s="11"/>
      <c r="M121" s="9"/>
      <c r="N121" t="s">
        <v>9</v>
      </c>
      <c r="O121">
        <v>427</v>
      </c>
      <c r="R121" s="12">
        <v>2.08</v>
      </c>
      <c r="S121" s="17">
        <v>0.36585365853658536</v>
      </c>
      <c r="T121" s="11"/>
      <c r="U121" s="9"/>
      <c r="V121" s="11"/>
      <c r="W121" s="9"/>
      <c r="X121">
        <v>427</v>
      </c>
      <c r="AA121" s="3">
        <v>3.44</v>
      </c>
      <c r="AB121" s="9">
        <v>0.21726190476190477</v>
      </c>
    </row>
    <row r="122" spans="1:28" x14ac:dyDescent="0.25">
      <c r="A122" t="s">
        <v>46</v>
      </c>
      <c r="B122" t="s">
        <v>0</v>
      </c>
      <c r="C122">
        <v>63</v>
      </c>
      <c r="D122">
        <v>139</v>
      </c>
      <c r="E122" s="2">
        <v>31</v>
      </c>
      <c r="F122" t="s">
        <v>29</v>
      </c>
      <c r="I122" s="3">
        <v>12.54</v>
      </c>
      <c r="J122" s="9">
        <v>0.27608142493638677</v>
      </c>
      <c r="K122" s="11"/>
      <c r="M122" s="9"/>
      <c r="N122" t="s">
        <v>29</v>
      </c>
      <c r="O122">
        <v>139</v>
      </c>
      <c r="R122" s="3">
        <v>3.58</v>
      </c>
      <c r="S122" s="9">
        <v>0.37161290322580648</v>
      </c>
      <c r="T122" s="11"/>
      <c r="U122" s="9"/>
      <c r="V122" s="11"/>
      <c r="W122" s="9"/>
      <c r="X122">
        <v>139</v>
      </c>
      <c r="AA122" s="3">
        <v>4.46</v>
      </c>
      <c r="AB122" s="9">
        <v>0.22948539638386647</v>
      </c>
    </row>
    <row r="123" spans="1:28" x14ac:dyDescent="0.25">
      <c r="A123" t="s">
        <v>46</v>
      </c>
      <c r="B123" t="s">
        <v>0</v>
      </c>
      <c r="C123">
        <v>63</v>
      </c>
      <c r="D123">
        <v>214</v>
      </c>
      <c r="E123" s="2">
        <v>31</v>
      </c>
      <c r="F123" t="s">
        <v>29</v>
      </c>
      <c r="I123" s="3">
        <v>11.64</v>
      </c>
      <c r="J123" s="9">
        <v>0.24709976798143851</v>
      </c>
      <c r="K123" s="11">
        <v>98</v>
      </c>
      <c r="L123" s="3">
        <f>(I123+(((K123-32)/454)/J123))</f>
        <v>12.228322888875102</v>
      </c>
      <c r="M123" s="9"/>
      <c r="N123" t="s">
        <v>29</v>
      </c>
      <c r="O123">
        <v>214</v>
      </c>
      <c r="R123" s="3">
        <v>3.26</v>
      </c>
      <c r="S123" s="9">
        <v>0.40545454545454546</v>
      </c>
      <c r="T123" s="11">
        <v>105</v>
      </c>
      <c r="U123" s="3">
        <f>(R123+(((T123-32)/454)/S123))</f>
        <v>3.6565745441615136</v>
      </c>
      <c r="V123" s="11"/>
      <c r="W123" s="9"/>
      <c r="X123">
        <v>214</v>
      </c>
      <c r="AA123" s="3">
        <v>7.5</v>
      </c>
      <c r="AB123" s="9">
        <v>0.18859649122807018</v>
      </c>
    </row>
    <row r="124" spans="1:28" x14ac:dyDescent="0.25">
      <c r="A124" t="s">
        <v>46</v>
      </c>
      <c r="B124" t="s">
        <v>0</v>
      </c>
      <c r="C124">
        <v>63</v>
      </c>
      <c r="D124">
        <v>340</v>
      </c>
      <c r="E124" s="2">
        <v>31</v>
      </c>
      <c r="F124" t="s">
        <v>29</v>
      </c>
      <c r="I124" s="3">
        <v>15.5</v>
      </c>
      <c r="J124" s="9">
        <v>0.24066924066924067</v>
      </c>
      <c r="K124" s="11">
        <v>89</v>
      </c>
      <c r="L124" s="3">
        <f>(I124+(((K124-32)/454)/J124))</f>
        <v>16.021673066503332</v>
      </c>
      <c r="M124" s="9"/>
      <c r="N124" t="s">
        <v>29</v>
      </c>
      <c r="O124">
        <v>340</v>
      </c>
      <c r="R124" s="3">
        <v>3.34</v>
      </c>
      <c r="S124" s="9">
        <v>0.36842105263157893</v>
      </c>
      <c r="T124" s="11">
        <v>171</v>
      </c>
      <c r="U124" s="3">
        <f>(R124+(((T124-32)/454)/S124))</f>
        <v>4.1710258023914406</v>
      </c>
      <c r="V124" s="11"/>
      <c r="W124" s="9"/>
      <c r="X124">
        <v>340</v>
      </c>
      <c r="AA124" s="3">
        <v>5.42</v>
      </c>
      <c r="AB124" s="9">
        <v>0.21249999999999999</v>
      </c>
    </row>
    <row r="125" spans="1:28" x14ac:dyDescent="0.25">
      <c r="A125" t="s">
        <v>46</v>
      </c>
      <c r="B125" t="s">
        <v>0</v>
      </c>
      <c r="C125">
        <v>63</v>
      </c>
      <c r="D125">
        <v>422</v>
      </c>
      <c r="E125" s="2">
        <v>31</v>
      </c>
      <c r="F125" t="s">
        <v>29</v>
      </c>
      <c r="I125" s="3">
        <v>11.42</v>
      </c>
      <c r="J125" s="9">
        <v>0.26177285318559557</v>
      </c>
      <c r="K125" s="11"/>
      <c r="M125" s="9"/>
      <c r="N125" t="s">
        <v>29</v>
      </c>
      <c r="O125">
        <v>422</v>
      </c>
      <c r="R125" s="3">
        <v>3.04</v>
      </c>
      <c r="S125" s="9">
        <v>0.38351254480286739</v>
      </c>
      <c r="T125" s="11"/>
      <c r="U125" s="9"/>
      <c r="V125" s="11"/>
      <c r="W125" s="9"/>
      <c r="X125">
        <v>422</v>
      </c>
      <c r="AA125" s="3">
        <v>4.34</v>
      </c>
      <c r="AB125" s="9">
        <v>0.21476510067114093</v>
      </c>
    </row>
    <row r="126" spans="1:28" x14ac:dyDescent="0.25">
      <c r="A126" t="s">
        <v>46</v>
      </c>
      <c r="B126" t="s">
        <v>0</v>
      </c>
      <c r="C126">
        <v>63</v>
      </c>
      <c r="D126">
        <v>141</v>
      </c>
      <c r="E126" s="2">
        <v>32</v>
      </c>
      <c r="F126" t="s">
        <v>30</v>
      </c>
      <c r="G126">
        <v>921</v>
      </c>
      <c r="H126">
        <v>260</v>
      </c>
      <c r="I126" s="3">
        <v>12.12</v>
      </c>
      <c r="J126" s="9">
        <v>0.25646794150731156</v>
      </c>
      <c r="K126" s="11"/>
      <c r="M126" s="9"/>
      <c r="N126" t="s">
        <v>30</v>
      </c>
      <c r="O126">
        <v>141</v>
      </c>
      <c r="P126">
        <v>667</v>
      </c>
      <c r="Q126">
        <v>273</v>
      </c>
      <c r="R126" s="3">
        <v>2.82</v>
      </c>
      <c r="S126" s="9">
        <v>0.37952755905511809</v>
      </c>
      <c r="T126" s="11"/>
      <c r="U126" s="9"/>
      <c r="V126" s="11"/>
      <c r="W126" s="9"/>
      <c r="X126">
        <v>141</v>
      </c>
      <c r="Y126">
        <v>563</v>
      </c>
      <c r="Z126">
        <v>156</v>
      </c>
      <c r="AA126" s="3">
        <v>3.78</v>
      </c>
      <c r="AB126" s="9">
        <v>0.2335216572504708</v>
      </c>
    </row>
    <row r="127" spans="1:28" x14ac:dyDescent="0.25">
      <c r="A127" t="s">
        <v>46</v>
      </c>
      <c r="B127" t="s">
        <v>0</v>
      </c>
      <c r="C127">
        <v>63</v>
      </c>
      <c r="D127">
        <v>222</v>
      </c>
      <c r="E127" s="2">
        <v>32</v>
      </c>
      <c r="F127" t="s">
        <v>30</v>
      </c>
      <c r="I127" s="3">
        <v>14.2</v>
      </c>
      <c r="J127" s="9">
        <v>0.2339304531085353</v>
      </c>
      <c r="K127" s="11">
        <v>92</v>
      </c>
      <c r="L127" s="3">
        <f>(I127+(((K127-32)/454)/J127))</f>
        <v>14.764948208120014</v>
      </c>
      <c r="M127" s="9"/>
      <c r="N127" t="s">
        <v>30</v>
      </c>
      <c r="O127">
        <v>222</v>
      </c>
      <c r="R127" s="3">
        <v>4.9400000000000004</v>
      </c>
      <c r="S127" s="9">
        <v>0.35875706214689268</v>
      </c>
      <c r="T127" s="11">
        <v>222</v>
      </c>
      <c r="U127" s="3">
        <f>(R127+(((T127-32)/454)/S127))</f>
        <v>6.1065336987061638</v>
      </c>
      <c r="V127" s="11"/>
      <c r="W127" s="9"/>
      <c r="X127">
        <v>222</v>
      </c>
      <c r="AA127" s="3">
        <v>6.44</v>
      </c>
      <c r="AB127" s="9">
        <v>0.19146341463414634</v>
      </c>
    </row>
    <row r="128" spans="1:28" x14ac:dyDescent="0.25">
      <c r="A128" t="s">
        <v>46</v>
      </c>
      <c r="B128" t="s">
        <v>0</v>
      </c>
      <c r="C128">
        <v>63</v>
      </c>
      <c r="D128">
        <v>346</v>
      </c>
      <c r="E128" s="2">
        <v>32</v>
      </c>
      <c r="F128" t="s">
        <v>30</v>
      </c>
      <c r="I128" s="3">
        <v>16.420000000000002</v>
      </c>
      <c r="J128" s="9">
        <v>0.25</v>
      </c>
      <c r="K128" s="11">
        <v>83</v>
      </c>
      <c r="L128" s="3">
        <f>(I128+(((K128-32)/454)/J128))</f>
        <v>16.869339207048458</v>
      </c>
      <c r="M128" s="9"/>
      <c r="N128" t="s">
        <v>30</v>
      </c>
      <c r="O128">
        <v>346</v>
      </c>
      <c r="R128" s="3">
        <v>3.1</v>
      </c>
      <c r="S128" s="9">
        <v>0.41346153846153844</v>
      </c>
      <c r="T128" s="11">
        <v>147</v>
      </c>
      <c r="U128" s="3">
        <f>(R128+(((T128-32)/454)/S128))</f>
        <v>3.7126421473209712</v>
      </c>
      <c r="V128" s="11"/>
      <c r="W128" s="9"/>
      <c r="X128">
        <v>346</v>
      </c>
      <c r="AA128" s="3">
        <v>4.92</v>
      </c>
      <c r="AB128" s="9">
        <v>0.21351351351351353</v>
      </c>
    </row>
    <row r="129" spans="1:28" x14ac:dyDescent="0.25">
      <c r="A129" t="s">
        <v>46</v>
      </c>
      <c r="B129" t="s">
        <v>0</v>
      </c>
      <c r="C129">
        <v>63</v>
      </c>
      <c r="D129">
        <v>444</v>
      </c>
      <c r="E129" s="2">
        <v>32</v>
      </c>
      <c r="F129" t="s">
        <v>30</v>
      </c>
      <c r="I129" s="3">
        <v>13.5</v>
      </c>
      <c r="J129" s="9">
        <v>0.26120556414219476</v>
      </c>
      <c r="K129" s="11"/>
      <c r="M129" s="9"/>
      <c r="N129" t="s">
        <v>30</v>
      </c>
      <c r="O129">
        <v>444</v>
      </c>
      <c r="R129" s="3">
        <v>4.9400000000000004</v>
      </c>
      <c r="S129" s="9">
        <v>0.37247706422018351</v>
      </c>
      <c r="T129" s="11"/>
      <c r="U129" s="9"/>
      <c r="V129" s="11"/>
      <c r="W129" s="9"/>
      <c r="X129">
        <v>444</v>
      </c>
      <c r="AA129" s="3">
        <v>5.58</v>
      </c>
      <c r="AB129" s="9">
        <v>0.23900293255131966</v>
      </c>
    </row>
    <row r="130" spans="1:28" x14ac:dyDescent="0.25">
      <c r="A130" t="s">
        <v>46</v>
      </c>
      <c r="B130" t="s">
        <v>0</v>
      </c>
      <c r="C130">
        <v>63</v>
      </c>
      <c r="D130">
        <v>131</v>
      </c>
      <c r="E130" s="2">
        <v>33</v>
      </c>
      <c r="F130" t="s">
        <v>23</v>
      </c>
      <c r="I130" s="3">
        <v>13.12</v>
      </c>
      <c r="J130" s="9">
        <v>0.26605504587155965</v>
      </c>
      <c r="K130" s="11"/>
      <c r="M130" s="9"/>
      <c r="N130" t="s">
        <v>23</v>
      </c>
      <c r="O130">
        <v>131</v>
      </c>
      <c r="R130" s="3">
        <v>2.96</v>
      </c>
      <c r="S130" s="9">
        <v>0.35714285714285715</v>
      </c>
      <c r="T130" s="11"/>
      <c r="U130" s="9"/>
      <c r="V130" s="11"/>
      <c r="W130" s="9"/>
      <c r="X130">
        <v>131</v>
      </c>
      <c r="AA130" s="3">
        <v>3.86</v>
      </c>
      <c r="AB130" s="9">
        <v>0.22686567164179106</v>
      </c>
    </row>
    <row r="131" spans="1:28" x14ac:dyDescent="0.25">
      <c r="A131" t="s">
        <v>46</v>
      </c>
      <c r="B131" t="s">
        <v>0</v>
      </c>
      <c r="C131">
        <v>63</v>
      </c>
      <c r="D131">
        <v>248</v>
      </c>
      <c r="E131" s="2">
        <v>33</v>
      </c>
      <c r="F131" t="s">
        <v>23</v>
      </c>
      <c r="I131" s="3">
        <v>16.7</v>
      </c>
      <c r="J131" s="9">
        <v>0.23837784371909002</v>
      </c>
      <c r="K131" s="11">
        <v>82</v>
      </c>
      <c r="L131" s="3">
        <f>(I131+(((K131-32)/454)/J131))</f>
        <v>17.162006690185898</v>
      </c>
      <c r="M131" s="9"/>
      <c r="N131" t="s">
        <v>23</v>
      </c>
      <c r="O131">
        <v>248</v>
      </c>
      <c r="R131" s="3">
        <v>4.0599999999999996</v>
      </c>
      <c r="S131" s="9">
        <v>0.35953177257525082</v>
      </c>
      <c r="T131" s="11">
        <v>149</v>
      </c>
      <c r="U131" s="3">
        <f>(R131+(((T131-32)/454)/S131))</f>
        <v>4.7767913123655363</v>
      </c>
      <c r="V131" s="11"/>
      <c r="W131" s="9"/>
      <c r="X131">
        <v>248</v>
      </c>
      <c r="AA131" s="3">
        <v>6.64</v>
      </c>
      <c r="AB131" s="9">
        <v>0.2196969696969697</v>
      </c>
    </row>
    <row r="132" spans="1:28" x14ac:dyDescent="0.25">
      <c r="A132" t="s">
        <v>46</v>
      </c>
      <c r="B132" t="s">
        <v>0</v>
      </c>
      <c r="C132">
        <v>63</v>
      </c>
      <c r="D132">
        <v>320</v>
      </c>
      <c r="E132" s="2">
        <v>33</v>
      </c>
      <c r="F132" t="s">
        <v>23</v>
      </c>
      <c r="I132" s="3">
        <v>15.8</v>
      </c>
      <c r="J132" s="9">
        <v>0.24938875305623473</v>
      </c>
      <c r="K132" s="11">
        <v>137</v>
      </c>
      <c r="L132" s="3">
        <f>(I132+(((K132-32)/454)/J132))</f>
        <v>16.727377558953098</v>
      </c>
      <c r="M132" s="9"/>
      <c r="N132" t="s">
        <v>23</v>
      </c>
      <c r="O132">
        <v>320</v>
      </c>
      <c r="R132" s="3">
        <v>3.5</v>
      </c>
      <c r="S132" s="9">
        <v>0.41165413533834588</v>
      </c>
      <c r="T132" s="11">
        <v>120</v>
      </c>
      <c r="U132" s="3">
        <f>(R132+(((T132-32)/454)/S132))</f>
        <v>3.9708627521976143</v>
      </c>
      <c r="V132" s="11"/>
      <c r="W132" s="9"/>
      <c r="X132">
        <v>320</v>
      </c>
      <c r="AA132" s="3">
        <v>5.22</v>
      </c>
      <c r="AB132" s="9">
        <v>0.19397116644823068</v>
      </c>
    </row>
    <row r="133" spans="1:28" x14ac:dyDescent="0.25">
      <c r="A133" t="s">
        <v>46</v>
      </c>
      <c r="B133" t="s">
        <v>0</v>
      </c>
      <c r="C133">
        <v>63</v>
      </c>
      <c r="D133">
        <v>437</v>
      </c>
      <c r="E133" s="2">
        <v>33</v>
      </c>
      <c r="F133" t="s">
        <v>23</v>
      </c>
      <c r="G133">
        <v>731</v>
      </c>
      <c r="H133">
        <v>220</v>
      </c>
      <c r="I133" s="3">
        <v>13.86</v>
      </c>
      <c r="J133" s="9">
        <v>0.26895565092989987</v>
      </c>
      <c r="K133" s="11"/>
      <c r="M133" s="9"/>
      <c r="N133" t="s">
        <v>23</v>
      </c>
      <c r="O133">
        <v>437</v>
      </c>
      <c r="P133">
        <v>638</v>
      </c>
      <c r="Q133">
        <v>260</v>
      </c>
      <c r="R133" s="3">
        <v>3.96</v>
      </c>
      <c r="S133" s="9">
        <v>0.37623762376237624</v>
      </c>
      <c r="T133" s="11"/>
      <c r="U133" s="9"/>
      <c r="V133" s="11"/>
      <c r="W133" s="9"/>
      <c r="X133">
        <v>437</v>
      </c>
      <c r="Y133">
        <v>800</v>
      </c>
      <c r="Z133">
        <v>205</v>
      </c>
      <c r="AA133" s="3">
        <v>5.14</v>
      </c>
      <c r="AB133" s="9">
        <v>0.22526041666666666</v>
      </c>
    </row>
    <row r="134" spans="1:28" x14ac:dyDescent="0.25">
      <c r="A134" t="s">
        <v>46</v>
      </c>
      <c r="B134" t="s">
        <v>0</v>
      </c>
      <c r="C134">
        <v>63</v>
      </c>
      <c r="D134">
        <v>146</v>
      </c>
      <c r="E134" s="2">
        <v>34</v>
      </c>
      <c r="F134" t="s">
        <v>34</v>
      </c>
      <c r="I134" s="3">
        <v>17.02</v>
      </c>
      <c r="J134" s="9">
        <v>0.25407166123778502</v>
      </c>
      <c r="K134" s="11"/>
      <c r="M134" s="9"/>
      <c r="N134" t="s">
        <v>34</v>
      </c>
      <c r="O134">
        <v>146</v>
      </c>
      <c r="R134" s="3">
        <v>4.0199999999999996</v>
      </c>
      <c r="S134" s="9">
        <v>0.37931034482758619</v>
      </c>
      <c r="T134" s="11"/>
      <c r="U134" s="9"/>
      <c r="V134" s="11"/>
      <c r="W134" s="9"/>
      <c r="X134">
        <v>146</v>
      </c>
      <c r="AA134" s="3">
        <v>4.4800000000000004</v>
      </c>
      <c r="AB134" s="9">
        <v>0.23112480739599384</v>
      </c>
    </row>
    <row r="135" spans="1:28" x14ac:dyDescent="0.25">
      <c r="A135" t="s">
        <v>46</v>
      </c>
      <c r="B135" t="s">
        <v>0</v>
      </c>
      <c r="C135">
        <v>63</v>
      </c>
      <c r="D135">
        <v>243</v>
      </c>
      <c r="E135" s="2">
        <v>34</v>
      </c>
      <c r="F135" t="s">
        <v>34</v>
      </c>
      <c r="I135" s="3">
        <v>13.98</v>
      </c>
      <c r="J135" s="9">
        <v>0.25356750823271129</v>
      </c>
      <c r="K135" s="11">
        <v>89</v>
      </c>
      <c r="L135" s="3">
        <f>(I135+(((K135-32)/454)/J135))</f>
        <v>14.47513702156874</v>
      </c>
      <c r="M135" s="9"/>
      <c r="N135" t="s">
        <v>34</v>
      </c>
      <c r="O135">
        <v>243</v>
      </c>
      <c r="R135" s="3">
        <v>4.6399999999999997</v>
      </c>
      <c r="S135" s="9">
        <v>0.359039190897598</v>
      </c>
      <c r="T135" s="11">
        <v>183</v>
      </c>
      <c r="U135" s="3">
        <f>(R135+(((T135-32)/454)/S135))</f>
        <v>5.5663588136750013</v>
      </c>
      <c r="V135" s="11"/>
      <c r="W135" s="9"/>
      <c r="X135">
        <v>243</v>
      </c>
      <c r="AA135" s="3">
        <v>6.74</v>
      </c>
      <c r="AB135" s="9">
        <v>0.23172242874845106</v>
      </c>
    </row>
    <row r="136" spans="1:28" x14ac:dyDescent="0.25">
      <c r="A136" t="s">
        <v>46</v>
      </c>
      <c r="B136" t="s">
        <v>0</v>
      </c>
      <c r="C136">
        <v>63</v>
      </c>
      <c r="D136">
        <v>332</v>
      </c>
      <c r="E136" s="2">
        <v>34</v>
      </c>
      <c r="F136" t="s">
        <v>34</v>
      </c>
      <c r="I136" s="3">
        <v>15.22</v>
      </c>
      <c r="J136" s="9">
        <v>0.22252010723860591</v>
      </c>
      <c r="K136" s="11">
        <v>80</v>
      </c>
      <c r="L136" s="3">
        <f>(I136+(((K136-32)/454)/J136))</f>
        <v>15.695134016241177</v>
      </c>
      <c r="M136" s="9"/>
      <c r="N136" t="s">
        <v>34</v>
      </c>
      <c r="O136">
        <v>332</v>
      </c>
      <c r="R136" s="3">
        <v>3.94</v>
      </c>
      <c r="S136" s="9">
        <v>0.36317567567567566</v>
      </c>
      <c r="T136" s="11">
        <v>165</v>
      </c>
      <c r="U136" s="3">
        <f>(R136+(((T136-32)/454)/S136))</f>
        <v>4.7466386640713045</v>
      </c>
      <c r="V136" s="11"/>
      <c r="W136" s="9"/>
      <c r="X136">
        <v>332</v>
      </c>
      <c r="AA136" s="3">
        <v>4.62</v>
      </c>
      <c r="AB136" s="9">
        <v>0.20729684908789386</v>
      </c>
    </row>
    <row r="137" spans="1:28" x14ac:dyDescent="0.25">
      <c r="A137" t="s">
        <v>46</v>
      </c>
      <c r="B137" t="s">
        <v>0</v>
      </c>
      <c r="C137">
        <v>63</v>
      </c>
      <c r="D137">
        <v>421</v>
      </c>
      <c r="E137" s="2">
        <v>34</v>
      </c>
      <c r="F137" t="s">
        <v>34</v>
      </c>
      <c r="G137">
        <v>754</v>
      </c>
      <c r="H137">
        <v>221</v>
      </c>
      <c r="I137" s="3">
        <v>12.08</v>
      </c>
      <c r="J137" s="9">
        <v>0.26177285318559557</v>
      </c>
      <c r="K137" s="11"/>
      <c r="M137" s="9"/>
      <c r="N137" t="s">
        <v>34</v>
      </c>
      <c r="O137">
        <v>421</v>
      </c>
      <c r="P137">
        <v>590</v>
      </c>
      <c r="Q137">
        <v>246</v>
      </c>
      <c r="R137" s="3">
        <v>3.2</v>
      </c>
      <c r="S137" s="9">
        <v>0.38351254480286739</v>
      </c>
      <c r="T137" s="11"/>
      <c r="U137" s="9"/>
      <c r="V137" s="11"/>
      <c r="W137" s="9"/>
      <c r="X137">
        <v>421</v>
      </c>
      <c r="Y137">
        <v>926</v>
      </c>
      <c r="Z137">
        <v>224</v>
      </c>
      <c r="AA137" s="3">
        <v>4.84</v>
      </c>
      <c r="AB137" s="9">
        <v>0.21476510067114093</v>
      </c>
    </row>
    <row r="138" spans="1:28" x14ac:dyDescent="0.25">
      <c r="A138" t="s">
        <v>46</v>
      </c>
      <c r="B138" t="s">
        <v>0</v>
      </c>
      <c r="C138">
        <v>63</v>
      </c>
      <c r="D138">
        <v>136</v>
      </c>
      <c r="E138" s="2">
        <v>35</v>
      </c>
      <c r="F138" t="s">
        <v>26</v>
      </c>
      <c r="I138" s="3">
        <v>14.2</v>
      </c>
      <c r="J138" s="9">
        <v>0.26200417536534448</v>
      </c>
      <c r="K138" s="11"/>
      <c r="M138" s="9"/>
      <c r="N138" t="s">
        <v>26</v>
      </c>
      <c r="O138">
        <v>136</v>
      </c>
      <c r="R138" s="3">
        <v>3.4</v>
      </c>
      <c r="S138" s="9">
        <v>0.36671177266576455</v>
      </c>
      <c r="T138" s="11"/>
      <c r="U138" s="9"/>
      <c r="V138" s="11"/>
      <c r="W138" s="9"/>
      <c r="X138">
        <v>136</v>
      </c>
      <c r="AA138" s="3">
        <v>4.62</v>
      </c>
      <c r="AB138" s="9">
        <v>0.2286158631415241</v>
      </c>
    </row>
    <row r="139" spans="1:28" x14ac:dyDescent="0.25">
      <c r="A139" t="s">
        <v>46</v>
      </c>
      <c r="B139" t="s">
        <v>0</v>
      </c>
      <c r="C139">
        <v>63</v>
      </c>
      <c r="D139">
        <v>231</v>
      </c>
      <c r="E139" s="2">
        <v>35</v>
      </c>
      <c r="F139" t="s">
        <v>26</v>
      </c>
      <c r="I139" s="3">
        <v>13.72</v>
      </c>
      <c r="J139" s="9">
        <v>0.23230088495575221</v>
      </c>
      <c r="K139" s="11">
        <v>114</v>
      </c>
      <c r="L139" s="3">
        <f>(I139+(((K139-32)/454)/J139))</f>
        <v>14.497512062093561</v>
      </c>
      <c r="M139" s="9"/>
      <c r="N139" t="s">
        <v>26</v>
      </c>
      <c r="O139">
        <v>231</v>
      </c>
      <c r="R139" s="3">
        <v>5.72</v>
      </c>
      <c r="S139" s="9">
        <v>0.35277382645803701</v>
      </c>
      <c r="T139" s="11">
        <v>124</v>
      </c>
      <c r="U139" s="3">
        <f>(R139+(((T139-32)/454)/S139))</f>
        <v>6.294428023305386</v>
      </c>
      <c r="V139" s="11"/>
      <c r="W139" s="9"/>
      <c r="X139">
        <v>231</v>
      </c>
      <c r="AA139" s="3">
        <v>5.68</v>
      </c>
      <c r="AB139" s="9">
        <v>0.22458270106221548</v>
      </c>
    </row>
    <row r="140" spans="1:28" x14ac:dyDescent="0.25">
      <c r="A140" t="s">
        <v>46</v>
      </c>
      <c r="B140" t="s">
        <v>0</v>
      </c>
      <c r="C140">
        <v>63</v>
      </c>
      <c r="D140">
        <v>342</v>
      </c>
      <c r="E140" s="2">
        <v>35</v>
      </c>
      <c r="F140" t="s">
        <v>26</v>
      </c>
      <c r="I140" s="3">
        <v>16.04</v>
      </c>
      <c r="J140" s="9">
        <v>0.23846153846153847</v>
      </c>
      <c r="K140" s="11">
        <v>91</v>
      </c>
      <c r="L140" s="3">
        <f>(I140+(((K140-32)/454)/J140))</f>
        <v>16.58497655250817</v>
      </c>
      <c r="M140" s="9"/>
      <c r="N140" t="s">
        <v>26</v>
      </c>
      <c r="O140">
        <v>342</v>
      </c>
      <c r="R140" s="3">
        <v>3.5</v>
      </c>
      <c r="S140" s="9">
        <v>0.38524590163934425</v>
      </c>
      <c r="T140" s="11">
        <v>159</v>
      </c>
      <c r="U140" s="3">
        <f>(R140+(((T140-32)/454)/S140))</f>
        <v>4.2261224107226543</v>
      </c>
      <c r="V140" s="11"/>
      <c r="W140" s="9"/>
      <c r="X140">
        <v>342</v>
      </c>
      <c r="AA140" s="3">
        <v>5.9</v>
      </c>
      <c r="AB140" s="9">
        <v>0.20803782505910165</v>
      </c>
    </row>
    <row r="141" spans="1:28" x14ac:dyDescent="0.25">
      <c r="A141" t="s">
        <v>46</v>
      </c>
      <c r="B141" t="s">
        <v>0</v>
      </c>
      <c r="C141">
        <v>63</v>
      </c>
      <c r="D141">
        <v>429</v>
      </c>
      <c r="E141" s="2">
        <v>35</v>
      </c>
      <c r="F141" t="s">
        <v>26</v>
      </c>
      <c r="G141">
        <v>866</v>
      </c>
      <c r="H141">
        <v>243</v>
      </c>
      <c r="I141" s="3">
        <v>12.66</v>
      </c>
      <c r="J141" s="9">
        <v>0.25299760191846521</v>
      </c>
      <c r="K141" s="11"/>
      <c r="M141" s="9"/>
      <c r="N141" t="s">
        <v>26</v>
      </c>
      <c r="O141">
        <v>429</v>
      </c>
      <c r="P141">
        <v>705</v>
      </c>
      <c r="Q141">
        <v>253</v>
      </c>
      <c r="R141" s="12">
        <v>1.88</v>
      </c>
      <c r="S141" s="17">
        <v>0.32838038632986627</v>
      </c>
      <c r="T141" s="11"/>
      <c r="U141" s="9"/>
      <c r="V141" s="11"/>
      <c r="W141" s="9"/>
      <c r="X141">
        <v>429</v>
      </c>
      <c r="Y141">
        <v>612</v>
      </c>
      <c r="Z141">
        <v>168</v>
      </c>
      <c r="AA141" s="3">
        <v>3.9</v>
      </c>
      <c r="AB141" s="9">
        <v>0.23448275862068965</v>
      </c>
    </row>
    <row r="142" spans="1:28" x14ac:dyDescent="0.25">
      <c r="A142" t="s">
        <v>46</v>
      </c>
      <c r="B142" t="s">
        <v>0</v>
      </c>
      <c r="C142">
        <v>63</v>
      </c>
      <c r="D142">
        <v>137</v>
      </c>
      <c r="E142" s="2">
        <v>36</v>
      </c>
      <c r="F142" t="s">
        <v>27</v>
      </c>
      <c r="G142">
        <v>818</v>
      </c>
      <c r="H142">
        <v>249</v>
      </c>
      <c r="I142" s="3">
        <v>14.9</v>
      </c>
      <c r="J142" s="9">
        <v>0.27608142493638677</v>
      </c>
      <c r="K142" s="11"/>
      <c r="M142" s="9"/>
      <c r="N142" t="s">
        <v>27</v>
      </c>
      <c r="O142">
        <v>137</v>
      </c>
      <c r="P142">
        <v>807</v>
      </c>
      <c r="Q142">
        <v>320</v>
      </c>
      <c r="R142" s="3">
        <v>3.74</v>
      </c>
      <c r="S142" s="9">
        <v>0.37161290322580648</v>
      </c>
      <c r="T142" s="11"/>
      <c r="U142" s="9"/>
      <c r="V142" s="11"/>
      <c r="W142" s="9"/>
      <c r="X142">
        <v>137</v>
      </c>
      <c r="Y142">
        <v>751</v>
      </c>
      <c r="Z142">
        <v>197</v>
      </c>
      <c r="AA142" s="3">
        <v>4.5199999999999996</v>
      </c>
      <c r="AB142" s="9">
        <v>0.22948539638386647</v>
      </c>
    </row>
    <row r="143" spans="1:28" x14ac:dyDescent="0.25">
      <c r="A143" t="s">
        <v>46</v>
      </c>
      <c r="B143" t="s">
        <v>0</v>
      </c>
      <c r="C143">
        <v>63</v>
      </c>
      <c r="D143">
        <v>228</v>
      </c>
      <c r="E143" s="2">
        <v>36</v>
      </c>
      <c r="F143" t="s">
        <v>27</v>
      </c>
      <c r="I143" s="3">
        <v>12.84</v>
      </c>
      <c r="J143" s="9">
        <v>0.23863636363636365</v>
      </c>
      <c r="K143" s="11">
        <v>87</v>
      </c>
      <c r="L143" s="3">
        <f>(I143+(((K143-32)/454)/J143))</f>
        <v>13.347656807216278</v>
      </c>
      <c r="M143" s="9"/>
      <c r="N143" t="s">
        <v>27</v>
      </c>
      <c r="O143">
        <v>228</v>
      </c>
      <c r="R143" s="12">
        <v>2.36</v>
      </c>
      <c r="S143" s="17">
        <v>0.36224489795918369</v>
      </c>
      <c r="T143" s="18">
        <v>193</v>
      </c>
      <c r="U143" s="12">
        <f>(R143+(((T143-32)/454)/S143))</f>
        <v>3.3389663088664143</v>
      </c>
      <c r="V143" s="11"/>
      <c r="W143" s="9"/>
      <c r="X143">
        <v>228</v>
      </c>
      <c r="AA143" s="3">
        <v>5.12</v>
      </c>
      <c r="AB143" s="9">
        <v>0.19170984455958548</v>
      </c>
    </row>
    <row r="144" spans="1:28" x14ac:dyDescent="0.25">
      <c r="A144" t="s">
        <v>46</v>
      </c>
      <c r="B144" t="s">
        <v>0</v>
      </c>
      <c r="C144">
        <v>63</v>
      </c>
      <c r="D144">
        <v>318</v>
      </c>
      <c r="E144" s="2">
        <v>36</v>
      </c>
      <c r="F144" t="s">
        <v>27</v>
      </c>
      <c r="I144" s="3">
        <v>15.7</v>
      </c>
      <c r="J144" s="9">
        <v>0.24938875305623473</v>
      </c>
      <c r="K144" s="11">
        <v>117</v>
      </c>
      <c r="L144" s="3">
        <f>(I144+(((K144-32)/454)/J144))</f>
        <v>16.4507342143906</v>
      </c>
      <c r="M144" s="9"/>
      <c r="N144" t="s">
        <v>27</v>
      </c>
      <c r="O144">
        <v>318</v>
      </c>
      <c r="R144" s="3">
        <v>2.98</v>
      </c>
      <c r="S144" s="9">
        <v>0.41165413533834588</v>
      </c>
      <c r="T144" s="11">
        <v>170</v>
      </c>
      <c r="U144" s="3">
        <f>(R144+(((T144-32)/454)/S144))</f>
        <v>3.7183984068553495</v>
      </c>
      <c r="V144" s="11"/>
      <c r="W144" s="9"/>
      <c r="X144">
        <v>318</v>
      </c>
      <c r="AA144" s="3">
        <v>4.84</v>
      </c>
      <c r="AB144" s="9">
        <v>0.19397116644823068</v>
      </c>
    </row>
    <row r="145" spans="1:28" x14ac:dyDescent="0.25">
      <c r="A145" t="s">
        <v>46</v>
      </c>
      <c r="B145" t="s">
        <v>0</v>
      </c>
      <c r="C145">
        <v>63</v>
      </c>
      <c r="D145">
        <v>424</v>
      </c>
      <c r="E145" s="2">
        <v>36</v>
      </c>
      <c r="F145" t="s">
        <v>27</v>
      </c>
      <c r="I145" s="3">
        <v>14.8</v>
      </c>
      <c r="J145" s="9">
        <v>0.26177285318559557</v>
      </c>
      <c r="K145" s="11"/>
      <c r="M145" s="9"/>
      <c r="N145" t="s">
        <v>27</v>
      </c>
      <c r="O145">
        <v>424</v>
      </c>
      <c r="R145" s="3">
        <v>3</v>
      </c>
      <c r="S145" s="9">
        <v>0.38351254480286739</v>
      </c>
      <c r="T145" s="11"/>
      <c r="U145" s="9"/>
      <c r="V145" s="11"/>
      <c r="W145" s="9"/>
      <c r="X145">
        <v>424</v>
      </c>
      <c r="AA145" s="3">
        <v>4.8</v>
      </c>
      <c r="AB145" s="9">
        <v>0.21476510067114093</v>
      </c>
    </row>
    <row r="146" spans="1:28" x14ac:dyDescent="0.25">
      <c r="I146" s="3"/>
      <c r="J146" s="9"/>
      <c r="K146" s="11"/>
      <c r="M146" s="9"/>
      <c r="R146" s="3"/>
      <c r="S146" s="9"/>
      <c r="T146" s="11"/>
      <c r="U146" s="9"/>
      <c r="V146" s="11"/>
      <c r="W146" s="9"/>
      <c r="AA146" s="3"/>
      <c r="AB146" s="9"/>
    </row>
    <row r="147" spans="1:28" x14ac:dyDescent="0.25">
      <c r="I147" s="3"/>
      <c r="J147" s="9"/>
      <c r="K147" s="11"/>
      <c r="M147" s="9"/>
      <c r="R147" s="3"/>
      <c r="S147" s="9"/>
      <c r="T147" s="11"/>
      <c r="U147" s="9"/>
      <c r="V147" s="11"/>
      <c r="W147" s="9"/>
      <c r="AA147" s="3"/>
      <c r="AB147" s="9"/>
    </row>
    <row r="148" spans="1:28" x14ac:dyDescent="0.25">
      <c r="I148" s="3"/>
      <c r="J148" s="9"/>
      <c r="K148" s="11"/>
      <c r="M148" s="9"/>
      <c r="R148" s="3"/>
      <c r="S148" s="9"/>
      <c r="T148" s="11"/>
      <c r="U148" s="9"/>
      <c r="V148" s="11"/>
      <c r="W148" s="9"/>
      <c r="AA148" s="3"/>
      <c r="AB148" s="9"/>
    </row>
    <row r="149" spans="1:28" x14ac:dyDescent="0.25">
      <c r="I149" s="3"/>
      <c r="J149" s="9"/>
      <c r="K149" s="11"/>
      <c r="M149" s="9"/>
      <c r="R149" s="3"/>
      <c r="S149" s="9"/>
      <c r="T149" s="11"/>
      <c r="U149" s="9"/>
      <c r="V149" s="11"/>
      <c r="W149" s="9"/>
      <c r="AA149" s="3"/>
      <c r="AB149" s="9"/>
    </row>
    <row r="150" spans="1:28" x14ac:dyDescent="0.25">
      <c r="I150" s="3"/>
      <c r="J150" s="9"/>
      <c r="K150" s="11"/>
      <c r="M150" s="9"/>
      <c r="R150" s="3"/>
      <c r="S150" s="9"/>
      <c r="T150" s="11"/>
      <c r="U150" s="9"/>
      <c r="V150" s="11"/>
      <c r="W150" s="9"/>
      <c r="AA150" s="3"/>
      <c r="AB150" s="9"/>
    </row>
    <row r="151" spans="1:28" x14ac:dyDescent="0.25">
      <c r="I151" s="3"/>
      <c r="J151" s="9"/>
      <c r="K151" s="11"/>
      <c r="M151" s="9"/>
      <c r="R151" s="3"/>
      <c r="S151" s="9"/>
      <c r="T151" s="11"/>
      <c r="U151" s="9"/>
      <c r="V151" s="11"/>
      <c r="W151" s="9"/>
      <c r="AA151" s="3"/>
      <c r="AB151" s="9"/>
    </row>
    <row r="152" spans="1:28" x14ac:dyDescent="0.25">
      <c r="I152" s="3"/>
      <c r="J152" s="9"/>
      <c r="K152" s="11"/>
      <c r="M152" s="9"/>
      <c r="R152" s="3"/>
      <c r="S152" s="9"/>
      <c r="T152" s="11"/>
      <c r="U152" s="9"/>
      <c r="V152" s="11"/>
      <c r="W152" s="9"/>
      <c r="AA152" s="3"/>
      <c r="AB152" s="9"/>
    </row>
    <row r="153" spans="1:28" x14ac:dyDescent="0.25">
      <c r="I153" s="3"/>
      <c r="J153" s="9"/>
      <c r="K153" s="11"/>
      <c r="M153" s="9"/>
      <c r="R153" s="3"/>
      <c r="S153" s="9"/>
      <c r="T153" s="11"/>
      <c r="U153" s="9"/>
      <c r="V153" s="11"/>
      <c r="W153" s="9"/>
      <c r="AA153" s="3"/>
      <c r="AB153" s="9"/>
    </row>
    <row r="154" spans="1:28" x14ac:dyDescent="0.25">
      <c r="I154" s="3"/>
      <c r="J154" s="9"/>
      <c r="K154" s="11"/>
      <c r="M154" s="9"/>
      <c r="R154" s="3"/>
      <c r="S154" s="9"/>
      <c r="T154" s="11"/>
      <c r="U154" s="9"/>
      <c r="V154" s="11"/>
      <c r="W154" s="9"/>
      <c r="AA154" s="3"/>
      <c r="AB154" s="9"/>
    </row>
    <row r="155" spans="1:28" x14ac:dyDescent="0.25">
      <c r="I155" s="3"/>
      <c r="J155" s="9"/>
      <c r="K155" s="11"/>
      <c r="M155" s="9"/>
      <c r="R155" s="3"/>
      <c r="S155" s="9"/>
      <c r="T155" s="11"/>
      <c r="U155" s="9"/>
      <c r="V155" s="11"/>
      <c r="W155" s="9"/>
      <c r="AA155" s="3"/>
      <c r="AB155" s="9"/>
    </row>
    <row r="156" spans="1:28" x14ac:dyDescent="0.25">
      <c r="I156" s="3"/>
      <c r="J156" s="9"/>
      <c r="K156" s="11"/>
      <c r="M156" s="9"/>
      <c r="R156" s="3"/>
      <c r="S156" s="9"/>
      <c r="T156" s="11"/>
      <c r="U156" s="9"/>
      <c r="V156" s="11"/>
      <c r="W156" s="9"/>
      <c r="AA156" s="3"/>
      <c r="AB156" s="9"/>
    </row>
    <row r="157" spans="1:28" x14ac:dyDescent="0.25">
      <c r="I157" s="3"/>
      <c r="J157" s="9"/>
      <c r="K157" s="11"/>
      <c r="M157" s="9"/>
      <c r="R157" s="3"/>
      <c r="S157" s="9"/>
      <c r="T157" s="11"/>
      <c r="U157" s="9"/>
      <c r="V157" s="11"/>
      <c r="W157" s="9"/>
      <c r="AA157" s="3"/>
      <c r="AB157" s="9"/>
    </row>
    <row r="158" spans="1:28" x14ac:dyDescent="0.25">
      <c r="I158" s="3"/>
      <c r="J158" s="9"/>
      <c r="K158" s="11"/>
      <c r="M158" s="9"/>
      <c r="R158" s="3"/>
      <c r="S158" s="9"/>
      <c r="T158" s="11"/>
      <c r="U158" s="9"/>
      <c r="V158" s="11"/>
      <c r="W158" s="9"/>
      <c r="AA158" s="3"/>
      <c r="AB158" s="9"/>
    </row>
    <row r="159" spans="1:28" x14ac:dyDescent="0.25">
      <c r="I159" s="3"/>
      <c r="J159" s="9"/>
      <c r="K159" s="11"/>
      <c r="M159" s="9"/>
      <c r="R159" s="3"/>
      <c r="S159" s="9"/>
      <c r="T159" s="11"/>
      <c r="U159" s="9"/>
      <c r="V159" s="11"/>
      <c r="W159" s="9"/>
      <c r="AA159" s="3"/>
      <c r="AB159" s="9"/>
    </row>
    <row r="160" spans="1:28" x14ac:dyDescent="0.25">
      <c r="I160" s="3"/>
      <c r="J160" s="9"/>
      <c r="K160" s="11"/>
      <c r="M160" s="9"/>
      <c r="R160" s="3"/>
      <c r="S160" s="9"/>
      <c r="T160" s="11"/>
      <c r="U160" s="9"/>
      <c r="V160" s="11"/>
      <c r="W160" s="9"/>
      <c r="AA160" s="3"/>
      <c r="AB160" s="9"/>
    </row>
    <row r="161" spans="9:28" x14ac:dyDescent="0.25">
      <c r="I161" s="3"/>
      <c r="J161" s="9"/>
      <c r="K161" s="11"/>
      <c r="M161" s="9"/>
      <c r="R161" s="3"/>
      <c r="S161" s="9"/>
      <c r="T161" s="11"/>
      <c r="U161" s="9"/>
      <c r="V161" s="11"/>
      <c r="W161" s="9"/>
      <c r="AA161" s="3"/>
      <c r="AB161" s="9"/>
    </row>
    <row r="162" spans="9:28" x14ac:dyDescent="0.25">
      <c r="I162" s="3"/>
      <c r="J162" s="9"/>
      <c r="K162" s="11"/>
      <c r="M162" s="9"/>
      <c r="R162" s="3"/>
      <c r="S162" s="9"/>
      <c r="T162" s="11"/>
      <c r="U162" s="9"/>
      <c r="V162" s="11"/>
      <c r="W162" s="9"/>
      <c r="AA162" s="3"/>
      <c r="AB162" s="9"/>
    </row>
    <row r="163" spans="9:28" x14ac:dyDescent="0.25">
      <c r="I163" s="3"/>
      <c r="J163" s="9"/>
      <c r="K163" s="11"/>
      <c r="M163" s="9"/>
      <c r="R163" s="3"/>
      <c r="S163" s="9"/>
      <c r="T163" s="11"/>
      <c r="U163" s="9"/>
      <c r="V163" s="11"/>
      <c r="W163" s="9"/>
      <c r="AA163" s="3"/>
      <c r="AB163" s="9"/>
    </row>
    <row r="164" spans="9:28" x14ac:dyDescent="0.25">
      <c r="I164" s="3"/>
      <c r="J164" s="9"/>
      <c r="K164" s="11"/>
      <c r="M164" s="9"/>
      <c r="R164" s="3"/>
      <c r="S164" s="9"/>
      <c r="T164" s="11"/>
      <c r="U164" s="9"/>
      <c r="V164" s="11"/>
      <c r="W164" s="9"/>
      <c r="AA164" s="3"/>
      <c r="AB164" s="9"/>
    </row>
    <row r="165" spans="9:28" x14ac:dyDescent="0.25">
      <c r="I165" s="3"/>
      <c r="J165" s="9"/>
      <c r="K165" s="11"/>
      <c r="M165" s="9"/>
      <c r="R165" s="3"/>
      <c r="S165" s="9"/>
      <c r="T165" s="11"/>
      <c r="U165" s="9"/>
      <c r="V165" s="11"/>
      <c r="W165" s="9"/>
      <c r="AA165" s="3"/>
      <c r="AB165" s="9"/>
    </row>
    <row r="166" spans="9:28" x14ac:dyDescent="0.25">
      <c r="I166" s="3"/>
      <c r="J166" s="9"/>
      <c r="K166" s="11"/>
      <c r="M166" s="9"/>
      <c r="R166" s="3"/>
      <c r="S166" s="9"/>
      <c r="T166" s="11"/>
      <c r="U166" s="9"/>
      <c r="V166" s="11"/>
      <c r="W166" s="9"/>
      <c r="AA166" s="3"/>
      <c r="AB166" s="9"/>
    </row>
    <row r="167" spans="9:28" x14ac:dyDescent="0.25">
      <c r="I167" s="3"/>
      <c r="J167" s="9"/>
      <c r="K167" s="11"/>
      <c r="M167" s="9"/>
      <c r="R167" s="3"/>
      <c r="S167" s="9"/>
      <c r="T167" s="11"/>
      <c r="U167" s="9"/>
      <c r="V167" s="11"/>
      <c r="W167" s="9"/>
      <c r="AA167" s="3"/>
      <c r="AB167" s="9"/>
    </row>
    <row r="168" spans="9:28" x14ac:dyDescent="0.25">
      <c r="I168" s="3"/>
      <c r="J168" s="9"/>
      <c r="K168" s="11"/>
      <c r="M168" s="9"/>
      <c r="R168" s="3"/>
      <c r="S168" s="9"/>
      <c r="T168" s="11"/>
      <c r="U168" s="9"/>
      <c r="V168" s="11"/>
      <c r="W168" s="9"/>
      <c r="AA168" s="3"/>
      <c r="AB168" s="9"/>
    </row>
    <row r="169" spans="9:28" x14ac:dyDescent="0.25">
      <c r="I169" s="3"/>
      <c r="J169" s="9"/>
      <c r="K169" s="11"/>
      <c r="M169" s="9"/>
      <c r="R169" s="3"/>
      <c r="S169" s="9"/>
      <c r="T169" s="11"/>
      <c r="U169" s="9"/>
      <c r="V169" s="11"/>
      <c r="W169" s="9"/>
      <c r="AA169" s="3"/>
      <c r="AB169" s="9"/>
    </row>
    <row r="170" spans="9:28" x14ac:dyDescent="0.25">
      <c r="I170" s="3"/>
      <c r="J170" s="9"/>
      <c r="K170" s="11"/>
      <c r="M170" s="9"/>
      <c r="R170" s="3"/>
      <c r="S170" s="9"/>
      <c r="T170" s="11"/>
      <c r="U170" s="9"/>
      <c r="V170" s="11"/>
      <c r="W170" s="9"/>
      <c r="AA170" s="3"/>
      <c r="AB170" s="9"/>
    </row>
    <row r="171" spans="9:28" x14ac:dyDescent="0.25">
      <c r="I171" s="3"/>
      <c r="J171" s="9"/>
      <c r="K171" s="11"/>
      <c r="M171" s="9"/>
      <c r="R171" s="3"/>
      <c r="S171" s="9"/>
      <c r="T171" s="11"/>
      <c r="U171" s="9"/>
      <c r="V171" s="11"/>
      <c r="W171" s="9"/>
      <c r="AA171" s="3"/>
      <c r="AB171" s="9"/>
    </row>
    <row r="172" spans="9:28" x14ac:dyDescent="0.25">
      <c r="I172" s="3"/>
      <c r="J172" s="9"/>
      <c r="K172" s="11"/>
      <c r="M172" s="9"/>
      <c r="R172" s="3"/>
      <c r="S172" s="9"/>
      <c r="T172" s="11"/>
      <c r="U172" s="9"/>
      <c r="V172" s="11"/>
      <c r="W172" s="9"/>
      <c r="AA172" s="3"/>
      <c r="AB172" s="9"/>
    </row>
    <row r="173" spans="9:28" x14ac:dyDescent="0.25">
      <c r="I173" s="3"/>
      <c r="J173" s="9"/>
      <c r="K173" s="11"/>
      <c r="M173" s="9"/>
      <c r="R173" s="3"/>
      <c r="S173" s="9"/>
      <c r="T173" s="11"/>
      <c r="U173" s="9"/>
      <c r="V173" s="11"/>
      <c r="W173" s="9"/>
      <c r="AA173" s="3"/>
      <c r="AB173" s="9"/>
    </row>
    <row r="174" spans="9:28" x14ac:dyDescent="0.25">
      <c r="I174" s="3"/>
      <c r="J174" s="9"/>
      <c r="K174" s="11"/>
      <c r="M174" s="9"/>
      <c r="R174" s="3"/>
      <c r="S174" s="9"/>
      <c r="T174" s="11"/>
      <c r="U174" s="9"/>
      <c r="V174" s="11"/>
      <c r="W174" s="9"/>
      <c r="AA174" s="3"/>
      <c r="AB174" s="9"/>
    </row>
    <row r="175" spans="9:28" x14ac:dyDescent="0.25">
      <c r="I175" s="3"/>
      <c r="J175" s="9"/>
      <c r="K175" s="11"/>
      <c r="M175" s="9"/>
      <c r="R175" s="3"/>
      <c r="S175" s="9"/>
      <c r="T175" s="11"/>
      <c r="U175" s="9"/>
      <c r="V175" s="11"/>
      <c r="W175" s="9"/>
      <c r="AA175" s="3"/>
      <c r="AB175" s="9"/>
    </row>
    <row r="176" spans="9:28" x14ac:dyDescent="0.25">
      <c r="I176" s="3"/>
      <c r="J176" s="9"/>
      <c r="K176" s="11"/>
      <c r="M176" s="9"/>
      <c r="R176" s="3"/>
      <c r="S176" s="9"/>
      <c r="T176" s="11"/>
      <c r="U176" s="9"/>
      <c r="V176" s="11"/>
      <c r="W176" s="9"/>
      <c r="AA176" s="3"/>
      <c r="AB176" s="9"/>
    </row>
    <row r="177" spans="9:28" x14ac:dyDescent="0.25">
      <c r="I177" s="3"/>
      <c r="J177" s="9"/>
      <c r="K177" s="11"/>
      <c r="M177" s="9"/>
      <c r="R177" s="3"/>
      <c r="S177" s="9"/>
      <c r="T177" s="11"/>
      <c r="U177" s="9"/>
      <c r="V177" s="11"/>
      <c r="W177" s="9"/>
      <c r="AA177" s="3"/>
      <c r="AB177" s="9"/>
    </row>
    <row r="178" spans="9:28" x14ac:dyDescent="0.25">
      <c r="I178" s="3"/>
      <c r="J178" s="9"/>
      <c r="K178" s="11"/>
      <c r="M178" s="9"/>
      <c r="R178" s="3"/>
      <c r="S178" s="9"/>
      <c r="T178" s="11"/>
      <c r="U178" s="9"/>
      <c r="V178" s="11"/>
      <c r="W178" s="9"/>
      <c r="AA178" s="3"/>
      <c r="AB178" s="9"/>
    </row>
    <row r="179" spans="9:28" x14ac:dyDescent="0.25">
      <c r="I179" s="3"/>
      <c r="J179" s="9"/>
      <c r="K179" s="11"/>
      <c r="M179" s="9"/>
      <c r="R179" s="3"/>
      <c r="S179" s="9"/>
      <c r="T179" s="11"/>
      <c r="U179" s="9"/>
      <c r="V179" s="11"/>
      <c r="W179" s="9"/>
      <c r="AA179" s="3"/>
      <c r="AB179" s="9"/>
    </row>
    <row r="180" spans="9:28" x14ac:dyDescent="0.25">
      <c r="I180" s="3"/>
      <c r="J180" s="9"/>
      <c r="K180" s="11"/>
      <c r="M180" s="9"/>
      <c r="R180" s="3"/>
      <c r="S180" s="9"/>
      <c r="T180" s="11"/>
      <c r="U180" s="9"/>
      <c r="V180" s="11"/>
      <c r="W180" s="9"/>
      <c r="AA180" s="3"/>
      <c r="AB180" s="9"/>
    </row>
    <row r="181" spans="9:28" x14ac:dyDescent="0.25">
      <c r="I181" s="3"/>
      <c r="J181" s="9"/>
      <c r="K181" s="11"/>
      <c r="M181" s="9"/>
      <c r="R181" s="3"/>
      <c r="S181" s="9"/>
      <c r="T181" s="11"/>
      <c r="U181" s="9"/>
      <c r="V181" s="11"/>
      <c r="W181" s="9"/>
      <c r="AA181" s="3"/>
      <c r="AB181" s="9"/>
    </row>
    <row r="182" spans="9:28" x14ac:dyDescent="0.25">
      <c r="I182" s="3"/>
      <c r="J182" s="9"/>
      <c r="K182" s="11"/>
      <c r="M182" s="9"/>
      <c r="R182" s="3"/>
      <c r="S182" s="9"/>
      <c r="T182" s="11"/>
      <c r="U182" s="9"/>
      <c r="V182" s="11"/>
      <c r="W182" s="9"/>
      <c r="AA182" s="3"/>
      <c r="AB182" s="9"/>
    </row>
    <row r="183" spans="9:28" x14ac:dyDescent="0.25">
      <c r="I183" s="3"/>
      <c r="J183" s="9"/>
      <c r="K183" s="11"/>
      <c r="M183" s="9"/>
      <c r="R183" s="3"/>
      <c r="S183" s="9"/>
      <c r="T183" s="11"/>
      <c r="U183" s="9"/>
      <c r="V183" s="11"/>
      <c r="W183" s="9"/>
      <c r="AA183" s="3"/>
      <c r="AB183" s="9"/>
    </row>
    <row r="184" spans="9:28" x14ac:dyDescent="0.25">
      <c r="I184" s="3"/>
      <c r="J184" s="9"/>
      <c r="K184" s="11"/>
      <c r="M184" s="9"/>
      <c r="R184" s="3"/>
      <c r="S184" s="9"/>
      <c r="T184" s="11"/>
      <c r="U184" s="9"/>
      <c r="V184" s="11"/>
      <c r="W184" s="9"/>
      <c r="AA184" s="3"/>
      <c r="AB184" s="9"/>
    </row>
    <row r="185" spans="9:28" x14ac:dyDescent="0.25">
      <c r="I185" s="3"/>
      <c r="J185" s="9"/>
      <c r="K185" s="11"/>
      <c r="M185" s="9"/>
      <c r="R185" s="3"/>
      <c r="S185" s="9"/>
      <c r="T185" s="11"/>
      <c r="U185" s="9"/>
      <c r="V185" s="11"/>
      <c r="W185" s="9"/>
      <c r="AA185" s="3"/>
      <c r="AB185" s="9"/>
    </row>
    <row r="186" spans="9:28" x14ac:dyDescent="0.25">
      <c r="I186" s="3"/>
      <c r="J186" s="9"/>
      <c r="K186" s="11"/>
      <c r="M186" s="9"/>
      <c r="R186" s="3"/>
      <c r="S186" s="9"/>
      <c r="T186" s="11"/>
      <c r="U186" s="9"/>
      <c r="V186" s="11"/>
      <c r="W186" s="9"/>
      <c r="AA186" s="3"/>
      <c r="AB186" s="9"/>
    </row>
    <row r="187" spans="9:28" x14ac:dyDescent="0.25">
      <c r="I187" s="3"/>
      <c r="J187" s="9"/>
      <c r="K187" s="11"/>
      <c r="M187" s="9"/>
      <c r="R187" s="3"/>
      <c r="S187" s="9"/>
      <c r="T187" s="11"/>
      <c r="U187" s="9"/>
      <c r="V187" s="11"/>
      <c r="W187" s="9"/>
      <c r="AA187" s="3"/>
      <c r="AB187" s="9"/>
    </row>
    <row r="188" spans="9:28" x14ac:dyDescent="0.25">
      <c r="I188" s="3"/>
      <c r="J188" s="9"/>
      <c r="K188" s="11"/>
      <c r="M188" s="9"/>
      <c r="R188" s="3"/>
      <c r="S188" s="9"/>
      <c r="T188" s="11"/>
      <c r="U188" s="9"/>
      <c r="V188" s="11"/>
      <c r="W188" s="9"/>
      <c r="AA188" s="3"/>
      <c r="AB188" s="9"/>
    </row>
    <row r="189" spans="9:28" x14ac:dyDescent="0.25">
      <c r="I189" s="3"/>
      <c r="J189" s="9"/>
      <c r="K189" s="11"/>
      <c r="M189" s="9"/>
      <c r="R189" s="3"/>
      <c r="S189" s="9"/>
      <c r="T189" s="11"/>
      <c r="U189" s="9"/>
      <c r="V189" s="11"/>
      <c r="W189" s="9"/>
      <c r="AA189" s="3"/>
      <c r="AB189" s="9"/>
    </row>
    <row r="190" spans="9:28" x14ac:dyDescent="0.25">
      <c r="I190" s="3"/>
      <c r="J190" s="9"/>
      <c r="K190" s="11"/>
      <c r="M190" s="9"/>
      <c r="R190" s="3"/>
      <c r="S190" s="9"/>
      <c r="T190" s="11"/>
      <c r="U190" s="9"/>
      <c r="V190" s="11"/>
      <c r="W190" s="9"/>
      <c r="AA190" s="3"/>
      <c r="AB190" s="9"/>
    </row>
    <row r="191" spans="9:28" x14ac:dyDescent="0.25">
      <c r="I191" s="3"/>
      <c r="J191" s="9"/>
      <c r="K191" s="11"/>
      <c r="M191" s="9"/>
      <c r="R191" s="3"/>
      <c r="S191" s="9"/>
      <c r="T191" s="11"/>
      <c r="U191" s="9"/>
      <c r="V191" s="11"/>
      <c r="W191" s="9"/>
      <c r="AA191" s="3"/>
      <c r="AB191" s="9"/>
    </row>
    <row r="192" spans="9:28" x14ac:dyDescent="0.25">
      <c r="I192" s="3"/>
      <c r="J192" s="9"/>
      <c r="K192" s="11"/>
      <c r="M192" s="9"/>
      <c r="R192" s="3"/>
      <c r="S192" s="9"/>
      <c r="T192" s="11"/>
      <c r="U192" s="9"/>
      <c r="V192" s="11"/>
      <c r="W192" s="9"/>
      <c r="AA192" s="3"/>
      <c r="AB192" s="9"/>
    </row>
    <row r="193" spans="9:28" x14ac:dyDescent="0.25">
      <c r="I193" s="3"/>
      <c r="J193" s="9"/>
      <c r="K193" s="11"/>
      <c r="M193" s="9"/>
      <c r="R193" s="3"/>
      <c r="S193" s="9"/>
      <c r="T193" s="11"/>
      <c r="U193" s="9"/>
      <c r="V193" s="11"/>
      <c r="W193" s="9"/>
      <c r="AA193" s="3"/>
      <c r="AB193" s="9"/>
    </row>
    <row r="194" spans="9:28" x14ac:dyDescent="0.25">
      <c r="I194" s="3"/>
      <c r="J194" s="9"/>
      <c r="K194" s="11"/>
      <c r="M194" s="9"/>
      <c r="R194" s="3"/>
      <c r="S194" s="9"/>
      <c r="T194" s="11"/>
      <c r="U194" s="9"/>
      <c r="V194" s="11"/>
      <c r="W194" s="9"/>
      <c r="AA194" s="3"/>
      <c r="AB194" s="9"/>
    </row>
    <row r="195" spans="9:28" x14ac:dyDescent="0.25">
      <c r="I195" s="3"/>
      <c r="J195" s="9"/>
      <c r="K195" s="11"/>
      <c r="M195" s="9"/>
      <c r="R195" s="3"/>
      <c r="S195" s="9"/>
      <c r="T195" s="11"/>
      <c r="U195" s="9"/>
      <c r="V195" s="11"/>
      <c r="W195" s="9"/>
      <c r="AA195" s="3"/>
      <c r="AB195" s="9"/>
    </row>
    <row r="196" spans="9:28" x14ac:dyDescent="0.25">
      <c r="I196" s="3"/>
      <c r="J196" s="9"/>
      <c r="K196" s="11"/>
      <c r="M196" s="9"/>
      <c r="R196" s="3"/>
      <c r="S196" s="9"/>
      <c r="T196" s="11"/>
      <c r="U196" s="9"/>
      <c r="V196" s="11"/>
      <c r="W196" s="9"/>
      <c r="AA196" s="3"/>
      <c r="AB196" s="9"/>
    </row>
    <row r="197" spans="9:28" x14ac:dyDescent="0.25">
      <c r="I197" s="3"/>
      <c r="J197" s="9"/>
      <c r="K197" s="11"/>
      <c r="M197" s="9"/>
      <c r="R197" s="3"/>
      <c r="S197" s="9"/>
      <c r="T197" s="11"/>
      <c r="U197" s="9"/>
      <c r="V197" s="11"/>
      <c r="W197" s="9"/>
      <c r="AA197" s="3"/>
      <c r="AB197" s="9"/>
    </row>
    <row r="198" spans="9:28" x14ac:dyDescent="0.25">
      <c r="I198" s="3"/>
      <c r="J198" s="9"/>
      <c r="K198" s="11"/>
      <c r="M198" s="9"/>
      <c r="R198" s="3"/>
      <c r="S198" s="9"/>
      <c r="T198" s="11"/>
      <c r="U198" s="9"/>
      <c r="V198" s="11"/>
      <c r="W198" s="9"/>
      <c r="AA198" s="3"/>
      <c r="AB198" s="9"/>
    </row>
    <row r="199" spans="9:28" x14ac:dyDescent="0.25">
      <c r="I199" s="3"/>
      <c r="J199" s="9"/>
      <c r="K199" s="11"/>
      <c r="M199" s="9"/>
      <c r="R199" s="3"/>
      <c r="S199" s="9"/>
      <c r="T199" s="11"/>
      <c r="U199" s="9"/>
      <c r="V199" s="11"/>
      <c r="W199" s="9"/>
      <c r="AA199" s="3"/>
      <c r="AB199" s="9"/>
    </row>
    <row r="200" spans="9:28" x14ac:dyDescent="0.25">
      <c r="I200" s="3"/>
      <c r="J200" s="9"/>
      <c r="K200" s="11"/>
      <c r="M200" s="9"/>
      <c r="R200" s="3"/>
      <c r="S200" s="9"/>
      <c r="T200" s="11"/>
      <c r="U200" s="9"/>
      <c r="V200" s="11"/>
      <c r="W200" s="9"/>
      <c r="AA200" s="3"/>
      <c r="AB200" s="9"/>
    </row>
    <row r="201" spans="9:28" x14ac:dyDescent="0.25">
      <c r="I201" s="3"/>
      <c r="J201" s="9"/>
      <c r="K201" s="11"/>
      <c r="M201" s="9"/>
      <c r="R201" s="3"/>
      <c r="S201" s="9"/>
      <c r="T201" s="11"/>
      <c r="U201" s="9"/>
      <c r="V201" s="11"/>
      <c r="W201" s="9"/>
      <c r="AA201" s="3"/>
      <c r="AB201" s="9"/>
    </row>
    <row r="202" spans="9:28" x14ac:dyDescent="0.25">
      <c r="I202" s="3"/>
      <c r="J202" s="9"/>
      <c r="K202" s="11"/>
      <c r="M202" s="9"/>
      <c r="R202" s="3"/>
      <c r="S202" s="9"/>
      <c r="T202" s="11"/>
      <c r="U202" s="9"/>
      <c r="V202" s="11"/>
      <c r="W202" s="9"/>
      <c r="AA202" s="3"/>
      <c r="AB202" s="9"/>
    </row>
    <row r="203" spans="9:28" x14ac:dyDescent="0.25">
      <c r="I203" s="3"/>
      <c r="J203" s="9"/>
      <c r="K203" s="11"/>
      <c r="M203" s="9"/>
      <c r="R203" s="3"/>
      <c r="S203" s="9"/>
      <c r="T203" s="11"/>
      <c r="U203" s="9"/>
      <c r="V203" s="11"/>
      <c r="W203" s="9"/>
      <c r="AA203" s="3"/>
      <c r="AB203" s="9"/>
    </row>
    <row r="204" spans="9:28" x14ac:dyDescent="0.25">
      <c r="I204" s="3"/>
      <c r="J204" s="9"/>
      <c r="K204" s="11"/>
      <c r="M204" s="9"/>
      <c r="R204" s="3"/>
      <c r="S204" s="9"/>
      <c r="T204" s="11"/>
      <c r="U204" s="9"/>
      <c r="V204" s="11"/>
      <c r="W204" s="9"/>
      <c r="AA204" s="3"/>
      <c r="AB204" s="9"/>
    </row>
    <row r="205" spans="9:28" x14ac:dyDescent="0.25">
      <c r="I205" s="3"/>
      <c r="J205" s="9"/>
      <c r="K205" s="11"/>
      <c r="M205" s="9"/>
      <c r="R205" s="3"/>
      <c r="S205" s="9"/>
      <c r="T205" s="11"/>
      <c r="U205" s="9"/>
      <c r="V205" s="11"/>
      <c r="W205" s="9"/>
      <c r="AA205" s="3"/>
      <c r="AB205" s="9"/>
    </row>
    <row r="206" spans="9:28" x14ac:dyDescent="0.25">
      <c r="I206" s="3"/>
      <c r="J206" s="9"/>
      <c r="K206" s="11"/>
      <c r="M206" s="9"/>
      <c r="R206" s="3"/>
      <c r="S206" s="9"/>
      <c r="T206" s="11"/>
      <c r="U206" s="3"/>
      <c r="V206" s="11"/>
      <c r="W206" s="9"/>
      <c r="AA206" s="3"/>
      <c r="AB206" s="9"/>
    </row>
    <row r="207" spans="9:28" x14ac:dyDescent="0.25">
      <c r="I207" s="3"/>
      <c r="J207" s="9"/>
      <c r="K207" s="11"/>
      <c r="M207" s="9"/>
      <c r="R207" s="3"/>
      <c r="S207" s="9"/>
      <c r="T207" s="11"/>
      <c r="U207" s="3"/>
      <c r="V207" s="11"/>
      <c r="W207" s="9"/>
      <c r="AA207" s="3"/>
      <c r="AB207" s="9"/>
    </row>
    <row r="208" spans="9:28" x14ac:dyDescent="0.25">
      <c r="I208" s="3"/>
      <c r="J208" s="9"/>
      <c r="K208" s="11"/>
      <c r="M208" s="9"/>
      <c r="R208" s="3"/>
      <c r="S208" s="9"/>
      <c r="T208" s="11"/>
      <c r="U208" s="3"/>
      <c r="V208" s="11"/>
      <c r="W208" s="9"/>
      <c r="AA208" s="3"/>
      <c r="AB208" s="9"/>
    </row>
    <row r="209" spans="9:30" x14ac:dyDescent="0.25">
      <c r="I209" s="3"/>
      <c r="J209" s="9"/>
      <c r="K209" s="11"/>
      <c r="M209" s="9"/>
      <c r="R209" s="3"/>
      <c r="S209" s="9"/>
      <c r="T209" s="11"/>
      <c r="U209" s="3"/>
      <c r="V209" s="11"/>
      <c r="W209" s="9"/>
      <c r="AA209" s="3"/>
      <c r="AB209" s="9"/>
    </row>
    <row r="210" spans="9:30" x14ac:dyDescent="0.25">
      <c r="I210" s="3"/>
      <c r="J210" s="9"/>
      <c r="K210" s="11"/>
      <c r="M210" s="9"/>
      <c r="R210" s="3"/>
      <c r="S210" s="9"/>
      <c r="T210" s="11"/>
      <c r="U210" s="3"/>
      <c r="V210" s="11"/>
      <c r="W210" s="9"/>
      <c r="AA210" s="3"/>
      <c r="AB210" s="9"/>
    </row>
    <row r="211" spans="9:30" x14ac:dyDescent="0.25">
      <c r="I211" s="3"/>
      <c r="J211" s="9"/>
      <c r="K211" s="11"/>
      <c r="M211" s="9"/>
      <c r="R211" s="3"/>
      <c r="S211" s="9"/>
      <c r="T211" s="11"/>
      <c r="U211" s="3"/>
      <c r="V211" s="11"/>
      <c r="W211" s="9"/>
      <c r="AA211" s="3"/>
      <c r="AB211" s="9"/>
    </row>
    <row r="212" spans="9:30" x14ac:dyDescent="0.25">
      <c r="I212" s="3"/>
      <c r="J212" s="9"/>
      <c r="K212" s="11"/>
      <c r="M212" s="9"/>
      <c r="R212" s="3"/>
      <c r="S212" s="9"/>
      <c r="T212" s="11"/>
      <c r="U212" s="3"/>
      <c r="V212" s="11"/>
      <c r="W212" s="9"/>
      <c r="AA212" s="3"/>
      <c r="AB212" s="9"/>
    </row>
    <row r="213" spans="9:30" x14ac:dyDescent="0.25">
      <c r="I213" s="3"/>
      <c r="J213" s="9"/>
      <c r="K213" s="11"/>
      <c r="M213" s="9"/>
      <c r="R213" s="3"/>
      <c r="S213" s="9"/>
      <c r="T213" s="11"/>
      <c r="U213" s="3"/>
      <c r="V213" s="11"/>
      <c r="W213" s="9"/>
      <c r="AA213" s="3"/>
      <c r="AB213" s="9"/>
    </row>
    <row r="214" spans="9:30" x14ac:dyDescent="0.25">
      <c r="I214" s="3"/>
      <c r="J214" s="9"/>
      <c r="K214" s="11"/>
      <c r="M214" s="9"/>
      <c r="R214" s="3"/>
      <c r="S214" s="9"/>
      <c r="T214" s="11"/>
      <c r="U214" s="3"/>
      <c r="V214" s="11"/>
      <c r="W214" s="9"/>
      <c r="AA214" s="3"/>
      <c r="AB214" s="9"/>
      <c r="AD214" s="3"/>
    </row>
    <row r="215" spans="9:30" x14ac:dyDescent="0.25">
      <c r="I215" s="3"/>
      <c r="J215" s="9"/>
      <c r="K215" s="11"/>
      <c r="M215" s="9"/>
      <c r="R215" s="3"/>
      <c r="S215" s="9"/>
      <c r="T215" s="11"/>
      <c r="U215" s="3"/>
      <c r="V215" s="11"/>
      <c r="W215" s="9"/>
      <c r="AA215" s="3"/>
      <c r="AB215" s="9"/>
    </row>
    <row r="216" spans="9:30" x14ac:dyDescent="0.25">
      <c r="I216" s="3"/>
      <c r="J216" s="9"/>
      <c r="K216" s="11"/>
      <c r="M216" s="9"/>
      <c r="R216" s="3"/>
      <c r="S216" s="9"/>
      <c r="T216" s="11"/>
      <c r="U216" s="3"/>
      <c r="V216" s="11"/>
      <c r="W216" s="9"/>
      <c r="AA216" s="3"/>
      <c r="AB216" s="9"/>
    </row>
    <row r="217" spans="9:30" x14ac:dyDescent="0.25">
      <c r="I217" s="3"/>
      <c r="J217" s="9"/>
      <c r="K217" s="11"/>
      <c r="M217" s="9"/>
      <c r="R217" s="3"/>
      <c r="S217" s="9"/>
      <c r="T217" s="11"/>
      <c r="U217" s="3"/>
      <c r="V217" s="11"/>
      <c r="W217" s="9"/>
      <c r="AA217" s="3"/>
      <c r="AB217" s="9"/>
    </row>
    <row r="218" spans="9:30" x14ac:dyDescent="0.25">
      <c r="I218" s="3"/>
      <c r="J218" s="9"/>
      <c r="K218" s="11"/>
      <c r="M218" s="9"/>
      <c r="R218" s="3"/>
      <c r="S218" s="9"/>
      <c r="T218" s="11"/>
      <c r="U218" s="3"/>
      <c r="V218" s="11"/>
      <c r="W218" s="9"/>
      <c r="AA218" s="3"/>
      <c r="AB218" s="9"/>
    </row>
    <row r="219" spans="9:30" x14ac:dyDescent="0.25">
      <c r="I219" s="3"/>
      <c r="J219" s="9"/>
      <c r="K219" s="11"/>
      <c r="M219" s="9"/>
      <c r="R219" s="3"/>
      <c r="S219" s="9"/>
      <c r="T219" s="11"/>
      <c r="U219" s="3"/>
      <c r="V219" s="11"/>
      <c r="W219" s="9"/>
      <c r="AA219" s="3"/>
      <c r="AB219" s="9"/>
    </row>
    <row r="220" spans="9:30" x14ac:dyDescent="0.25">
      <c r="I220" s="3"/>
      <c r="J220" s="9"/>
      <c r="K220" s="11"/>
      <c r="M220" s="9"/>
      <c r="R220" s="3"/>
      <c r="S220" s="9"/>
      <c r="T220" s="11"/>
      <c r="U220" s="3"/>
      <c r="V220" s="11"/>
      <c r="W220" s="9"/>
      <c r="AA220" s="3"/>
      <c r="AB220" s="9"/>
    </row>
    <row r="221" spans="9:30" x14ac:dyDescent="0.25">
      <c r="I221" s="3"/>
      <c r="J221" s="9"/>
      <c r="K221" s="11"/>
      <c r="M221" s="9"/>
      <c r="R221" s="3"/>
      <c r="S221" s="9"/>
      <c r="T221" s="11"/>
      <c r="U221" s="3"/>
      <c r="V221" s="11"/>
      <c r="W221" s="9"/>
      <c r="AA221" s="3"/>
      <c r="AB221" s="9"/>
    </row>
    <row r="222" spans="9:30" x14ac:dyDescent="0.25">
      <c r="I222" s="3"/>
      <c r="J222" s="9"/>
      <c r="K222" s="11"/>
      <c r="M222" s="9"/>
      <c r="R222" s="3"/>
      <c r="S222" s="9"/>
      <c r="T222" s="11"/>
      <c r="U222" s="3"/>
      <c r="V222" s="11"/>
      <c r="W222" s="9"/>
      <c r="AA222" s="3"/>
      <c r="AB222" s="9"/>
    </row>
    <row r="223" spans="9:30" x14ac:dyDescent="0.25">
      <c r="I223" s="3"/>
      <c r="J223" s="9"/>
      <c r="K223" s="11"/>
      <c r="M223" s="9"/>
      <c r="R223" s="3"/>
      <c r="S223" s="9"/>
      <c r="T223" s="11"/>
      <c r="U223" s="3"/>
      <c r="V223" s="11"/>
      <c r="W223" s="9"/>
      <c r="AA223" s="3"/>
      <c r="AB223" s="9"/>
    </row>
    <row r="224" spans="9:30" x14ac:dyDescent="0.25">
      <c r="I224" s="3"/>
      <c r="J224" s="9"/>
      <c r="K224" s="11"/>
      <c r="M224" s="9"/>
      <c r="R224" s="3"/>
      <c r="S224" s="9"/>
      <c r="T224" s="11"/>
      <c r="U224" s="3"/>
      <c r="V224" s="11"/>
      <c r="W224" s="9"/>
      <c r="AA224" s="3"/>
      <c r="AB224" s="9"/>
      <c r="AD224" s="3"/>
    </row>
    <row r="225" spans="9:30" x14ac:dyDescent="0.25">
      <c r="I225" s="3"/>
      <c r="J225" s="9"/>
      <c r="K225" s="11"/>
      <c r="M225" s="9"/>
      <c r="R225" s="3"/>
      <c r="S225" s="9"/>
      <c r="T225" s="11"/>
      <c r="U225" s="3"/>
      <c r="V225" s="11"/>
      <c r="W225" s="9"/>
      <c r="AA225" s="3"/>
      <c r="AB225" s="9"/>
    </row>
    <row r="226" spans="9:30" x14ac:dyDescent="0.25">
      <c r="I226" s="3"/>
      <c r="J226" s="9"/>
      <c r="K226" s="11"/>
      <c r="M226" s="9"/>
      <c r="R226" s="3"/>
      <c r="S226" s="9"/>
      <c r="T226" s="11"/>
      <c r="U226" s="3"/>
      <c r="V226" s="11"/>
      <c r="W226" s="9"/>
      <c r="AA226" s="3"/>
      <c r="AB226" s="9"/>
      <c r="AD226" s="3"/>
    </row>
    <row r="227" spans="9:30" x14ac:dyDescent="0.25">
      <c r="I227" s="3"/>
      <c r="J227" s="9"/>
      <c r="K227" s="11"/>
      <c r="M227" s="9"/>
      <c r="R227" s="3"/>
      <c r="S227" s="9"/>
      <c r="T227" s="11"/>
      <c r="U227" s="3"/>
      <c r="V227" s="11"/>
      <c r="W227" s="9"/>
      <c r="AA227" s="3"/>
      <c r="AB227" s="9"/>
    </row>
    <row r="228" spans="9:30" x14ac:dyDescent="0.25">
      <c r="I228" s="3"/>
      <c r="J228" s="9"/>
      <c r="K228" s="11"/>
      <c r="M228" s="9"/>
      <c r="R228" s="3"/>
      <c r="S228" s="9"/>
      <c r="T228" s="11"/>
      <c r="U228" s="3"/>
      <c r="V228" s="11"/>
      <c r="W228" s="9"/>
      <c r="AA228" s="3"/>
      <c r="AB228" s="9"/>
    </row>
    <row r="229" spans="9:30" x14ac:dyDescent="0.25">
      <c r="I229" s="3"/>
      <c r="J229" s="9"/>
      <c r="K229" s="11"/>
      <c r="M229" s="9"/>
      <c r="R229" s="3"/>
      <c r="S229" s="9"/>
      <c r="T229" s="11"/>
      <c r="U229" s="3"/>
      <c r="V229" s="11"/>
      <c r="W229" s="9"/>
      <c r="AA229" s="3"/>
      <c r="AB229" s="9"/>
      <c r="AD229" s="3"/>
    </row>
    <row r="230" spans="9:30" x14ac:dyDescent="0.25">
      <c r="I230" s="3"/>
      <c r="J230" s="9"/>
      <c r="K230" s="11"/>
      <c r="M230" s="9"/>
      <c r="R230" s="3"/>
      <c r="S230" s="9"/>
      <c r="T230" s="11"/>
      <c r="U230" s="3"/>
      <c r="V230" s="11"/>
      <c r="W230" s="9"/>
      <c r="AA230" s="3"/>
      <c r="AB230" s="9"/>
    </row>
    <row r="231" spans="9:30" x14ac:dyDescent="0.25">
      <c r="I231" s="3"/>
      <c r="J231" s="9"/>
      <c r="K231" s="11"/>
      <c r="M231" s="9"/>
      <c r="R231" s="3"/>
      <c r="S231" s="9"/>
      <c r="T231" s="11"/>
      <c r="U231" s="3"/>
      <c r="V231" s="11"/>
      <c r="W231" s="9"/>
      <c r="AA231" s="3"/>
      <c r="AB231" s="9"/>
      <c r="AD231" s="3"/>
    </row>
    <row r="232" spans="9:30" x14ac:dyDescent="0.25">
      <c r="I232" s="3"/>
      <c r="J232" s="9"/>
      <c r="K232" s="11"/>
      <c r="M232" s="9"/>
      <c r="R232" s="3"/>
      <c r="S232" s="9"/>
      <c r="T232" s="11"/>
      <c r="U232" s="3"/>
      <c r="V232" s="11"/>
      <c r="W232" s="9"/>
      <c r="AA232" s="3"/>
      <c r="AB232" s="9"/>
    </row>
    <row r="233" spans="9:30" x14ac:dyDescent="0.25">
      <c r="I233" s="3"/>
      <c r="J233" s="9"/>
      <c r="K233" s="11"/>
      <c r="M233" s="9"/>
      <c r="R233" s="3"/>
      <c r="S233" s="9"/>
      <c r="T233" s="11"/>
      <c r="U233" s="3"/>
      <c r="V233" s="11"/>
      <c r="W233" s="9"/>
      <c r="AA233" s="3"/>
      <c r="AB233" s="9"/>
    </row>
    <row r="234" spans="9:30" x14ac:dyDescent="0.25">
      <c r="I234" s="3"/>
      <c r="J234" s="9"/>
      <c r="K234" s="11"/>
      <c r="M234" s="9"/>
      <c r="R234" s="3"/>
      <c r="S234" s="9"/>
      <c r="T234" s="11"/>
      <c r="U234" s="3"/>
      <c r="V234" s="11"/>
      <c r="W234" s="9"/>
      <c r="AA234" s="3"/>
      <c r="AB234" s="9"/>
      <c r="AD234" s="3"/>
    </row>
    <row r="235" spans="9:30" x14ac:dyDescent="0.25">
      <c r="I235" s="3"/>
      <c r="J235" s="9"/>
      <c r="K235" s="11"/>
      <c r="M235" s="9"/>
      <c r="R235" s="3"/>
      <c r="S235" s="9"/>
      <c r="T235" s="11"/>
      <c r="U235" s="3"/>
      <c r="V235" s="11"/>
      <c r="W235" s="9"/>
      <c r="AA235" s="3"/>
      <c r="AB235" s="9"/>
    </row>
    <row r="236" spans="9:30" x14ac:dyDescent="0.25">
      <c r="I236" s="3"/>
      <c r="J236" s="9"/>
      <c r="K236" s="11"/>
      <c r="M236" s="9"/>
      <c r="R236" s="3"/>
      <c r="S236" s="9"/>
      <c r="T236" s="11"/>
      <c r="U236" s="3"/>
      <c r="V236" s="11"/>
      <c r="W236" s="9"/>
      <c r="AA236" s="3"/>
      <c r="AB236" s="9"/>
    </row>
    <row r="237" spans="9:30" x14ac:dyDescent="0.25">
      <c r="I237" s="3"/>
      <c r="J237" s="9"/>
      <c r="K237" s="11"/>
      <c r="M237" s="9"/>
      <c r="R237" s="3"/>
      <c r="S237" s="9"/>
      <c r="T237" s="11"/>
      <c r="U237" s="3"/>
      <c r="V237" s="11"/>
      <c r="W237" s="9"/>
      <c r="AA237" s="3"/>
      <c r="AB237" s="9"/>
    </row>
    <row r="238" spans="9:30" x14ac:dyDescent="0.25">
      <c r="I238" s="3"/>
      <c r="J238" s="9"/>
      <c r="K238" s="11"/>
      <c r="M238" s="9"/>
      <c r="R238" s="3"/>
      <c r="S238" s="9"/>
      <c r="T238" s="11"/>
      <c r="U238" s="3"/>
      <c r="V238" s="11"/>
      <c r="W238" s="9"/>
      <c r="AA238" s="3"/>
      <c r="AB238" s="9"/>
    </row>
    <row r="239" spans="9:30" x14ac:dyDescent="0.25">
      <c r="I239" s="3"/>
      <c r="J239" s="9"/>
      <c r="K239" s="11"/>
      <c r="M239" s="9"/>
      <c r="R239" s="3"/>
      <c r="S239" s="9"/>
      <c r="T239" s="11"/>
      <c r="U239" s="3"/>
      <c r="V239" s="11"/>
      <c r="W239" s="9"/>
      <c r="AA239" s="3"/>
      <c r="AB239" s="9"/>
    </row>
    <row r="240" spans="9:30" x14ac:dyDescent="0.25">
      <c r="I240" s="3"/>
      <c r="J240" s="9"/>
      <c r="K240" s="11"/>
      <c r="M240" s="9"/>
      <c r="R240" s="3"/>
      <c r="S240" s="9"/>
      <c r="T240" s="11"/>
      <c r="U240" s="3"/>
      <c r="V240" s="11"/>
      <c r="W240" s="9"/>
      <c r="AA240" s="3"/>
      <c r="AB240" s="9"/>
    </row>
    <row r="241" spans="9:30" x14ac:dyDescent="0.25">
      <c r="I241" s="3"/>
      <c r="J241" s="9"/>
      <c r="K241" s="11"/>
      <c r="M241" s="9"/>
      <c r="R241" s="3"/>
      <c r="S241" s="9"/>
      <c r="T241" s="11"/>
      <c r="U241" s="3"/>
      <c r="V241" s="11"/>
      <c r="W241" s="9"/>
      <c r="AA241" s="3"/>
      <c r="AB241" s="9"/>
    </row>
    <row r="242" spans="9:30" x14ac:dyDescent="0.25">
      <c r="I242" s="3"/>
      <c r="J242" s="9"/>
      <c r="K242" s="11"/>
      <c r="M242" s="9"/>
      <c r="R242" s="3"/>
      <c r="S242" s="9"/>
      <c r="T242" s="11"/>
      <c r="U242" s="9"/>
      <c r="V242" s="11"/>
      <c r="W242" s="9"/>
      <c r="AA242" s="3"/>
      <c r="AB242" s="9"/>
    </row>
    <row r="243" spans="9:30" x14ac:dyDescent="0.25">
      <c r="I243" s="3"/>
      <c r="J243" s="9"/>
      <c r="K243" s="11"/>
      <c r="M243" s="9"/>
      <c r="R243" s="3"/>
      <c r="S243" s="9"/>
      <c r="T243" s="11"/>
      <c r="U243" s="9"/>
      <c r="V243" s="11"/>
      <c r="W243" s="9"/>
      <c r="AA243" s="3"/>
      <c r="AB243" s="9"/>
    </row>
    <row r="244" spans="9:30" x14ac:dyDescent="0.25">
      <c r="I244" s="3"/>
      <c r="J244" s="9"/>
      <c r="K244" s="11"/>
      <c r="M244" s="9"/>
      <c r="R244" s="3"/>
      <c r="S244" s="9"/>
      <c r="T244" s="11"/>
      <c r="U244" s="9"/>
      <c r="V244" s="11"/>
      <c r="W244" s="9"/>
      <c r="AA244" s="3"/>
      <c r="AB244" s="9"/>
    </row>
    <row r="245" spans="9:30" x14ac:dyDescent="0.25">
      <c r="I245" s="3"/>
      <c r="J245" s="9"/>
      <c r="K245" s="11"/>
      <c r="M245" s="9"/>
      <c r="R245" s="3"/>
      <c r="S245" s="9"/>
      <c r="T245" s="11"/>
      <c r="U245" s="9"/>
      <c r="V245" s="11"/>
      <c r="W245" s="9"/>
      <c r="AA245" s="3"/>
      <c r="AB245" s="9"/>
    </row>
    <row r="246" spans="9:30" x14ac:dyDescent="0.25">
      <c r="I246" s="3"/>
      <c r="J246" s="9"/>
      <c r="K246" s="11"/>
      <c r="M246" s="9"/>
      <c r="R246" s="3"/>
      <c r="S246" s="9"/>
      <c r="T246" s="11"/>
      <c r="U246" s="9"/>
      <c r="V246" s="11"/>
      <c r="W246" s="9"/>
      <c r="AA246" s="3"/>
      <c r="AB246" s="9"/>
    </row>
    <row r="247" spans="9:30" x14ac:dyDescent="0.25">
      <c r="I247" s="3"/>
      <c r="J247" s="9"/>
      <c r="K247" s="11"/>
      <c r="M247" s="9"/>
      <c r="R247" s="3"/>
      <c r="S247" s="9"/>
      <c r="T247" s="11"/>
      <c r="U247" s="9"/>
      <c r="V247" s="11"/>
      <c r="W247" s="9"/>
      <c r="AA247" s="3"/>
      <c r="AB247" s="9"/>
    </row>
    <row r="248" spans="9:30" x14ac:dyDescent="0.25">
      <c r="I248" s="3"/>
      <c r="J248" s="9"/>
      <c r="K248" s="11"/>
      <c r="M248" s="9"/>
      <c r="R248" s="3"/>
      <c r="S248" s="9"/>
      <c r="T248" s="11"/>
      <c r="U248" s="9"/>
      <c r="V248" s="11"/>
      <c r="W248" s="9"/>
      <c r="AA248" s="3"/>
      <c r="AB248" s="9"/>
    </row>
    <row r="249" spans="9:30" x14ac:dyDescent="0.25">
      <c r="I249" s="3"/>
      <c r="J249" s="9"/>
      <c r="K249" s="11"/>
      <c r="M249" s="9"/>
      <c r="R249" s="3"/>
      <c r="S249" s="9"/>
      <c r="T249" s="11"/>
      <c r="U249" s="9"/>
      <c r="V249" s="11"/>
      <c r="W249" s="9"/>
      <c r="AA249" s="3"/>
      <c r="AB249" s="9"/>
    </row>
    <row r="250" spans="9:30" x14ac:dyDescent="0.25">
      <c r="I250" s="3"/>
      <c r="J250" s="9"/>
      <c r="K250" s="11"/>
      <c r="M250" s="9"/>
      <c r="R250" s="3"/>
      <c r="S250" s="9"/>
      <c r="T250" s="11"/>
      <c r="U250" s="9"/>
      <c r="V250" s="11"/>
      <c r="W250" s="9"/>
      <c r="AA250" s="3"/>
      <c r="AB250" s="9"/>
    </row>
    <row r="251" spans="9:30" x14ac:dyDescent="0.25">
      <c r="I251" s="3"/>
      <c r="J251" s="9"/>
      <c r="K251" s="11"/>
      <c r="M251" s="9"/>
      <c r="R251" s="3"/>
      <c r="S251" s="9"/>
      <c r="T251" s="11"/>
      <c r="U251" s="9"/>
      <c r="V251" s="11"/>
      <c r="W251" s="9"/>
      <c r="AA251" s="3"/>
      <c r="AB251" s="9"/>
    </row>
    <row r="252" spans="9:30" x14ac:dyDescent="0.25">
      <c r="I252" s="3"/>
      <c r="J252" s="9"/>
      <c r="K252" s="11"/>
      <c r="M252" s="9"/>
      <c r="R252" s="3"/>
      <c r="S252" s="9"/>
      <c r="T252" s="11"/>
      <c r="U252" s="9"/>
      <c r="V252" s="11"/>
      <c r="W252" s="9"/>
      <c r="AA252" s="3"/>
      <c r="AB252" s="9"/>
    </row>
    <row r="253" spans="9:30" x14ac:dyDescent="0.25">
      <c r="I253" s="3"/>
      <c r="J253" s="9"/>
      <c r="K253" s="11"/>
      <c r="M253" s="9"/>
      <c r="R253" s="3"/>
      <c r="S253" s="9"/>
      <c r="T253" s="11"/>
      <c r="U253" s="9"/>
      <c r="V253" s="11"/>
      <c r="W253" s="9"/>
      <c r="AA253" s="3"/>
      <c r="AB253" s="9"/>
    </row>
    <row r="254" spans="9:30" x14ac:dyDescent="0.25">
      <c r="I254" s="3"/>
      <c r="J254" s="9"/>
      <c r="K254" s="11"/>
      <c r="M254" s="9"/>
      <c r="R254" s="3"/>
      <c r="S254" s="9"/>
      <c r="T254" s="11"/>
      <c r="U254" s="3"/>
      <c r="V254" s="11"/>
      <c r="W254" s="9"/>
      <c r="AA254" s="3"/>
      <c r="AB254" s="9"/>
    </row>
    <row r="255" spans="9:30" x14ac:dyDescent="0.25">
      <c r="I255" s="3"/>
      <c r="J255" s="9"/>
      <c r="K255" s="11"/>
      <c r="M255" s="9"/>
      <c r="R255" s="3"/>
      <c r="S255" s="9"/>
      <c r="T255" s="11"/>
      <c r="U255" s="3"/>
      <c r="V255" s="11"/>
      <c r="W255" s="9"/>
      <c r="AA255" s="3"/>
      <c r="AB255" s="9"/>
      <c r="AD255" s="3"/>
    </row>
    <row r="256" spans="9:30" x14ac:dyDescent="0.25">
      <c r="I256" s="3"/>
      <c r="J256" s="9"/>
      <c r="K256" s="11"/>
      <c r="M256" s="9"/>
      <c r="R256" s="3"/>
      <c r="S256" s="9"/>
      <c r="T256" s="11"/>
      <c r="U256" s="3"/>
      <c r="V256" s="11"/>
      <c r="W256" s="9"/>
      <c r="AA256" s="3"/>
      <c r="AB256" s="9"/>
    </row>
    <row r="257" spans="9:30" x14ac:dyDescent="0.25">
      <c r="I257" s="3"/>
      <c r="J257" s="9"/>
      <c r="K257" s="11"/>
      <c r="M257" s="9"/>
      <c r="R257" s="3"/>
      <c r="S257" s="9"/>
      <c r="T257" s="11"/>
      <c r="U257" s="3"/>
      <c r="V257" s="11"/>
      <c r="W257" s="9"/>
      <c r="AA257" s="3"/>
      <c r="AB257" s="9"/>
    </row>
    <row r="258" spans="9:30" x14ac:dyDescent="0.25">
      <c r="I258" s="3"/>
      <c r="J258" s="9"/>
      <c r="K258" s="11"/>
      <c r="M258" s="9"/>
      <c r="R258" s="3"/>
      <c r="S258" s="9"/>
      <c r="T258" s="11"/>
      <c r="U258" s="3"/>
      <c r="V258" s="11"/>
      <c r="W258" s="9"/>
      <c r="AA258" s="3"/>
      <c r="AB258" s="9"/>
    </row>
    <row r="259" spans="9:30" x14ac:dyDescent="0.25">
      <c r="I259" s="3"/>
      <c r="J259" s="9"/>
      <c r="K259" s="11"/>
      <c r="M259" s="9"/>
      <c r="R259" s="3"/>
      <c r="S259" s="9"/>
      <c r="T259" s="11"/>
      <c r="U259" s="3"/>
      <c r="V259" s="11"/>
      <c r="W259" s="9"/>
      <c r="AA259" s="3"/>
      <c r="AB259" s="9"/>
      <c r="AD259" s="3"/>
    </row>
    <row r="260" spans="9:30" x14ac:dyDescent="0.25">
      <c r="I260" s="3"/>
      <c r="J260" s="9"/>
      <c r="K260" s="11"/>
      <c r="M260" s="9"/>
      <c r="R260" s="3"/>
      <c r="S260" s="9"/>
      <c r="T260" s="11"/>
      <c r="U260" s="3"/>
      <c r="V260" s="11"/>
      <c r="W260" s="9"/>
      <c r="AA260" s="3"/>
      <c r="AB260" s="9"/>
      <c r="AD260" s="3"/>
    </row>
    <row r="261" spans="9:30" x14ac:dyDescent="0.25">
      <c r="I261" s="3"/>
      <c r="J261" s="9"/>
      <c r="K261" s="11"/>
      <c r="M261" s="9"/>
      <c r="R261" s="3"/>
      <c r="S261" s="9"/>
      <c r="T261" s="11"/>
      <c r="U261" s="3"/>
      <c r="V261" s="11"/>
      <c r="W261" s="9"/>
      <c r="AA261" s="3"/>
      <c r="AB261" s="9"/>
    </row>
    <row r="262" spans="9:30" x14ac:dyDescent="0.25">
      <c r="I262" s="3"/>
      <c r="J262" s="9"/>
      <c r="K262" s="11"/>
      <c r="M262" s="9"/>
      <c r="R262" s="3"/>
      <c r="S262" s="9"/>
      <c r="T262" s="11"/>
      <c r="U262" s="3"/>
      <c r="V262" s="11"/>
      <c r="W262" s="9"/>
      <c r="AA262" s="3"/>
      <c r="AB262" s="9"/>
    </row>
    <row r="263" spans="9:30" x14ac:dyDescent="0.25">
      <c r="I263" s="3"/>
      <c r="J263" s="9"/>
      <c r="K263" s="11"/>
      <c r="M263" s="9"/>
      <c r="R263" s="3"/>
      <c r="S263" s="9"/>
      <c r="T263" s="11"/>
      <c r="U263" s="3"/>
      <c r="V263" s="11"/>
      <c r="W263" s="9"/>
      <c r="AA263" s="3"/>
      <c r="AB263" s="9"/>
    </row>
    <row r="264" spans="9:30" x14ac:dyDescent="0.25">
      <c r="I264" s="3"/>
      <c r="J264" s="9"/>
      <c r="K264" s="11"/>
      <c r="M264" s="9"/>
      <c r="R264" s="3"/>
      <c r="S264" s="9"/>
      <c r="T264" s="11"/>
      <c r="U264" s="3"/>
      <c r="V264" s="11"/>
      <c r="W264" s="9"/>
      <c r="AA264" s="3"/>
      <c r="AB264" s="9"/>
      <c r="AD264" s="3"/>
    </row>
    <row r="265" spans="9:30" x14ac:dyDescent="0.25">
      <c r="I265" s="3"/>
      <c r="J265" s="9"/>
      <c r="K265" s="11"/>
      <c r="M265" s="9"/>
      <c r="R265" s="3"/>
      <c r="S265" s="9"/>
      <c r="T265" s="11"/>
      <c r="U265" s="3"/>
      <c r="V265" s="11"/>
      <c r="W265" s="9"/>
      <c r="AA265" s="3"/>
      <c r="AB265" s="9"/>
    </row>
    <row r="266" spans="9:30" x14ac:dyDescent="0.25">
      <c r="I266" s="3"/>
      <c r="J266" s="9"/>
      <c r="K266" s="11"/>
      <c r="M266" s="9"/>
      <c r="R266" s="3"/>
      <c r="S266" s="9"/>
      <c r="T266" s="11"/>
      <c r="U266" s="3"/>
      <c r="V266" s="11"/>
      <c r="W266" s="9"/>
      <c r="AA266" s="3"/>
      <c r="AB266" s="9"/>
    </row>
    <row r="267" spans="9:30" x14ac:dyDescent="0.25">
      <c r="I267" s="3"/>
      <c r="J267" s="9"/>
      <c r="K267" s="11"/>
      <c r="M267" s="9"/>
      <c r="R267" s="3"/>
      <c r="S267" s="9"/>
      <c r="T267" s="11"/>
      <c r="U267" s="3"/>
      <c r="V267" s="11"/>
      <c r="W267" s="9"/>
      <c r="AA267" s="3"/>
      <c r="AB267" s="9"/>
    </row>
    <row r="268" spans="9:30" x14ac:dyDescent="0.25">
      <c r="I268" s="3"/>
      <c r="J268" s="9"/>
      <c r="K268" s="11"/>
      <c r="M268" s="9"/>
      <c r="R268" s="3"/>
      <c r="S268" s="9"/>
      <c r="T268" s="11"/>
      <c r="U268" s="3"/>
      <c r="V268" s="11"/>
      <c r="W268" s="9"/>
      <c r="AA268" s="3"/>
      <c r="AB268" s="9"/>
    </row>
    <row r="269" spans="9:30" x14ac:dyDescent="0.25">
      <c r="I269" s="3"/>
      <c r="J269" s="9"/>
      <c r="K269" s="11"/>
      <c r="M269" s="9"/>
      <c r="R269" s="3"/>
      <c r="S269" s="9"/>
      <c r="T269" s="11"/>
      <c r="U269" s="3"/>
      <c r="V269" s="11"/>
      <c r="W269" s="9"/>
      <c r="AA269" s="3"/>
      <c r="AB269" s="9"/>
    </row>
    <row r="270" spans="9:30" x14ac:dyDescent="0.25">
      <c r="I270" s="3"/>
      <c r="J270" s="9"/>
      <c r="K270" s="11"/>
      <c r="M270" s="9"/>
      <c r="R270" s="3"/>
      <c r="S270" s="9"/>
      <c r="T270" s="11"/>
      <c r="U270" s="3"/>
      <c r="V270" s="11"/>
      <c r="W270" s="9"/>
      <c r="AA270" s="3"/>
      <c r="AB270" s="9"/>
    </row>
    <row r="271" spans="9:30" x14ac:dyDescent="0.25">
      <c r="I271" s="3"/>
      <c r="J271" s="9"/>
      <c r="K271" s="11"/>
      <c r="M271" s="9"/>
      <c r="R271" s="3"/>
      <c r="S271" s="9"/>
      <c r="T271" s="11"/>
      <c r="U271" s="3"/>
      <c r="V271" s="11"/>
      <c r="W271" s="9"/>
      <c r="AA271" s="3"/>
      <c r="AB271" s="9"/>
    </row>
    <row r="272" spans="9:30" x14ac:dyDescent="0.25">
      <c r="I272" s="3"/>
      <c r="J272" s="9"/>
      <c r="K272" s="11"/>
      <c r="M272" s="9"/>
      <c r="R272" s="3"/>
      <c r="S272" s="9"/>
      <c r="T272" s="11"/>
      <c r="U272" s="3"/>
      <c r="V272" s="11"/>
      <c r="W272" s="9"/>
      <c r="AA272" s="3"/>
      <c r="AB272" s="9"/>
    </row>
    <row r="273" spans="9:30" x14ac:dyDescent="0.25">
      <c r="I273" s="3"/>
      <c r="J273" s="9"/>
      <c r="K273" s="11"/>
      <c r="M273" s="9"/>
      <c r="R273" s="3"/>
      <c r="S273" s="9"/>
      <c r="T273" s="11"/>
      <c r="U273" s="3"/>
      <c r="V273" s="11"/>
      <c r="W273" s="9"/>
      <c r="AA273" s="3"/>
      <c r="AB273" s="9"/>
    </row>
    <row r="274" spans="9:30" x14ac:dyDescent="0.25">
      <c r="I274" s="3"/>
      <c r="J274" s="9"/>
      <c r="K274" s="11"/>
      <c r="M274" s="9"/>
      <c r="R274" s="3"/>
      <c r="S274" s="9"/>
      <c r="T274" s="11"/>
      <c r="U274" s="3"/>
      <c r="V274" s="11"/>
      <c r="W274" s="9"/>
      <c r="AA274" s="3"/>
      <c r="AB274" s="9"/>
    </row>
    <row r="275" spans="9:30" x14ac:dyDescent="0.25">
      <c r="I275" s="3"/>
      <c r="J275" s="9"/>
      <c r="K275" s="11"/>
      <c r="M275" s="9"/>
      <c r="R275" s="3"/>
      <c r="S275" s="9"/>
      <c r="T275" s="11"/>
      <c r="U275" s="3"/>
      <c r="V275" s="11"/>
      <c r="W275" s="9"/>
      <c r="AA275" s="3"/>
      <c r="AB275" s="9"/>
    </row>
    <row r="276" spans="9:30" x14ac:dyDescent="0.25">
      <c r="I276" s="3"/>
      <c r="J276" s="9"/>
      <c r="K276" s="11"/>
      <c r="M276" s="9"/>
      <c r="R276" s="3"/>
      <c r="S276" s="9"/>
      <c r="T276" s="11"/>
      <c r="U276" s="3"/>
      <c r="V276" s="11"/>
      <c r="W276" s="9"/>
      <c r="AA276" s="3"/>
      <c r="AB276" s="9"/>
    </row>
    <row r="277" spans="9:30" x14ac:dyDescent="0.25">
      <c r="I277" s="3"/>
      <c r="J277" s="9"/>
      <c r="K277" s="11"/>
      <c r="M277" s="9"/>
      <c r="R277" s="3"/>
      <c r="S277" s="9"/>
      <c r="T277" s="11"/>
      <c r="U277" s="3"/>
      <c r="V277" s="11"/>
      <c r="W277" s="9"/>
      <c r="AA277" s="3"/>
      <c r="AB277" s="9"/>
    </row>
    <row r="278" spans="9:30" x14ac:dyDescent="0.25">
      <c r="I278" s="3"/>
      <c r="J278" s="9"/>
      <c r="K278" s="11"/>
      <c r="M278" s="9"/>
      <c r="R278" s="3"/>
      <c r="S278" s="9"/>
      <c r="T278" s="11"/>
      <c r="U278" s="3"/>
      <c r="V278" s="11"/>
      <c r="W278" s="9"/>
      <c r="AA278" s="3"/>
      <c r="AB278" s="9"/>
    </row>
    <row r="279" spans="9:30" x14ac:dyDescent="0.25">
      <c r="I279" s="3"/>
      <c r="J279" s="9"/>
      <c r="K279" s="11"/>
      <c r="M279" s="9"/>
      <c r="R279" s="3"/>
      <c r="S279" s="9"/>
      <c r="T279" s="11"/>
      <c r="U279" s="3"/>
      <c r="V279" s="11"/>
      <c r="W279" s="9"/>
      <c r="AA279" s="3"/>
      <c r="AB279" s="9"/>
    </row>
    <row r="280" spans="9:30" x14ac:dyDescent="0.25">
      <c r="I280" s="3"/>
      <c r="J280" s="9"/>
      <c r="K280" s="11"/>
      <c r="M280" s="9"/>
      <c r="R280" s="3"/>
      <c r="S280" s="9"/>
      <c r="T280" s="11"/>
      <c r="U280" s="3"/>
      <c r="V280" s="11"/>
      <c r="W280" s="9"/>
      <c r="AA280" s="3"/>
      <c r="AB280" s="9"/>
    </row>
    <row r="281" spans="9:30" x14ac:dyDescent="0.25">
      <c r="I281" s="3"/>
      <c r="J281" s="9"/>
      <c r="K281" s="11"/>
      <c r="M281" s="9"/>
      <c r="R281" s="3"/>
      <c r="S281" s="9"/>
      <c r="T281" s="11"/>
      <c r="U281" s="3"/>
      <c r="V281" s="11"/>
      <c r="W281" s="9"/>
      <c r="AA281" s="3"/>
      <c r="AB281" s="9"/>
    </row>
    <row r="282" spans="9:30" x14ac:dyDescent="0.25">
      <c r="I282" s="3"/>
      <c r="J282" s="9"/>
      <c r="K282" s="11"/>
      <c r="M282" s="9"/>
      <c r="R282" s="3"/>
      <c r="S282" s="9"/>
      <c r="T282" s="11"/>
      <c r="U282" s="3"/>
      <c r="V282" s="11"/>
      <c r="W282" s="9"/>
      <c r="AA282" s="3"/>
      <c r="AB282" s="9"/>
    </row>
    <row r="283" spans="9:30" x14ac:dyDescent="0.25">
      <c r="I283" s="3"/>
      <c r="J283" s="9"/>
      <c r="K283" s="11"/>
      <c r="M283" s="9"/>
      <c r="R283" s="3"/>
      <c r="S283" s="9"/>
      <c r="T283" s="11"/>
      <c r="U283" s="3"/>
      <c r="V283" s="11"/>
      <c r="W283" s="9"/>
      <c r="AA283" s="3"/>
      <c r="AB283" s="9"/>
    </row>
    <row r="284" spans="9:30" x14ac:dyDescent="0.25">
      <c r="I284" s="3"/>
      <c r="J284" s="9"/>
      <c r="K284" s="11"/>
      <c r="M284" s="9"/>
      <c r="R284" s="3"/>
      <c r="S284" s="9"/>
      <c r="T284" s="11"/>
      <c r="U284" s="3"/>
      <c r="V284" s="11"/>
      <c r="W284" s="9"/>
      <c r="AA284" s="3"/>
      <c r="AB284" s="9"/>
    </row>
    <row r="285" spans="9:30" x14ac:dyDescent="0.25">
      <c r="I285" s="3"/>
      <c r="J285" s="9"/>
      <c r="K285" s="11"/>
      <c r="M285" s="9"/>
      <c r="R285" s="3"/>
      <c r="S285" s="9"/>
      <c r="T285" s="11"/>
      <c r="U285" s="3"/>
      <c r="V285" s="11"/>
      <c r="W285" s="9"/>
      <c r="AA285" s="3"/>
      <c r="AB285" s="9"/>
    </row>
    <row r="286" spans="9:30" x14ac:dyDescent="0.25">
      <c r="I286" s="3"/>
      <c r="J286" s="9"/>
      <c r="K286" s="11"/>
      <c r="M286" s="9"/>
      <c r="R286" s="3"/>
      <c r="S286" s="9"/>
      <c r="T286" s="11"/>
      <c r="U286" s="3"/>
      <c r="V286" s="11"/>
      <c r="W286" s="9"/>
      <c r="AA286" s="3"/>
      <c r="AB286" s="9"/>
      <c r="AD286" s="3"/>
    </row>
    <row r="287" spans="9:30" x14ac:dyDescent="0.25">
      <c r="I287" s="3"/>
      <c r="J287" s="9"/>
      <c r="K287" s="11"/>
      <c r="M287" s="9"/>
      <c r="R287" s="3"/>
      <c r="S287" s="9"/>
      <c r="T287" s="11"/>
      <c r="U287" s="3"/>
      <c r="V287" s="11"/>
      <c r="W287" s="9"/>
      <c r="AA287" s="3"/>
      <c r="AB287" s="9"/>
    </row>
    <row r="288" spans="9:30" x14ac:dyDescent="0.25">
      <c r="I288" s="3"/>
      <c r="J288" s="9"/>
      <c r="K288" s="11"/>
      <c r="M288" s="9"/>
      <c r="R288" s="3"/>
      <c r="S288" s="9"/>
      <c r="T288" s="11"/>
      <c r="U288" s="3"/>
      <c r="V288" s="11"/>
      <c r="W288" s="9"/>
      <c r="AA288" s="3"/>
      <c r="AB288" s="9"/>
    </row>
    <row r="289" spans="9:30" x14ac:dyDescent="0.25">
      <c r="I289" s="3"/>
      <c r="J289" s="9"/>
      <c r="K289" s="11"/>
      <c r="M289" s="9"/>
      <c r="R289" s="3"/>
      <c r="S289" s="9"/>
      <c r="T289" s="11"/>
      <c r="U289" s="3"/>
      <c r="V289" s="11"/>
      <c r="W289" s="9"/>
      <c r="AA289" s="3"/>
      <c r="AB289" s="9"/>
      <c r="AD289" s="3"/>
    </row>
    <row r="290" spans="9:30" x14ac:dyDescent="0.25">
      <c r="I290" s="3"/>
      <c r="J290" s="9"/>
      <c r="K290" s="11"/>
      <c r="M290" s="9"/>
      <c r="R290" s="3"/>
      <c r="S290" s="9"/>
      <c r="T290" s="11"/>
      <c r="U290" s="9"/>
      <c r="V290" s="11"/>
      <c r="W290" s="9"/>
      <c r="AA290" s="3"/>
      <c r="AB290" s="9"/>
    </row>
    <row r="291" spans="9:30" x14ac:dyDescent="0.25">
      <c r="I291" s="3"/>
      <c r="J291" s="9"/>
      <c r="K291" s="11"/>
      <c r="M291" s="9"/>
      <c r="R291" s="3"/>
      <c r="S291" s="9"/>
      <c r="T291" s="11"/>
      <c r="U291" s="9"/>
      <c r="V291" s="11"/>
      <c r="W291" s="9"/>
      <c r="AA291" s="3"/>
      <c r="AB291" s="9"/>
    </row>
    <row r="292" spans="9:30" x14ac:dyDescent="0.25">
      <c r="I292" s="3"/>
      <c r="J292" s="9"/>
      <c r="K292" s="11"/>
      <c r="M292" s="9"/>
      <c r="R292" s="3"/>
      <c r="S292" s="9"/>
      <c r="T292" s="11"/>
      <c r="U292" s="9"/>
      <c r="V292" s="11"/>
      <c r="W292" s="9"/>
      <c r="AA292" s="3"/>
      <c r="AB292" s="9"/>
    </row>
    <row r="293" spans="9:30" x14ac:dyDescent="0.25">
      <c r="I293" s="3"/>
      <c r="J293" s="9"/>
      <c r="K293" s="11"/>
      <c r="M293" s="9"/>
      <c r="R293" s="3"/>
      <c r="S293" s="9"/>
      <c r="T293" s="11"/>
      <c r="U293" s="9"/>
      <c r="V293" s="11"/>
      <c r="W293" s="9"/>
      <c r="AA293" s="3"/>
      <c r="AB293" s="9"/>
    </row>
    <row r="294" spans="9:30" x14ac:dyDescent="0.25">
      <c r="I294" s="3"/>
      <c r="J294" s="9"/>
      <c r="K294" s="11"/>
      <c r="M294" s="9"/>
      <c r="R294" s="3"/>
      <c r="S294" s="9"/>
      <c r="T294" s="11"/>
      <c r="U294" s="9"/>
      <c r="V294" s="11"/>
      <c r="W294" s="9"/>
      <c r="AA294" s="3"/>
      <c r="AB294" s="9"/>
    </row>
    <row r="295" spans="9:30" x14ac:dyDescent="0.25">
      <c r="I295" s="3"/>
      <c r="J295" s="9"/>
      <c r="K295" s="11"/>
      <c r="M295" s="9"/>
      <c r="R295" s="3"/>
      <c r="S295" s="9"/>
      <c r="T295" s="11"/>
      <c r="U295" s="9"/>
      <c r="V295" s="11"/>
      <c r="W295" s="9"/>
      <c r="AA295" s="3"/>
      <c r="AB295" s="9"/>
    </row>
    <row r="296" spans="9:30" x14ac:dyDescent="0.25">
      <c r="I296" s="3"/>
      <c r="J296" s="9"/>
      <c r="K296" s="11"/>
      <c r="M296" s="9"/>
      <c r="R296" s="3"/>
      <c r="S296" s="9"/>
      <c r="T296" s="11"/>
      <c r="U296" s="9"/>
      <c r="V296" s="11"/>
      <c r="W296" s="9"/>
      <c r="AA296" s="3"/>
      <c r="AB296" s="9"/>
    </row>
    <row r="297" spans="9:30" x14ac:dyDescent="0.25">
      <c r="I297" s="3"/>
      <c r="J297" s="9"/>
      <c r="K297" s="11"/>
      <c r="M297" s="9"/>
      <c r="R297" s="3"/>
      <c r="S297" s="9"/>
      <c r="T297" s="11"/>
      <c r="U297" s="9"/>
      <c r="V297" s="11"/>
      <c r="W297" s="9"/>
      <c r="AA297" s="3"/>
      <c r="AB297" s="9"/>
    </row>
    <row r="298" spans="9:30" x14ac:dyDescent="0.25">
      <c r="I298" s="3"/>
      <c r="J298" s="9"/>
      <c r="K298" s="11"/>
      <c r="M298" s="9"/>
      <c r="R298" s="3"/>
      <c r="S298" s="9"/>
      <c r="T298" s="11"/>
      <c r="U298" s="9"/>
      <c r="V298" s="11"/>
      <c r="W298" s="9"/>
      <c r="AA298" s="3"/>
      <c r="AB298" s="9"/>
    </row>
    <row r="299" spans="9:30" x14ac:dyDescent="0.25">
      <c r="I299" s="3"/>
      <c r="J299" s="9"/>
      <c r="K299" s="11"/>
      <c r="M299" s="9"/>
      <c r="R299" s="3"/>
      <c r="S299" s="9"/>
      <c r="T299" s="11"/>
      <c r="U299" s="9"/>
      <c r="V299" s="11"/>
      <c r="W299" s="9"/>
      <c r="AA299" s="3"/>
      <c r="AB299" s="9"/>
    </row>
    <row r="300" spans="9:30" x14ac:dyDescent="0.25">
      <c r="I300" s="3"/>
      <c r="J300" s="9"/>
      <c r="K300" s="11"/>
      <c r="M300" s="9"/>
      <c r="R300" s="3"/>
      <c r="S300" s="9"/>
      <c r="T300" s="11"/>
      <c r="U300" s="9"/>
      <c r="V300" s="11"/>
      <c r="W300" s="9"/>
      <c r="AA300" s="3"/>
      <c r="AB300" s="9"/>
    </row>
    <row r="301" spans="9:30" x14ac:dyDescent="0.25">
      <c r="I301" s="3"/>
      <c r="J301" s="9"/>
      <c r="K301" s="11"/>
      <c r="M301" s="9"/>
      <c r="R301" s="3"/>
      <c r="S301" s="9"/>
      <c r="T301" s="11"/>
      <c r="U301" s="9"/>
      <c r="V301" s="11"/>
      <c r="W301" s="9"/>
      <c r="AA301" s="3"/>
      <c r="AB301" s="9"/>
    </row>
    <row r="302" spans="9:30" x14ac:dyDescent="0.25">
      <c r="I302" s="3"/>
      <c r="J302" s="9"/>
      <c r="K302" s="11"/>
      <c r="M302" s="9"/>
      <c r="R302" s="3"/>
      <c r="S302" s="9"/>
      <c r="T302" s="11"/>
      <c r="U302" s="9"/>
      <c r="V302" s="11"/>
      <c r="W302" s="9"/>
      <c r="AA302" s="3"/>
      <c r="AB302" s="9"/>
    </row>
    <row r="303" spans="9:30" x14ac:dyDescent="0.25">
      <c r="I303" s="3"/>
      <c r="J303" s="9"/>
      <c r="K303" s="11"/>
      <c r="M303" s="9"/>
      <c r="R303" s="3"/>
      <c r="S303" s="9"/>
      <c r="T303" s="11"/>
      <c r="U303" s="9"/>
      <c r="V303" s="11"/>
      <c r="W303" s="9"/>
      <c r="AA303" s="3"/>
      <c r="AB303" s="9"/>
    </row>
    <row r="304" spans="9:30" x14ac:dyDescent="0.25">
      <c r="I304" s="3"/>
      <c r="J304" s="9"/>
      <c r="K304" s="11"/>
      <c r="M304" s="9"/>
      <c r="R304" s="3"/>
      <c r="S304" s="9"/>
      <c r="T304" s="11"/>
      <c r="U304" s="9"/>
      <c r="V304" s="11"/>
      <c r="W304" s="9"/>
      <c r="AA304" s="3"/>
      <c r="AB304" s="9"/>
    </row>
    <row r="305" spans="9:28" x14ac:dyDescent="0.25">
      <c r="I305" s="3"/>
      <c r="J305" s="9"/>
      <c r="K305" s="11"/>
      <c r="M305" s="9"/>
      <c r="R305" s="3"/>
      <c r="S305" s="9"/>
      <c r="T305" s="11"/>
      <c r="U305" s="9"/>
      <c r="V305" s="11"/>
      <c r="W305" s="9"/>
      <c r="AA305" s="3"/>
      <c r="AB305" s="9"/>
    </row>
    <row r="306" spans="9:28" x14ac:dyDescent="0.25">
      <c r="I306" s="3"/>
      <c r="J306" s="9"/>
      <c r="K306" s="11"/>
      <c r="M306" s="9"/>
      <c r="R306" s="3"/>
      <c r="S306" s="9"/>
      <c r="T306" s="11"/>
      <c r="U306" s="9"/>
      <c r="V306" s="11"/>
      <c r="W306" s="9"/>
      <c r="AA306" s="3"/>
      <c r="AB306" s="9"/>
    </row>
    <row r="307" spans="9:28" x14ac:dyDescent="0.25">
      <c r="I307" s="3"/>
      <c r="J307" s="9"/>
      <c r="K307" s="11"/>
      <c r="M307" s="9"/>
      <c r="R307" s="3"/>
      <c r="S307" s="9"/>
      <c r="T307" s="11"/>
      <c r="U307" s="9"/>
      <c r="V307" s="11"/>
      <c r="W307" s="9"/>
      <c r="AA307" s="3"/>
      <c r="AB307" s="9"/>
    </row>
    <row r="308" spans="9:28" x14ac:dyDescent="0.25">
      <c r="I308" s="3"/>
      <c r="J308" s="9"/>
      <c r="K308" s="11"/>
      <c r="M308" s="9"/>
      <c r="R308" s="3"/>
      <c r="S308" s="9"/>
      <c r="T308" s="11"/>
      <c r="U308" s="9"/>
      <c r="V308" s="11"/>
      <c r="W308" s="9"/>
      <c r="AA308" s="3"/>
      <c r="AB308" s="9"/>
    </row>
    <row r="309" spans="9:28" x14ac:dyDescent="0.25">
      <c r="I309" s="3"/>
      <c r="J309" s="9"/>
      <c r="K309" s="11"/>
      <c r="M309" s="9"/>
      <c r="R309" s="3"/>
      <c r="S309" s="9"/>
      <c r="T309" s="11"/>
      <c r="U309" s="9"/>
      <c r="V309" s="11"/>
      <c r="W309" s="9"/>
      <c r="AA309" s="3"/>
      <c r="AB309" s="9"/>
    </row>
    <row r="310" spans="9:28" x14ac:dyDescent="0.25">
      <c r="I310" s="3"/>
      <c r="J310" s="9"/>
      <c r="K310" s="11"/>
      <c r="M310" s="9"/>
      <c r="R310" s="3"/>
      <c r="S310" s="9"/>
      <c r="T310" s="11"/>
      <c r="U310" s="9"/>
      <c r="V310" s="11"/>
      <c r="W310" s="9"/>
      <c r="AA310" s="3"/>
      <c r="AB310" s="9"/>
    </row>
    <row r="311" spans="9:28" x14ac:dyDescent="0.25">
      <c r="I311" s="3"/>
      <c r="J311" s="9"/>
      <c r="K311" s="11"/>
      <c r="M311" s="9"/>
      <c r="R311" s="3"/>
      <c r="S311" s="9"/>
      <c r="T311" s="11"/>
      <c r="U311" s="9"/>
      <c r="V311" s="11"/>
      <c r="W311" s="9"/>
      <c r="AA311" s="3"/>
      <c r="AB311" s="9"/>
    </row>
    <row r="312" spans="9:28" x14ac:dyDescent="0.25">
      <c r="I312" s="3"/>
      <c r="J312" s="9"/>
      <c r="K312" s="11"/>
      <c r="M312" s="9"/>
      <c r="R312" s="3"/>
      <c r="S312" s="9"/>
      <c r="T312" s="11"/>
      <c r="U312" s="9"/>
      <c r="V312" s="11"/>
      <c r="W312" s="9"/>
      <c r="AA312" s="3"/>
      <c r="AB312" s="9"/>
    </row>
    <row r="313" spans="9:28" x14ac:dyDescent="0.25">
      <c r="I313" s="3"/>
      <c r="J313" s="9"/>
      <c r="K313" s="11"/>
      <c r="M313" s="9"/>
      <c r="R313" s="3"/>
      <c r="S313" s="9"/>
      <c r="T313" s="11"/>
      <c r="U313" s="9"/>
      <c r="V313" s="11"/>
      <c r="W313" s="9"/>
      <c r="AA313" s="3"/>
      <c r="AB313" s="9"/>
    </row>
    <row r="314" spans="9:28" x14ac:dyDescent="0.25">
      <c r="I314" s="3"/>
      <c r="J314" s="9"/>
      <c r="K314" s="11"/>
      <c r="M314" s="9"/>
      <c r="R314" s="3"/>
      <c r="S314" s="9"/>
      <c r="T314" s="11"/>
      <c r="U314" s="9"/>
      <c r="V314" s="11"/>
      <c r="W314" s="9"/>
      <c r="AA314" s="3"/>
      <c r="AB314" s="9"/>
    </row>
    <row r="315" spans="9:28" x14ac:dyDescent="0.25">
      <c r="I315" s="3"/>
      <c r="J315" s="9"/>
      <c r="K315" s="11"/>
      <c r="M315" s="9"/>
      <c r="R315" s="3"/>
      <c r="S315" s="9"/>
      <c r="T315" s="11"/>
      <c r="U315" s="9"/>
      <c r="V315" s="11"/>
      <c r="W315" s="9"/>
      <c r="AA315" s="3"/>
      <c r="AB315" s="9"/>
    </row>
    <row r="316" spans="9:28" x14ac:dyDescent="0.25">
      <c r="I316" s="3"/>
      <c r="J316" s="9"/>
      <c r="K316" s="11"/>
      <c r="M316" s="9"/>
      <c r="R316" s="3"/>
      <c r="S316" s="9"/>
      <c r="T316" s="11"/>
      <c r="U316" s="9"/>
      <c r="V316" s="11"/>
      <c r="W316" s="9"/>
      <c r="AA316" s="3"/>
      <c r="AB316" s="9"/>
    </row>
    <row r="317" spans="9:28" x14ac:dyDescent="0.25">
      <c r="I317" s="3"/>
      <c r="J317" s="9"/>
      <c r="K317" s="11"/>
      <c r="M317" s="9"/>
      <c r="R317" s="3"/>
      <c r="S317" s="9"/>
      <c r="T317" s="11"/>
      <c r="U317" s="9"/>
      <c r="V317" s="11"/>
      <c r="W317" s="9"/>
      <c r="AA317" s="3"/>
      <c r="AB317" s="9"/>
    </row>
    <row r="318" spans="9:28" x14ac:dyDescent="0.25">
      <c r="I318" s="3"/>
      <c r="J318" s="9"/>
      <c r="K318" s="11"/>
      <c r="M318" s="9"/>
      <c r="R318" s="3"/>
      <c r="S318" s="9"/>
      <c r="T318" s="11"/>
      <c r="U318" s="9"/>
      <c r="V318" s="11"/>
      <c r="W318" s="9"/>
      <c r="AA318" s="3"/>
      <c r="AB318" s="9"/>
    </row>
    <row r="319" spans="9:28" x14ac:dyDescent="0.25">
      <c r="I319" s="3"/>
      <c r="J319" s="9"/>
      <c r="K319" s="11"/>
      <c r="M319" s="9"/>
      <c r="R319" s="3"/>
      <c r="S319" s="9"/>
      <c r="T319" s="11"/>
      <c r="U319" s="9"/>
      <c r="V319" s="11"/>
      <c r="W319" s="9"/>
      <c r="AA319" s="3"/>
      <c r="AB319" s="9"/>
    </row>
    <row r="320" spans="9:28" x14ac:dyDescent="0.25">
      <c r="I320" s="3"/>
      <c r="J320" s="9"/>
      <c r="K320" s="11"/>
      <c r="M320" s="9"/>
      <c r="R320" s="3"/>
      <c r="S320" s="9"/>
      <c r="T320" s="11"/>
      <c r="U320" s="9"/>
      <c r="V320" s="11"/>
      <c r="W320" s="9"/>
      <c r="AA320" s="3"/>
      <c r="AB320" s="9"/>
    </row>
    <row r="321" spans="9:28" x14ac:dyDescent="0.25">
      <c r="I321" s="3"/>
      <c r="J321" s="9"/>
      <c r="K321" s="11"/>
      <c r="M321" s="9"/>
      <c r="R321" s="3"/>
      <c r="S321" s="9"/>
      <c r="T321" s="11"/>
      <c r="U321" s="9"/>
      <c r="V321" s="11"/>
      <c r="W321" s="9"/>
      <c r="AA321" s="3"/>
      <c r="AB321" s="9"/>
    </row>
    <row r="322" spans="9:28" x14ac:dyDescent="0.25">
      <c r="I322" s="3"/>
      <c r="J322" s="9"/>
      <c r="K322" s="11"/>
      <c r="M322" s="9"/>
      <c r="R322" s="3"/>
      <c r="S322" s="9"/>
      <c r="T322" s="11"/>
      <c r="U322" s="9"/>
      <c r="V322" s="11"/>
      <c r="W322" s="9"/>
      <c r="AA322" s="3"/>
      <c r="AB322" s="9"/>
    </row>
    <row r="323" spans="9:28" x14ac:dyDescent="0.25">
      <c r="I323" s="3"/>
      <c r="J323" s="9"/>
      <c r="K323" s="11"/>
      <c r="M323" s="9"/>
      <c r="R323" s="3"/>
      <c r="S323" s="9"/>
      <c r="T323" s="11"/>
      <c r="U323" s="9"/>
      <c r="V323" s="11"/>
      <c r="W323" s="9"/>
      <c r="AA323" s="3"/>
      <c r="AB323" s="9"/>
    </row>
    <row r="324" spans="9:28" x14ac:dyDescent="0.25">
      <c r="I324" s="3"/>
      <c r="J324" s="9"/>
      <c r="K324" s="11"/>
      <c r="M324" s="9"/>
      <c r="R324" s="3"/>
      <c r="S324" s="9"/>
      <c r="T324" s="11"/>
      <c r="U324" s="9"/>
      <c r="V324" s="11"/>
      <c r="W324" s="9"/>
      <c r="AA324" s="3"/>
      <c r="AB324" s="9"/>
    </row>
    <row r="325" spans="9:28" x14ac:dyDescent="0.25">
      <c r="I325" s="3"/>
      <c r="J325" s="9"/>
      <c r="K325" s="11"/>
      <c r="M325" s="9"/>
      <c r="R325" s="3"/>
      <c r="S325" s="9"/>
      <c r="T325" s="11"/>
      <c r="U325" s="9"/>
      <c r="V325" s="11"/>
      <c r="W325" s="9"/>
      <c r="AA325" s="3"/>
      <c r="AB325" s="9"/>
    </row>
    <row r="326" spans="9:28" x14ac:dyDescent="0.25">
      <c r="I326" s="3"/>
      <c r="J326" s="9"/>
      <c r="K326" s="11"/>
      <c r="M326" s="9"/>
      <c r="R326" s="3"/>
      <c r="S326" s="9"/>
      <c r="T326" s="11"/>
      <c r="U326" s="9"/>
      <c r="V326" s="11"/>
      <c r="W326" s="9"/>
      <c r="AA326" s="3"/>
      <c r="AB326" s="9"/>
    </row>
    <row r="327" spans="9:28" x14ac:dyDescent="0.25">
      <c r="I327" s="3"/>
      <c r="J327" s="9"/>
      <c r="K327" s="11"/>
      <c r="M327" s="9"/>
      <c r="R327" s="3"/>
      <c r="S327" s="9"/>
      <c r="T327" s="11"/>
      <c r="U327" s="9"/>
      <c r="V327" s="11"/>
      <c r="W327" s="9"/>
      <c r="AA327" s="3"/>
      <c r="AB327" s="9"/>
    </row>
    <row r="328" spans="9:28" x14ac:dyDescent="0.25">
      <c r="I328" s="3"/>
      <c r="J328" s="9"/>
      <c r="K328" s="11"/>
      <c r="M328" s="9"/>
      <c r="R328" s="3"/>
      <c r="S328" s="9"/>
      <c r="T328" s="11"/>
      <c r="U328" s="9"/>
      <c r="V328" s="11"/>
      <c r="W328" s="9"/>
      <c r="AA328" s="3"/>
      <c r="AB328" s="9"/>
    </row>
    <row r="329" spans="9:28" x14ac:dyDescent="0.25">
      <c r="I329" s="3"/>
      <c r="J329" s="9"/>
      <c r="K329" s="11"/>
      <c r="M329" s="9"/>
      <c r="R329" s="3"/>
      <c r="S329" s="9"/>
      <c r="T329" s="11"/>
      <c r="U329" s="9"/>
      <c r="V329" s="11"/>
      <c r="W329" s="9"/>
      <c r="AA329" s="3"/>
      <c r="AB329" s="9"/>
    </row>
    <row r="330" spans="9:28" x14ac:dyDescent="0.25">
      <c r="I330" s="3"/>
      <c r="J330" s="9"/>
      <c r="K330" s="11"/>
      <c r="M330" s="9"/>
      <c r="R330" s="3"/>
      <c r="S330" s="9"/>
      <c r="T330" s="11"/>
      <c r="U330" s="9"/>
      <c r="V330" s="11"/>
      <c r="W330" s="9"/>
      <c r="AA330" s="3"/>
      <c r="AB330" s="9"/>
    </row>
    <row r="331" spans="9:28" x14ac:dyDescent="0.25">
      <c r="I331" s="3"/>
      <c r="J331" s="9"/>
      <c r="K331" s="11"/>
      <c r="M331" s="9"/>
      <c r="R331" s="3"/>
      <c r="S331" s="9"/>
      <c r="T331" s="11"/>
      <c r="U331" s="9"/>
      <c r="V331" s="11"/>
      <c r="W331" s="9"/>
      <c r="AA331" s="3"/>
      <c r="AB331" s="9"/>
    </row>
    <row r="332" spans="9:28" x14ac:dyDescent="0.25">
      <c r="I332" s="3"/>
      <c r="J332" s="9"/>
      <c r="K332" s="11"/>
      <c r="M332" s="9"/>
      <c r="R332" s="3"/>
      <c r="S332" s="9"/>
      <c r="T332" s="11"/>
      <c r="U332" s="9"/>
      <c r="V332" s="11"/>
      <c r="W332" s="9"/>
      <c r="AA332" s="3"/>
      <c r="AB332" s="9"/>
    </row>
    <row r="333" spans="9:28" x14ac:dyDescent="0.25">
      <c r="I333" s="3"/>
      <c r="J333" s="9"/>
      <c r="K333" s="11"/>
      <c r="M333" s="9"/>
      <c r="R333" s="3"/>
      <c r="S333" s="9"/>
      <c r="T333" s="11"/>
      <c r="U333" s="9"/>
      <c r="V333" s="11"/>
      <c r="W333" s="9"/>
      <c r="AA333" s="3"/>
      <c r="AB333" s="9"/>
    </row>
    <row r="334" spans="9:28" x14ac:dyDescent="0.25">
      <c r="I334" s="3"/>
      <c r="J334" s="9"/>
      <c r="K334" s="11"/>
      <c r="M334" s="9"/>
      <c r="R334" s="3"/>
      <c r="S334" s="9"/>
      <c r="T334" s="11"/>
      <c r="U334" s="9"/>
      <c r="V334" s="11"/>
      <c r="W334" s="9"/>
      <c r="AA334" s="3"/>
      <c r="AB334" s="9"/>
    </row>
    <row r="335" spans="9:28" x14ac:dyDescent="0.25">
      <c r="I335" s="3"/>
      <c r="J335" s="9"/>
      <c r="K335" s="11"/>
      <c r="M335" s="9"/>
      <c r="R335" s="3"/>
      <c r="S335" s="9"/>
      <c r="T335" s="11"/>
      <c r="U335" s="9"/>
      <c r="V335" s="11"/>
      <c r="W335" s="9"/>
      <c r="AA335" s="3"/>
      <c r="AB335" s="9"/>
    </row>
    <row r="336" spans="9:28" x14ac:dyDescent="0.25">
      <c r="I336" s="3"/>
      <c r="J336" s="9"/>
      <c r="K336" s="11"/>
      <c r="M336" s="9"/>
      <c r="R336" s="3"/>
      <c r="S336" s="9"/>
      <c r="T336" s="11"/>
      <c r="U336" s="9"/>
      <c r="V336" s="11"/>
      <c r="W336" s="9"/>
      <c r="AA336" s="3"/>
      <c r="AB336" s="9"/>
    </row>
    <row r="337" spans="9:28" x14ac:dyDescent="0.25">
      <c r="I337" s="3"/>
      <c r="J337" s="9"/>
      <c r="K337" s="11"/>
      <c r="M337" s="9"/>
      <c r="R337" s="3"/>
      <c r="S337" s="9"/>
      <c r="T337" s="11"/>
      <c r="U337" s="9"/>
      <c r="V337" s="11"/>
      <c r="W337" s="9"/>
      <c r="AA337" s="3"/>
      <c r="AB337" s="9"/>
    </row>
  </sheetData>
  <sortState xmlns:xlrd2="http://schemas.microsoft.com/office/spreadsheetml/2017/richdata2" ref="A2:AD145">
    <sortCondition ref="E2:E14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41A2-9E52-4866-8BD6-561CD773C7EC}">
  <dimension ref="A1:AD193"/>
  <sheetViews>
    <sheetView workbookViewId="0">
      <selection activeCell="F150" sqref="F150:L154"/>
    </sheetView>
  </sheetViews>
  <sheetFormatPr defaultRowHeight="15" x14ac:dyDescent="0.25"/>
  <cols>
    <col min="6" max="6" width="18.28515625" customWidth="1"/>
    <col min="12" max="12" width="9.140625" style="3"/>
  </cols>
  <sheetData>
    <row r="1" spans="1:29" ht="15.75" customHeight="1" x14ac:dyDescent="0.25">
      <c r="G1" t="s">
        <v>40</v>
      </c>
      <c r="H1" t="s">
        <v>41</v>
      </c>
      <c r="I1" s="3" t="s">
        <v>42</v>
      </c>
      <c r="J1" s="9" t="s">
        <v>49</v>
      </c>
      <c r="K1" s="11" t="s">
        <v>52</v>
      </c>
      <c r="L1" s="9" t="s">
        <v>53</v>
      </c>
      <c r="P1" t="s">
        <v>38</v>
      </c>
      <c r="Q1" t="s">
        <v>37</v>
      </c>
      <c r="R1" t="s">
        <v>39</v>
      </c>
      <c r="S1" s="9" t="s">
        <v>50</v>
      </c>
      <c r="T1" s="11" t="s">
        <v>52</v>
      </c>
      <c r="U1" s="9" t="s">
        <v>54</v>
      </c>
      <c r="V1" s="11"/>
      <c r="Y1" t="s">
        <v>43</v>
      </c>
      <c r="Z1" t="s">
        <v>44</v>
      </c>
      <c r="AA1" s="3" t="s">
        <v>45</v>
      </c>
      <c r="AB1" s="9" t="s">
        <v>51</v>
      </c>
      <c r="AC1" s="11" t="s">
        <v>52</v>
      </c>
    </row>
    <row r="2" spans="1:29" x14ac:dyDescent="0.25">
      <c r="A2" t="s">
        <v>47</v>
      </c>
      <c r="B2" t="s">
        <v>0</v>
      </c>
      <c r="C2">
        <v>64</v>
      </c>
      <c r="D2">
        <v>129</v>
      </c>
      <c r="E2">
        <v>1</v>
      </c>
      <c r="F2" t="s">
        <v>6</v>
      </c>
      <c r="G2">
        <v>772</v>
      </c>
      <c r="H2">
        <v>202</v>
      </c>
      <c r="I2" s="3">
        <v>14.98</v>
      </c>
      <c r="J2" s="9">
        <v>0.22972972972972974</v>
      </c>
      <c r="K2" s="11"/>
      <c r="M2" s="9"/>
      <c r="O2">
        <v>129</v>
      </c>
      <c r="P2">
        <v>774</v>
      </c>
      <c r="Q2">
        <v>218</v>
      </c>
      <c r="R2" s="3">
        <v>13.6</v>
      </c>
      <c r="S2" s="9">
        <v>0.25067385444743934</v>
      </c>
      <c r="T2" s="11"/>
      <c r="U2" s="9"/>
      <c r="V2" s="11"/>
      <c r="W2" s="9"/>
      <c r="X2">
        <v>129</v>
      </c>
      <c r="Y2">
        <v>898</v>
      </c>
      <c r="Z2">
        <v>238</v>
      </c>
      <c r="AA2" s="3">
        <v>11.02</v>
      </c>
      <c r="AB2" s="9">
        <v>0.23787528868360278</v>
      </c>
    </row>
    <row r="3" spans="1:29" x14ac:dyDescent="0.25">
      <c r="A3" t="s">
        <v>47</v>
      </c>
      <c r="B3" t="s">
        <v>0</v>
      </c>
      <c r="C3">
        <v>64</v>
      </c>
      <c r="D3">
        <v>218</v>
      </c>
      <c r="E3">
        <v>1</v>
      </c>
      <c r="F3" t="s">
        <v>6</v>
      </c>
      <c r="I3" s="3">
        <v>17.5</v>
      </c>
      <c r="J3" s="9">
        <v>0.22562674094707522</v>
      </c>
      <c r="K3" s="11">
        <v>129</v>
      </c>
      <c r="L3" s="3">
        <f>(I3+(((K3-32)/454)/J3))</f>
        <v>18.446946211997606</v>
      </c>
      <c r="M3" s="9"/>
      <c r="O3">
        <v>218</v>
      </c>
      <c r="R3" s="3">
        <v>15.66</v>
      </c>
      <c r="S3" s="9">
        <v>0.2428035043804756</v>
      </c>
      <c r="T3" s="11">
        <v>105</v>
      </c>
      <c r="U3" s="3">
        <f>(R3+(((T3-32)/454)/S3))</f>
        <v>16.322234888051227</v>
      </c>
      <c r="V3" s="11"/>
      <c r="W3" s="9"/>
      <c r="X3">
        <v>218</v>
      </c>
      <c r="AA3" s="3">
        <v>12.78</v>
      </c>
      <c r="AB3" s="9">
        <v>0.23404255319148937</v>
      </c>
    </row>
    <row r="4" spans="1:29" x14ac:dyDescent="0.25">
      <c r="A4" t="s">
        <v>47</v>
      </c>
      <c r="B4" t="s">
        <v>0</v>
      </c>
      <c r="C4">
        <v>64</v>
      </c>
      <c r="D4">
        <v>335</v>
      </c>
      <c r="E4">
        <v>1</v>
      </c>
      <c r="F4" t="s">
        <v>6</v>
      </c>
      <c r="I4" s="3">
        <v>17.32</v>
      </c>
      <c r="J4" s="9">
        <v>0.2257617728531856</v>
      </c>
      <c r="K4" s="11">
        <v>117</v>
      </c>
      <c r="L4" s="3">
        <f>(I4+(((K4-32)/454)/J4))</f>
        <v>18.149301910759171</v>
      </c>
      <c r="M4" s="9"/>
      <c r="O4">
        <v>335</v>
      </c>
      <c r="R4" s="3">
        <v>14.08</v>
      </c>
      <c r="S4" s="9">
        <v>0.26417910447761195</v>
      </c>
      <c r="T4" s="11">
        <v>204</v>
      </c>
      <c r="U4" s="3">
        <f>(R4+(((T4-32)/454)/S4))</f>
        <v>15.514082480897981</v>
      </c>
      <c r="V4" s="11"/>
      <c r="W4" s="9"/>
      <c r="X4">
        <v>335</v>
      </c>
      <c r="AA4" s="3">
        <v>11.04</v>
      </c>
      <c r="AB4" s="9">
        <v>0.23102866779089376</v>
      </c>
    </row>
    <row r="5" spans="1:29" x14ac:dyDescent="0.25">
      <c r="A5" t="s">
        <v>47</v>
      </c>
      <c r="B5" t="s">
        <v>0</v>
      </c>
      <c r="C5">
        <v>64</v>
      </c>
      <c r="D5">
        <v>447</v>
      </c>
      <c r="E5">
        <v>1</v>
      </c>
      <c r="F5" t="s">
        <v>6</v>
      </c>
      <c r="I5" s="3">
        <v>16.36</v>
      </c>
      <c r="J5" s="9">
        <v>0.22740963855421686</v>
      </c>
      <c r="K5" s="11"/>
      <c r="M5" s="9"/>
      <c r="O5">
        <v>447</v>
      </c>
      <c r="R5" s="3">
        <v>13.2</v>
      </c>
      <c r="S5" s="9">
        <v>0.27284427284427282</v>
      </c>
      <c r="T5" s="11"/>
      <c r="U5" s="9"/>
      <c r="V5" s="11"/>
      <c r="W5" s="9"/>
      <c r="X5">
        <v>447</v>
      </c>
      <c r="AA5" s="3">
        <v>11.04</v>
      </c>
      <c r="AB5" s="9">
        <v>0.23162939297124602</v>
      </c>
    </row>
    <row r="6" spans="1:29" x14ac:dyDescent="0.25">
      <c r="A6" t="s">
        <v>47</v>
      </c>
      <c r="B6" t="s">
        <v>0</v>
      </c>
      <c r="C6">
        <v>64</v>
      </c>
      <c r="D6">
        <v>148</v>
      </c>
      <c r="E6">
        <v>2</v>
      </c>
      <c r="F6" t="s">
        <v>4</v>
      </c>
      <c r="I6" s="3">
        <v>19.600000000000001</v>
      </c>
      <c r="J6" s="9">
        <v>0.22327044025157233</v>
      </c>
      <c r="K6" s="11"/>
      <c r="M6" s="9"/>
      <c r="O6">
        <v>148</v>
      </c>
      <c r="R6" s="3">
        <v>16.46</v>
      </c>
      <c r="S6" s="9">
        <v>0.24697754749568221</v>
      </c>
      <c r="T6" s="11"/>
      <c r="U6" s="9"/>
      <c r="V6" s="11"/>
      <c r="W6" s="9"/>
      <c r="X6">
        <v>148</v>
      </c>
      <c r="AA6" s="3">
        <v>11.18</v>
      </c>
      <c r="AB6" s="9">
        <v>0.22948328267477203</v>
      </c>
    </row>
    <row r="7" spans="1:29" x14ac:dyDescent="0.25">
      <c r="A7" t="s">
        <v>47</v>
      </c>
      <c r="B7" t="s">
        <v>0</v>
      </c>
      <c r="C7">
        <v>64</v>
      </c>
      <c r="D7">
        <v>225</v>
      </c>
      <c r="E7">
        <v>2</v>
      </c>
      <c r="F7" t="s">
        <v>4</v>
      </c>
      <c r="G7">
        <v>597</v>
      </c>
      <c r="H7">
        <v>152</v>
      </c>
      <c r="I7" s="3">
        <v>19.38</v>
      </c>
      <c r="J7" s="9">
        <v>0.21238938053097345</v>
      </c>
      <c r="K7" s="11">
        <v>122</v>
      </c>
      <c r="L7" s="3">
        <f>(I7+(((K7-32)/454)/J7))</f>
        <v>20.313370044052864</v>
      </c>
      <c r="M7" s="9"/>
      <c r="O7">
        <v>225</v>
      </c>
      <c r="P7">
        <v>563</v>
      </c>
      <c r="Q7">
        <v>163</v>
      </c>
      <c r="R7" s="3">
        <v>14.12</v>
      </c>
      <c r="S7" s="9">
        <v>0.24670433145009416</v>
      </c>
      <c r="T7" s="11">
        <v>145</v>
      </c>
      <c r="U7" s="3">
        <f>(R7+(((T7-32)/454)/S7))</f>
        <v>15.128894643037293</v>
      </c>
      <c r="V7" s="11"/>
      <c r="W7" s="9"/>
      <c r="X7">
        <v>225</v>
      </c>
      <c r="Y7">
        <v>700</v>
      </c>
      <c r="Z7">
        <v>195</v>
      </c>
      <c r="AA7" s="3">
        <v>12.92</v>
      </c>
      <c r="AB7" s="9">
        <v>0.2440119760479042</v>
      </c>
    </row>
    <row r="8" spans="1:29" x14ac:dyDescent="0.25">
      <c r="A8" t="s">
        <v>47</v>
      </c>
      <c r="B8" t="s">
        <v>0</v>
      </c>
      <c r="C8">
        <v>64</v>
      </c>
      <c r="D8">
        <v>315</v>
      </c>
      <c r="E8">
        <v>2</v>
      </c>
      <c r="F8" t="s">
        <v>4</v>
      </c>
      <c r="I8" s="3">
        <v>20</v>
      </c>
      <c r="J8" s="9">
        <v>0.21588366890380314</v>
      </c>
      <c r="K8" s="11">
        <v>103</v>
      </c>
      <c r="L8" s="3">
        <f>(I8+(((K8-32)/454)/J8))</f>
        <v>20.72440711236904</v>
      </c>
      <c r="M8" s="9"/>
      <c r="O8">
        <v>315</v>
      </c>
      <c r="R8" s="3">
        <v>14.64</v>
      </c>
      <c r="S8" s="9">
        <v>0.24670433145009416</v>
      </c>
      <c r="T8" s="11">
        <v>143</v>
      </c>
      <c r="U8" s="3">
        <f>(R8+(((T8-32)/454)/S8))</f>
        <v>15.631038100682652</v>
      </c>
      <c r="V8" s="11"/>
      <c r="W8" s="9"/>
      <c r="X8">
        <v>315</v>
      </c>
      <c r="AA8" s="3">
        <v>12.88</v>
      </c>
      <c r="AB8" s="9">
        <v>0.2282051282051282</v>
      </c>
    </row>
    <row r="9" spans="1:29" x14ac:dyDescent="0.25">
      <c r="A9" t="s">
        <v>47</v>
      </c>
      <c r="B9" t="s">
        <v>0</v>
      </c>
      <c r="C9">
        <v>64</v>
      </c>
      <c r="D9">
        <v>440</v>
      </c>
      <c r="E9">
        <v>2</v>
      </c>
      <c r="F9" t="s">
        <v>4</v>
      </c>
      <c r="I9" s="3">
        <v>18.22</v>
      </c>
      <c r="J9" s="9">
        <v>0.23502304147465439</v>
      </c>
      <c r="K9" s="11"/>
      <c r="M9" s="9"/>
      <c r="O9">
        <v>440</v>
      </c>
      <c r="R9" s="3">
        <v>14.3</v>
      </c>
      <c r="S9" s="9">
        <v>0.2560747663551402</v>
      </c>
      <c r="T9" s="11"/>
      <c r="U9" s="9"/>
      <c r="V9" s="11"/>
      <c r="W9" s="9"/>
      <c r="X9">
        <v>440</v>
      </c>
      <c r="AA9" s="3">
        <v>12.64</v>
      </c>
      <c r="AB9" s="9">
        <v>0.22727272727272727</v>
      </c>
    </row>
    <row r="10" spans="1:29" x14ac:dyDescent="0.25">
      <c r="A10" t="s">
        <v>47</v>
      </c>
      <c r="B10" t="s">
        <v>0</v>
      </c>
      <c r="C10">
        <v>64</v>
      </c>
      <c r="D10">
        <v>119</v>
      </c>
      <c r="E10">
        <v>3</v>
      </c>
      <c r="F10" t="s">
        <v>3</v>
      </c>
      <c r="I10" s="3">
        <v>18.98</v>
      </c>
      <c r="J10" s="9">
        <v>0.22538860103626943</v>
      </c>
      <c r="K10" s="11"/>
      <c r="M10" s="9"/>
      <c r="O10">
        <v>119</v>
      </c>
      <c r="R10" s="3">
        <v>12.76</v>
      </c>
      <c r="S10" s="9">
        <v>0.25265957446808512</v>
      </c>
      <c r="T10" s="11"/>
      <c r="U10" s="9"/>
      <c r="V10" s="11"/>
      <c r="W10" s="9"/>
      <c r="X10">
        <v>119</v>
      </c>
      <c r="AA10" s="3">
        <v>10.76</v>
      </c>
      <c r="AB10" s="9">
        <v>0.22522522522522523</v>
      </c>
    </row>
    <row r="11" spans="1:29" x14ac:dyDescent="0.25">
      <c r="A11" t="s">
        <v>47</v>
      </c>
      <c r="B11" t="s">
        <v>0</v>
      </c>
      <c r="C11">
        <v>64</v>
      </c>
      <c r="D11">
        <v>239</v>
      </c>
      <c r="E11">
        <v>3</v>
      </c>
      <c r="F11" t="s">
        <v>3</v>
      </c>
      <c r="I11" s="3">
        <v>13.1</v>
      </c>
      <c r="J11" s="9">
        <v>0.21359223300970873</v>
      </c>
      <c r="K11" s="11">
        <v>124</v>
      </c>
      <c r="L11" s="3">
        <f>(I11+(((K11-32)/454)/J11))</f>
        <v>14.048738486183419</v>
      </c>
      <c r="M11" s="9"/>
      <c r="O11">
        <v>239</v>
      </c>
      <c r="R11" s="3">
        <v>9.6199999999999992</v>
      </c>
      <c r="S11" s="9">
        <v>0.24634146341463414</v>
      </c>
      <c r="T11" s="11">
        <v>131</v>
      </c>
      <c r="U11" s="3">
        <f>(R11+(((T11-32)/454)/S11))</f>
        <v>10.505200854887249</v>
      </c>
      <c r="V11" s="11"/>
      <c r="W11" s="9"/>
      <c r="X11">
        <v>239</v>
      </c>
      <c r="AA11" s="3">
        <v>8.66</v>
      </c>
      <c r="AB11" s="9">
        <v>0.23706176961602671</v>
      </c>
    </row>
    <row r="12" spans="1:29" x14ac:dyDescent="0.25">
      <c r="A12" t="s">
        <v>47</v>
      </c>
      <c r="B12" t="s">
        <v>0</v>
      </c>
      <c r="C12">
        <v>64</v>
      </c>
      <c r="D12">
        <v>326</v>
      </c>
      <c r="E12">
        <v>3</v>
      </c>
      <c r="F12" t="s">
        <v>3</v>
      </c>
      <c r="I12" s="3">
        <v>13.96</v>
      </c>
      <c r="J12" s="9">
        <v>0.23474801061007958</v>
      </c>
      <c r="K12" s="11">
        <v>90</v>
      </c>
      <c r="L12" s="3">
        <f>(I12+(((K12-32)/454)/J12))</f>
        <v>14.504214639488291</v>
      </c>
      <c r="M12" s="9"/>
      <c r="O12">
        <v>326</v>
      </c>
      <c r="R12" s="3">
        <v>10.98</v>
      </c>
      <c r="S12" s="9">
        <v>0.24504084014002334</v>
      </c>
      <c r="T12" s="11">
        <v>157</v>
      </c>
      <c r="U12" s="3">
        <f>(R12+(((T12-32)/454)/S12))</f>
        <v>12.103610237046361</v>
      </c>
      <c r="V12" s="11"/>
      <c r="W12" s="9"/>
      <c r="X12">
        <v>326</v>
      </c>
      <c r="AA12" s="3">
        <v>9.86</v>
      </c>
      <c r="AB12" s="9">
        <v>0.25127334465195245</v>
      </c>
    </row>
    <row r="13" spans="1:29" x14ac:dyDescent="0.25">
      <c r="A13" t="s">
        <v>47</v>
      </c>
      <c r="B13" t="s">
        <v>0</v>
      </c>
      <c r="C13">
        <v>64</v>
      </c>
      <c r="D13">
        <v>424</v>
      </c>
      <c r="E13">
        <v>3</v>
      </c>
      <c r="F13" t="s">
        <v>3</v>
      </c>
      <c r="I13" s="3">
        <v>16.579999999999998</v>
      </c>
      <c r="J13" s="9">
        <v>0.21772151898734177</v>
      </c>
      <c r="K13" s="11"/>
      <c r="M13" s="9"/>
      <c r="O13">
        <v>424</v>
      </c>
      <c r="R13" s="3">
        <v>12.98</v>
      </c>
      <c r="S13" s="9">
        <v>0.24462809917355371</v>
      </c>
      <c r="T13" s="11"/>
      <c r="U13" s="9"/>
      <c r="V13" s="11"/>
      <c r="W13" s="9"/>
      <c r="X13">
        <v>424</v>
      </c>
      <c r="AA13" s="3">
        <v>11.38</v>
      </c>
      <c r="AB13" s="9">
        <v>0.2283464566929134</v>
      </c>
    </row>
    <row r="14" spans="1:29" x14ac:dyDescent="0.25">
      <c r="A14" t="s">
        <v>47</v>
      </c>
      <c r="B14" t="s">
        <v>0</v>
      </c>
      <c r="C14">
        <v>64</v>
      </c>
      <c r="D14">
        <v>132</v>
      </c>
      <c r="E14">
        <v>4</v>
      </c>
      <c r="F14" t="s">
        <v>2</v>
      </c>
      <c r="I14" s="3">
        <v>14.9</v>
      </c>
      <c r="J14" s="9">
        <v>0.22972972972972974</v>
      </c>
      <c r="K14" s="11"/>
      <c r="M14" s="9"/>
      <c r="O14">
        <v>132</v>
      </c>
      <c r="R14" s="3">
        <v>11.56</v>
      </c>
      <c r="S14" s="9">
        <v>0.25067385444743934</v>
      </c>
      <c r="T14" s="11"/>
      <c r="U14" s="9"/>
      <c r="V14" s="11"/>
      <c r="W14" s="9"/>
      <c r="X14">
        <v>132</v>
      </c>
      <c r="AA14" s="3">
        <v>9.74</v>
      </c>
      <c r="AB14" s="9">
        <v>0.23787528868360278</v>
      </c>
    </row>
    <row r="15" spans="1:29" x14ac:dyDescent="0.25">
      <c r="A15" t="s">
        <v>47</v>
      </c>
      <c r="B15" t="s">
        <v>0</v>
      </c>
      <c r="C15">
        <v>64</v>
      </c>
      <c r="D15">
        <v>245</v>
      </c>
      <c r="E15">
        <v>4</v>
      </c>
      <c r="F15" t="s">
        <v>2</v>
      </c>
      <c r="G15">
        <v>637</v>
      </c>
      <c r="H15">
        <v>165</v>
      </c>
      <c r="I15" s="3">
        <v>16.62</v>
      </c>
      <c r="J15" s="9">
        <v>0.21983471074380165</v>
      </c>
      <c r="K15" s="11">
        <v>74</v>
      </c>
      <c r="L15" s="3">
        <f>(I15+(((K15-32)/454)/J15))</f>
        <v>17.04082077440297</v>
      </c>
      <c r="M15" s="9"/>
      <c r="O15">
        <v>245</v>
      </c>
      <c r="P15">
        <v>650</v>
      </c>
      <c r="Q15">
        <v>186</v>
      </c>
      <c r="R15" s="3">
        <v>11.12</v>
      </c>
      <c r="S15" s="9">
        <v>0.24919093851132687</v>
      </c>
      <c r="T15" s="11">
        <v>202</v>
      </c>
      <c r="U15" s="3">
        <f>(R15+(((T15-32)/454)/S15))</f>
        <v>12.622660335259454</v>
      </c>
      <c r="V15" s="11"/>
      <c r="W15" s="9"/>
      <c r="X15">
        <v>245</v>
      </c>
      <c r="Y15">
        <v>655</v>
      </c>
      <c r="Z15">
        <v>181</v>
      </c>
      <c r="AA15" s="3">
        <v>10.68</v>
      </c>
      <c r="AB15" s="9">
        <v>0.2391653290529695</v>
      </c>
    </row>
    <row r="16" spans="1:29" x14ac:dyDescent="0.25">
      <c r="A16" t="s">
        <v>47</v>
      </c>
      <c r="B16" t="s">
        <v>0</v>
      </c>
      <c r="C16">
        <v>64</v>
      </c>
      <c r="D16">
        <v>313</v>
      </c>
      <c r="E16">
        <v>4</v>
      </c>
      <c r="F16" t="s">
        <v>2</v>
      </c>
      <c r="G16">
        <v>926</v>
      </c>
      <c r="H16">
        <v>225</v>
      </c>
      <c r="I16" s="3">
        <v>16.260000000000002</v>
      </c>
      <c r="J16" s="9">
        <v>0.21588366890380314</v>
      </c>
      <c r="K16" s="11">
        <v>79</v>
      </c>
      <c r="L16" s="3">
        <f>(I16+(((K16-32)/454)/J16))</f>
        <v>16.739537102554156</v>
      </c>
      <c r="M16" s="9"/>
      <c r="O16">
        <v>313</v>
      </c>
      <c r="P16">
        <v>563</v>
      </c>
      <c r="Q16">
        <v>163</v>
      </c>
      <c r="R16" s="3">
        <v>13.46</v>
      </c>
      <c r="S16" s="9">
        <v>0.24670433145009416</v>
      </c>
      <c r="T16" s="11">
        <v>141</v>
      </c>
      <c r="U16" s="3">
        <f>(R16+(((T16-32)/454)/S16))</f>
        <v>14.433181558328009</v>
      </c>
      <c r="V16" s="11"/>
      <c r="W16" s="9"/>
      <c r="X16">
        <v>313</v>
      </c>
      <c r="Y16">
        <v>812</v>
      </c>
      <c r="Z16">
        <v>210</v>
      </c>
      <c r="AA16" s="3">
        <v>11.62</v>
      </c>
      <c r="AB16" s="9">
        <v>0.2282051282051282</v>
      </c>
    </row>
    <row r="17" spans="1:28" x14ac:dyDescent="0.25">
      <c r="A17" t="s">
        <v>47</v>
      </c>
      <c r="B17" t="s">
        <v>0</v>
      </c>
      <c r="C17">
        <v>64</v>
      </c>
      <c r="D17">
        <v>423</v>
      </c>
      <c r="E17">
        <v>4</v>
      </c>
      <c r="F17" t="s">
        <v>2</v>
      </c>
      <c r="I17" s="3">
        <v>13</v>
      </c>
      <c r="J17" s="9">
        <v>0.21772151898734177</v>
      </c>
      <c r="K17" s="11"/>
      <c r="M17" s="9"/>
      <c r="O17">
        <v>423</v>
      </c>
      <c r="R17" s="3">
        <v>11.18</v>
      </c>
      <c r="S17" s="9">
        <v>0.24462809917355371</v>
      </c>
      <c r="T17" s="11"/>
      <c r="U17" s="9"/>
      <c r="V17" s="11"/>
      <c r="W17" s="9"/>
      <c r="X17">
        <v>423</v>
      </c>
      <c r="AA17" s="3">
        <v>11.1</v>
      </c>
      <c r="AB17" s="9">
        <v>0.2283464566929134</v>
      </c>
    </row>
    <row r="18" spans="1:28" x14ac:dyDescent="0.25">
      <c r="A18" t="s">
        <v>47</v>
      </c>
      <c r="B18" t="s">
        <v>0</v>
      </c>
      <c r="C18">
        <v>64</v>
      </c>
      <c r="D18">
        <v>127</v>
      </c>
      <c r="E18">
        <v>5</v>
      </c>
      <c r="F18" t="s">
        <v>5</v>
      </c>
      <c r="I18" s="3">
        <v>15.58</v>
      </c>
      <c r="J18" s="9">
        <v>0.21723518850987433</v>
      </c>
      <c r="K18" s="11"/>
      <c r="M18" s="9"/>
      <c r="O18">
        <v>127</v>
      </c>
      <c r="R18" s="3">
        <v>14.52</v>
      </c>
      <c r="S18" s="9">
        <v>0.23345817727840198</v>
      </c>
      <c r="T18" s="11"/>
      <c r="U18" s="9"/>
      <c r="V18" s="11"/>
      <c r="W18" s="9"/>
      <c r="X18">
        <v>127</v>
      </c>
      <c r="AA18" s="3">
        <v>9.8800000000000008</v>
      </c>
      <c r="AB18" s="9">
        <v>0.23018867924528302</v>
      </c>
    </row>
    <row r="19" spans="1:28" x14ac:dyDescent="0.25">
      <c r="A19" t="s">
        <v>47</v>
      </c>
      <c r="B19" t="s">
        <v>0</v>
      </c>
      <c r="C19">
        <v>64</v>
      </c>
      <c r="D19">
        <v>240</v>
      </c>
      <c r="E19">
        <v>5</v>
      </c>
      <c r="F19" t="s">
        <v>5</v>
      </c>
      <c r="I19" s="3">
        <v>16.46</v>
      </c>
      <c r="J19" s="9">
        <v>0.21359223300970873</v>
      </c>
      <c r="K19" s="11">
        <v>102</v>
      </c>
      <c r="L19" s="3">
        <f>(I19+(((K19-32)/454)/J19))</f>
        <v>17.181866239487384</v>
      </c>
      <c r="M19" s="9"/>
      <c r="O19">
        <v>240</v>
      </c>
      <c r="R19" s="3">
        <v>13.42</v>
      </c>
      <c r="S19" s="9">
        <v>0.24634146341463414</v>
      </c>
      <c r="T19" s="11">
        <v>174</v>
      </c>
      <c r="U19" s="3">
        <f>(R19+(((T19-32)/454)/S19))</f>
        <v>14.689682034282724</v>
      </c>
      <c r="V19" s="11"/>
      <c r="W19" s="9"/>
      <c r="X19">
        <v>240</v>
      </c>
      <c r="AA19" s="3">
        <v>9.7200000000000006</v>
      </c>
      <c r="AB19" s="9">
        <v>0.23706176961602671</v>
      </c>
    </row>
    <row r="20" spans="1:28" x14ac:dyDescent="0.25">
      <c r="A20" t="s">
        <v>47</v>
      </c>
      <c r="B20" t="s">
        <v>0</v>
      </c>
      <c r="C20">
        <v>64</v>
      </c>
      <c r="D20">
        <v>316</v>
      </c>
      <c r="E20">
        <v>5</v>
      </c>
      <c r="F20" t="s">
        <v>5</v>
      </c>
      <c r="I20" s="3">
        <v>15.62</v>
      </c>
      <c r="J20" s="9">
        <v>0.21588366890380314</v>
      </c>
      <c r="K20" s="11">
        <v>87</v>
      </c>
      <c r="L20" s="3">
        <f>(I20+(((K20-32)/454)/J20))</f>
        <v>16.181160439159115</v>
      </c>
      <c r="M20" s="9"/>
      <c r="O20">
        <v>316</v>
      </c>
      <c r="R20" s="3">
        <v>14.2</v>
      </c>
      <c r="S20" s="9">
        <v>0.24670433145009416</v>
      </c>
      <c r="T20" s="11">
        <v>147</v>
      </c>
      <c r="U20" s="3">
        <f>(R20+(((T20-32)/454)/S20))</f>
        <v>15.226751185391935</v>
      </c>
      <c r="V20" s="11"/>
      <c r="W20" s="9"/>
      <c r="X20">
        <v>316</v>
      </c>
      <c r="AA20" s="3">
        <v>10.28</v>
      </c>
      <c r="AB20" s="9">
        <v>0.2282051282051282</v>
      </c>
    </row>
    <row r="21" spans="1:28" x14ac:dyDescent="0.25">
      <c r="A21" t="s">
        <v>47</v>
      </c>
      <c r="B21" t="s">
        <v>0</v>
      </c>
      <c r="C21">
        <v>64</v>
      </c>
      <c r="D21">
        <v>317</v>
      </c>
      <c r="E21">
        <v>5</v>
      </c>
      <c r="F21" t="s">
        <v>5</v>
      </c>
      <c r="G21">
        <v>853</v>
      </c>
      <c r="H21">
        <v>216</v>
      </c>
      <c r="I21" s="3">
        <v>14.8</v>
      </c>
      <c r="J21" s="9">
        <v>0.22411693057247259</v>
      </c>
      <c r="K21" s="11">
        <v>121</v>
      </c>
      <c r="L21" s="3">
        <f>(I21+(((K21-32)/454)/J21))</f>
        <v>15.674700727829919</v>
      </c>
      <c r="M21" s="9"/>
      <c r="O21">
        <v>317</v>
      </c>
      <c r="P21">
        <v>599</v>
      </c>
      <c r="Q21">
        <v>164</v>
      </c>
      <c r="R21" s="3">
        <v>13.8</v>
      </c>
      <c r="S21" s="9">
        <v>0.23280423280423279</v>
      </c>
      <c r="T21" s="11">
        <v>132</v>
      </c>
      <c r="U21" s="3">
        <f>(R21+(((T21-32)/454)/S21))</f>
        <v>14.746135362434922</v>
      </c>
      <c r="V21" s="11"/>
      <c r="W21" s="9"/>
      <c r="X21">
        <v>317</v>
      </c>
      <c r="Y21">
        <v>726</v>
      </c>
      <c r="Z21">
        <v>185</v>
      </c>
      <c r="AA21" s="3">
        <v>9.9600000000000009</v>
      </c>
      <c r="AB21" s="9">
        <v>0.22046109510086456</v>
      </c>
    </row>
    <row r="22" spans="1:28" x14ac:dyDescent="0.25">
      <c r="A22" t="s">
        <v>47</v>
      </c>
      <c r="B22" t="s">
        <v>0</v>
      </c>
      <c r="C22">
        <v>64</v>
      </c>
      <c r="D22">
        <v>430</v>
      </c>
      <c r="E22">
        <v>5</v>
      </c>
      <c r="F22" t="s">
        <v>5</v>
      </c>
      <c r="I22" s="3">
        <v>14.94</v>
      </c>
      <c r="J22" s="9">
        <v>0.2292418772563177</v>
      </c>
      <c r="K22" s="11"/>
      <c r="M22" s="9"/>
      <c r="O22">
        <v>430</v>
      </c>
      <c r="R22" s="3">
        <v>11.9</v>
      </c>
      <c r="S22" s="9">
        <v>0.26027397260273971</v>
      </c>
      <c r="T22" s="11"/>
      <c r="U22" s="9"/>
      <c r="V22" s="11"/>
      <c r="W22" s="9"/>
      <c r="X22">
        <v>430</v>
      </c>
      <c r="AA22" s="3">
        <v>10.66</v>
      </c>
      <c r="AB22" s="9">
        <v>0.2288488210818308</v>
      </c>
    </row>
    <row r="23" spans="1:28" x14ac:dyDescent="0.25">
      <c r="A23" t="s">
        <v>47</v>
      </c>
      <c r="B23" t="s">
        <v>0</v>
      </c>
      <c r="C23">
        <v>64</v>
      </c>
      <c r="D23">
        <v>432</v>
      </c>
      <c r="E23">
        <v>5</v>
      </c>
      <c r="F23" t="s">
        <v>5</v>
      </c>
      <c r="I23" s="3">
        <v>13.86</v>
      </c>
      <c r="J23" s="9">
        <v>0.2292418772563177</v>
      </c>
      <c r="K23" s="11"/>
      <c r="M23" s="9"/>
      <c r="O23">
        <v>432</v>
      </c>
      <c r="R23" s="3">
        <v>11.82</v>
      </c>
      <c r="S23" s="9">
        <v>0.26027397260273971</v>
      </c>
      <c r="T23" s="11"/>
      <c r="U23" s="9"/>
      <c r="V23" s="11"/>
      <c r="W23" s="9"/>
      <c r="X23">
        <v>432</v>
      </c>
      <c r="AA23" s="3">
        <v>10.66</v>
      </c>
      <c r="AB23" s="9">
        <v>0.2288488210818308</v>
      </c>
    </row>
    <row r="24" spans="1:28" x14ac:dyDescent="0.25">
      <c r="A24" t="s">
        <v>47</v>
      </c>
      <c r="B24" t="s">
        <v>0</v>
      </c>
      <c r="C24">
        <v>64</v>
      </c>
      <c r="D24">
        <v>121</v>
      </c>
      <c r="E24">
        <v>6</v>
      </c>
      <c r="F24" t="s">
        <v>1</v>
      </c>
      <c r="G24">
        <v>730</v>
      </c>
      <c r="H24">
        <v>184</v>
      </c>
      <c r="I24" s="3">
        <v>16.62</v>
      </c>
      <c r="J24" s="9">
        <v>0.2177650429799427</v>
      </c>
      <c r="K24" s="11"/>
      <c r="M24" s="9"/>
      <c r="O24">
        <v>121</v>
      </c>
      <c r="P24">
        <v>659</v>
      </c>
      <c r="Q24">
        <v>187</v>
      </c>
      <c r="R24" s="3">
        <v>14.44</v>
      </c>
      <c r="S24" s="9">
        <v>0.24720893141945774</v>
      </c>
      <c r="T24" s="11"/>
      <c r="U24" s="9"/>
      <c r="V24" s="11"/>
      <c r="W24" s="9"/>
      <c r="X24">
        <v>121</v>
      </c>
      <c r="Y24">
        <v>780</v>
      </c>
      <c r="Z24">
        <v>203</v>
      </c>
      <c r="AA24" s="3">
        <v>10.48</v>
      </c>
      <c r="AB24" s="9">
        <v>0.2286096256684492</v>
      </c>
    </row>
    <row r="25" spans="1:28" x14ac:dyDescent="0.25">
      <c r="A25" t="s">
        <v>47</v>
      </c>
      <c r="B25" t="s">
        <v>0</v>
      </c>
      <c r="C25">
        <v>64</v>
      </c>
      <c r="D25">
        <v>213</v>
      </c>
      <c r="E25">
        <v>6</v>
      </c>
      <c r="F25" t="s">
        <v>1</v>
      </c>
      <c r="G25">
        <v>520</v>
      </c>
      <c r="H25">
        <v>144</v>
      </c>
      <c r="I25" s="3">
        <v>15.28</v>
      </c>
      <c r="J25" s="9">
        <v>0.22950819672131148</v>
      </c>
      <c r="K25" s="11">
        <v>132</v>
      </c>
      <c r="L25" s="3">
        <f>(I25+(((K25-32)/454)/J25))</f>
        <v>16.239723096286973</v>
      </c>
      <c r="M25" s="9"/>
      <c r="O25">
        <v>213</v>
      </c>
      <c r="P25">
        <v>571</v>
      </c>
      <c r="Q25">
        <v>162</v>
      </c>
      <c r="R25" s="3">
        <v>13.98</v>
      </c>
      <c r="S25" s="9">
        <v>0.24118738404452691</v>
      </c>
      <c r="T25" s="11">
        <v>124</v>
      </c>
      <c r="U25" s="3">
        <f>(R25+(((T25-32)/454)/S25))</f>
        <v>14.820189766180956</v>
      </c>
      <c r="V25" s="11"/>
      <c r="W25" s="9"/>
      <c r="X25">
        <v>213</v>
      </c>
      <c r="Y25">
        <v>800</v>
      </c>
      <c r="Z25">
        <v>211</v>
      </c>
      <c r="AA25" s="3">
        <v>10.52</v>
      </c>
      <c r="AB25" s="9">
        <v>0.23307291666666666</v>
      </c>
    </row>
    <row r="26" spans="1:28" x14ac:dyDescent="0.25">
      <c r="A26" t="s">
        <v>47</v>
      </c>
      <c r="B26" t="s">
        <v>0</v>
      </c>
      <c r="C26">
        <v>64</v>
      </c>
      <c r="D26">
        <v>340</v>
      </c>
      <c r="E26">
        <v>6</v>
      </c>
      <c r="F26" t="s">
        <v>1</v>
      </c>
      <c r="I26" s="3">
        <v>15.36</v>
      </c>
      <c r="J26" s="9">
        <v>0.22249093107617895</v>
      </c>
      <c r="K26" s="11">
        <v>119</v>
      </c>
      <c r="L26" s="3">
        <f>(I26+(((K26-32)/454)/J26))</f>
        <v>16.221293334610227</v>
      </c>
      <c r="M26" s="9"/>
      <c r="O26">
        <v>340</v>
      </c>
      <c r="R26" s="3">
        <v>13.58</v>
      </c>
      <c r="S26" s="9">
        <v>0.23781676413255359</v>
      </c>
      <c r="T26" s="11">
        <v>150</v>
      </c>
      <c r="U26" s="3">
        <f>(R26+(((T26-32)/454)/S26))</f>
        <v>14.672908211164874</v>
      </c>
      <c r="V26" s="11"/>
      <c r="W26" s="9"/>
      <c r="X26">
        <v>340</v>
      </c>
      <c r="AA26" s="3">
        <v>10.1</v>
      </c>
      <c r="AB26" s="9">
        <v>0.2413793103448276</v>
      </c>
    </row>
    <row r="27" spans="1:28" x14ac:dyDescent="0.25">
      <c r="A27" t="s">
        <v>47</v>
      </c>
      <c r="B27" t="s">
        <v>0</v>
      </c>
      <c r="C27">
        <v>64</v>
      </c>
      <c r="D27">
        <v>433</v>
      </c>
      <c r="E27">
        <v>6</v>
      </c>
      <c r="F27" t="s">
        <v>1</v>
      </c>
      <c r="G27">
        <v>827</v>
      </c>
      <c r="H27">
        <v>213</v>
      </c>
      <c r="I27" s="3">
        <v>13.74</v>
      </c>
      <c r="J27" s="9">
        <v>0.22767295597484277</v>
      </c>
      <c r="K27" s="11"/>
      <c r="M27" s="9"/>
      <c r="O27">
        <v>433</v>
      </c>
      <c r="P27">
        <v>535</v>
      </c>
      <c r="Q27">
        <v>162</v>
      </c>
      <c r="R27" s="3">
        <v>11.5</v>
      </c>
      <c r="S27" s="9">
        <v>0.25844930417495032</v>
      </c>
      <c r="T27" s="11"/>
      <c r="U27" s="9"/>
      <c r="V27" s="11"/>
      <c r="W27" s="9"/>
      <c r="X27">
        <v>433</v>
      </c>
      <c r="Y27">
        <v>860</v>
      </c>
      <c r="Z27">
        <v>229</v>
      </c>
      <c r="AA27" s="3">
        <v>9.86</v>
      </c>
      <c r="AB27" s="9">
        <v>0.23792270531400966</v>
      </c>
    </row>
    <row r="28" spans="1:28" x14ac:dyDescent="0.25">
      <c r="A28" t="s">
        <v>47</v>
      </c>
      <c r="B28" t="s">
        <v>0</v>
      </c>
      <c r="C28">
        <v>64</v>
      </c>
      <c r="D28">
        <v>103</v>
      </c>
      <c r="E28">
        <v>7</v>
      </c>
      <c r="F28" t="s">
        <v>16</v>
      </c>
      <c r="I28" s="3">
        <v>16.5</v>
      </c>
      <c r="J28" s="9">
        <v>0.22425952045133993</v>
      </c>
      <c r="K28" s="11"/>
      <c r="M28" s="9"/>
      <c r="O28">
        <v>103</v>
      </c>
      <c r="R28" s="3"/>
      <c r="S28" s="9"/>
      <c r="T28" s="11"/>
      <c r="U28" s="9"/>
      <c r="V28" s="11"/>
      <c r="W28" s="9"/>
      <c r="X28">
        <v>103</v>
      </c>
      <c r="AA28" s="3">
        <v>11.46</v>
      </c>
      <c r="AB28" s="9">
        <v>0.23569482288828339</v>
      </c>
    </row>
    <row r="29" spans="1:28" x14ac:dyDescent="0.25">
      <c r="A29" t="s">
        <v>47</v>
      </c>
      <c r="B29" t="s">
        <v>0</v>
      </c>
      <c r="C29">
        <v>64</v>
      </c>
      <c r="D29">
        <v>107</v>
      </c>
      <c r="E29">
        <v>7</v>
      </c>
      <c r="F29" t="s">
        <v>16</v>
      </c>
      <c r="I29" s="3">
        <v>15</v>
      </c>
      <c r="J29" s="9">
        <v>0.22054794520547946</v>
      </c>
      <c r="K29" s="11"/>
      <c r="M29" s="9"/>
      <c r="O29">
        <v>107</v>
      </c>
      <c r="R29" s="3"/>
      <c r="S29" s="9"/>
      <c r="T29" s="11"/>
      <c r="U29" s="9"/>
      <c r="V29" s="11"/>
      <c r="W29" s="9"/>
      <c r="X29">
        <v>107</v>
      </c>
      <c r="AA29" s="3">
        <v>10.64</v>
      </c>
      <c r="AB29" s="9">
        <v>0.24</v>
      </c>
    </row>
    <row r="30" spans="1:28" x14ac:dyDescent="0.25">
      <c r="A30" t="s">
        <v>47</v>
      </c>
      <c r="B30" t="s">
        <v>0</v>
      </c>
      <c r="C30">
        <v>64</v>
      </c>
      <c r="D30">
        <v>117</v>
      </c>
      <c r="E30">
        <v>7</v>
      </c>
      <c r="F30" t="s">
        <v>16</v>
      </c>
      <c r="G30">
        <v>804</v>
      </c>
      <c r="H30">
        <v>206</v>
      </c>
      <c r="I30" s="3">
        <v>16.899999999999999</v>
      </c>
      <c r="J30" s="9">
        <v>0.22538860103626943</v>
      </c>
      <c r="K30" s="11"/>
      <c r="M30" s="9"/>
      <c r="O30">
        <v>117</v>
      </c>
      <c r="P30">
        <v>784</v>
      </c>
      <c r="Q30">
        <v>222</v>
      </c>
      <c r="R30" s="3">
        <v>14.16</v>
      </c>
      <c r="S30" s="9">
        <v>0.25265957446808512</v>
      </c>
      <c r="T30" s="11"/>
      <c r="U30" s="9"/>
      <c r="V30" s="11"/>
      <c r="W30" s="9"/>
      <c r="X30">
        <v>117</v>
      </c>
      <c r="Y30">
        <v>587</v>
      </c>
      <c r="Z30">
        <v>157</v>
      </c>
      <c r="AA30" s="3">
        <v>11.78</v>
      </c>
      <c r="AB30" s="9">
        <v>0.22522522522522523</v>
      </c>
    </row>
    <row r="31" spans="1:28" x14ac:dyDescent="0.25">
      <c r="A31" t="s">
        <v>47</v>
      </c>
      <c r="B31" t="s">
        <v>0</v>
      </c>
      <c r="C31">
        <v>64</v>
      </c>
      <c r="D31">
        <v>206</v>
      </c>
      <c r="E31">
        <v>7</v>
      </c>
      <c r="F31" t="s">
        <v>16</v>
      </c>
      <c r="I31" s="3">
        <v>14.36</v>
      </c>
      <c r="J31" s="9">
        <v>0.22727272727272727</v>
      </c>
      <c r="K31" s="11">
        <v>157</v>
      </c>
      <c r="L31" s="3">
        <f t="shared" ref="L31:L36" si="0">(I31+(((K31-32)/454)/J31))</f>
        <v>15.571453744493391</v>
      </c>
      <c r="M31" s="9"/>
      <c r="O31">
        <v>206</v>
      </c>
      <c r="R31" s="3"/>
      <c r="S31" s="9"/>
      <c r="T31" s="11"/>
      <c r="U31" s="9"/>
      <c r="V31" s="11"/>
      <c r="W31" s="9"/>
      <c r="X31">
        <v>206</v>
      </c>
      <c r="AA31" s="3">
        <v>10.4</v>
      </c>
      <c r="AB31" s="9">
        <v>0.24794520547945206</v>
      </c>
    </row>
    <row r="32" spans="1:28" x14ac:dyDescent="0.25">
      <c r="A32" t="s">
        <v>47</v>
      </c>
      <c r="B32" t="s">
        <v>0</v>
      </c>
      <c r="C32">
        <v>64</v>
      </c>
      <c r="D32">
        <v>211</v>
      </c>
      <c r="E32">
        <v>7</v>
      </c>
      <c r="F32" t="s">
        <v>16</v>
      </c>
      <c r="I32" s="3">
        <v>16.420000000000002</v>
      </c>
      <c r="J32" s="9">
        <v>0.22734026745913818</v>
      </c>
      <c r="K32" s="11">
        <v>87</v>
      </c>
      <c r="L32" s="3">
        <f t="shared" si="0"/>
        <v>16.952881287610495</v>
      </c>
      <c r="M32" s="9"/>
      <c r="O32">
        <v>211</v>
      </c>
      <c r="R32" s="3"/>
      <c r="S32" s="9"/>
      <c r="T32" s="11"/>
      <c r="U32" s="9"/>
      <c r="V32" s="11"/>
      <c r="W32" s="9"/>
      <c r="X32">
        <v>211</v>
      </c>
      <c r="AA32" s="3">
        <v>11.1</v>
      </c>
      <c r="AB32" s="9">
        <v>0.24043715846994534</v>
      </c>
    </row>
    <row r="33" spans="1:30" x14ac:dyDescent="0.25">
      <c r="A33" t="s">
        <v>47</v>
      </c>
      <c r="B33" t="s">
        <v>0</v>
      </c>
      <c r="C33">
        <v>64</v>
      </c>
      <c r="D33">
        <v>231</v>
      </c>
      <c r="E33">
        <v>7</v>
      </c>
      <c r="F33" t="s">
        <v>16</v>
      </c>
      <c r="I33" s="3">
        <v>15.74</v>
      </c>
      <c r="J33" s="9">
        <v>0.19940476190476192</v>
      </c>
      <c r="K33" s="11">
        <v>132</v>
      </c>
      <c r="L33" s="3">
        <f t="shared" si="0"/>
        <v>16.844609113025182</v>
      </c>
      <c r="M33" s="9"/>
      <c r="O33">
        <v>231</v>
      </c>
      <c r="R33" s="3">
        <v>13.12</v>
      </c>
      <c r="S33" s="9">
        <v>0.25178826895565093</v>
      </c>
      <c r="T33" s="11">
        <v>133</v>
      </c>
      <c r="U33" s="3">
        <f>(R33+(((T33-32)/454)/S33))</f>
        <v>14.00354775730877</v>
      </c>
      <c r="V33" s="11"/>
      <c r="W33" s="9"/>
      <c r="X33">
        <v>231</v>
      </c>
      <c r="AA33" s="3">
        <v>9.9</v>
      </c>
      <c r="AB33" s="9">
        <v>0.24306472919418759</v>
      </c>
      <c r="AC33">
        <v>84</v>
      </c>
      <c r="AD33" s="3">
        <f>(AA33+(((AC33-32)/454)/AB33))</f>
        <v>10.37122198812488</v>
      </c>
    </row>
    <row r="34" spans="1:30" x14ac:dyDescent="0.25">
      <c r="A34" t="s">
        <v>47</v>
      </c>
      <c r="B34" t="s">
        <v>0</v>
      </c>
      <c r="C34">
        <v>64</v>
      </c>
      <c r="D34">
        <v>304</v>
      </c>
      <c r="E34">
        <v>7</v>
      </c>
      <c r="F34" t="s">
        <v>16</v>
      </c>
      <c r="I34" s="3">
        <v>17.579999999999998</v>
      </c>
      <c r="J34" s="9">
        <v>0.21232876712328766</v>
      </c>
      <c r="K34" s="11">
        <v>86</v>
      </c>
      <c r="L34" s="3">
        <f t="shared" si="0"/>
        <v>18.140181895694187</v>
      </c>
      <c r="M34" s="9"/>
      <c r="O34">
        <v>304</v>
      </c>
      <c r="R34" s="3"/>
      <c r="S34" s="9"/>
      <c r="T34" s="11"/>
      <c r="U34" s="9"/>
      <c r="V34" s="11"/>
      <c r="W34" s="9"/>
      <c r="X34">
        <v>304</v>
      </c>
      <c r="AA34" s="3">
        <v>12.46</v>
      </c>
      <c r="AB34" s="9">
        <v>0.2360248447204969</v>
      </c>
    </row>
    <row r="35" spans="1:30" x14ac:dyDescent="0.25">
      <c r="A35" t="s">
        <v>47</v>
      </c>
      <c r="B35" t="s">
        <v>0</v>
      </c>
      <c r="C35">
        <v>64</v>
      </c>
      <c r="D35">
        <v>307</v>
      </c>
      <c r="E35">
        <v>7</v>
      </c>
      <c r="F35" t="s">
        <v>16</v>
      </c>
      <c r="I35" s="3">
        <v>16.059999999999999</v>
      </c>
      <c r="J35" s="9">
        <v>0.23276983094928477</v>
      </c>
      <c r="K35" s="11">
        <v>92</v>
      </c>
      <c r="L35" s="3">
        <f t="shared" si="0"/>
        <v>16.62776511702311</v>
      </c>
      <c r="M35" s="9"/>
      <c r="O35">
        <v>307</v>
      </c>
      <c r="R35" s="3"/>
      <c r="S35" s="9"/>
      <c r="T35" s="11"/>
      <c r="U35" s="9"/>
      <c r="V35" s="11"/>
      <c r="W35" s="9"/>
      <c r="X35">
        <v>307</v>
      </c>
      <c r="AA35" s="3">
        <v>9.94</v>
      </c>
      <c r="AB35" s="9">
        <v>0.22802197802197802</v>
      </c>
    </row>
    <row r="36" spans="1:30" x14ac:dyDescent="0.25">
      <c r="A36" t="s">
        <v>47</v>
      </c>
      <c r="B36" t="s">
        <v>0</v>
      </c>
      <c r="C36">
        <v>64</v>
      </c>
      <c r="D36">
        <v>319</v>
      </c>
      <c r="E36">
        <v>7</v>
      </c>
      <c r="F36" t="s">
        <v>16</v>
      </c>
      <c r="I36" s="3">
        <v>14.46</v>
      </c>
      <c r="J36" s="9">
        <v>0.22411693057247259</v>
      </c>
      <c r="K36" s="11">
        <v>108</v>
      </c>
      <c r="L36" s="3">
        <f t="shared" si="0"/>
        <v>15.206935452978357</v>
      </c>
      <c r="M36" s="9"/>
      <c r="O36">
        <v>319</v>
      </c>
      <c r="R36" s="3">
        <v>13.96</v>
      </c>
      <c r="S36" s="9">
        <v>0.23280423280423279</v>
      </c>
      <c r="T36" s="11">
        <v>115</v>
      </c>
      <c r="U36" s="3">
        <f>(R36+(((T36-32)/454)/S36))</f>
        <v>14.745292350820986</v>
      </c>
      <c r="V36" s="11"/>
      <c r="W36" s="9"/>
      <c r="X36">
        <v>319</v>
      </c>
      <c r="AA36" s="3">
        <v>9.58</v>
      </c>
      <c r="AB36" s="9">
        <v>0.22046109510086456</v>
      </c>
      <c r="AC36">
        <v>72</v>
      </c>
      <c r="AD36" s="3">
        <f>(AA36+(((AC36-32)/454)/AB36))</f>
        <v>9.9796429702571192</v>
      </c>
    </row>
    <row r="37" spans="1:30" x14ac:dyDescent="0.25">
      <c r="A37" t="s">
        <v>47</v>
      </c>
      <c r="B37" t="s">
        <v>0</v>
      </c>
      <c r="C37">
        <v>64</v>
      </c>
      <c r="D37">
        <v>411</v>
      </c>
      <c r="E37">
        <v>7</v>
      </c>
      <c r="F37" t="s">
        <v>16</v>
      </c>
      <c r="I37" s="3">
        <v>14.74</v>
      </c>
      <c r="J37" s="9">
        <v>0.21282401091405184</v>
      </c>
      <c r="K37" s="11"/>
      <c r="M37" s="9"/>
      <c r="O37">
        <v>411</v>
      </c>
      <c r="R37" s="3"/>
      <c r="S37" s="9"/>
      <c r="T37" s="11"/>
      <c r="U37" s="9"/>
      <c r="V37" s="11"/>
      <c r="W37" s="9"/>
      <c r="X37">
        <v>411</v>
      </c>
      <c r="AA37" s="3">
        <v>11.6</v>
      </c>
      <c r="AB37" s="9">
        <v>0.2389937106918239</v>
      </c>
    </row>
    <row r="38" spans="1:30" x14ac:dyDescent="0.25">
      <c r="A38" t="s">
        <v>47</v>
      </c>
      <c r="B38" t="s">
        <v>0</v>
      </c>
      <c r="C38">
        <v>64</v>
      </c>
      <c r="D38">
        <v>412</v>
      </c>
      <c r="E38">
        <v>7</v>
      </c>
      <c r="F38" t="s">
        <v>16</v>
      </c>
      <c r="I38" s="3">
        <v>15.66</v>
      </c>
      <c r="J38" s="9">
        <v>0.21282401091405184</v>
      </c>
      <c r="K38" s="11"/>
      <c r="M38" s="9"/>
      <c r="O38">
        <v>412</v>
      </c>
      <c r="R38" s="3"/>
      <c r="S38" s="9"/>
      <c r="T38" s="11"/>
      <c r="U38" s="9"/>
      <c r="V38" s="11"/>
      <c r="W38" s="9"/>
      <c r="X38">
        <v>412</v>
      </c>
      <c r="AA38" s="3">
        <v>11.3</v>
      </c>
      <c r="AB38" s="9">
        <v>0.2389937106918239</v>
      </c>
    </row>
    <row r="39" spans="1:30" x14ac:dyDescent="0.25">
      <c r="A39" t="s">
        <v>47</v>
      </c>
      <c r="B39" t="s">
        <v>0</v>
      </c>
      <c r="C39">
        <v>64</v>
      </c>
      <c r="D39">
        <v>445</v>
      </c>
      <c r="E39">
        <v>7</v>
      </c>
      <c r="F39" t="s">
        <v>16</v>
      </c>
      <c r="G39">
        <v>696</v>
      </c>
      <c r="H39">
        <v>183</v>
      </c>
      <c r="I39" s="3">
        <v>15.34</v>
      </c>
      <c r="J39" s="9">
        <v>0.22740963855421686</v>
      </c>
      <c r="K39" s="11"/>
      <c r="M39" s="9"/>
      <c r="O39">
        <v>445</v>
      </c>
      <c r="P39">
        <v>809</v>
      </c>
      <c r="Q39">
        <v>244</v>
      </c>
      <c r="R39" s="3">
        <v>13.18</v>
      </c>
      <c r="S39" s="9">
        <v>0.27284427284427282</v>
      </c>
      <c r="T39" s="11"/>
      <c r="U39" s="9"/>
      <c r="V39" s="11"/>
      <c r="W39" s="9"/>
      <c r="X39">
        <v>445</v>
      </c>
      <c r="Y39">
        <v>658</v>
      </c>
      <c r="Z39">
        <v>177</v>
      </c>
      <c r="AA39" s="3">
        <v>10.5</v>
      </c>
      <c r="AB39" s="9">
        <v>0.23162939297124602</v>
      </c>
    </row>
    <row r="40" spans="1:30" x14ac:dyDescent="0.25">
      <c r="A40" t="s">
        <v>47</v>
      </c>
      <c r="B40" t="s">
        <v>0</v>
      </c>
      <c r="C40">
        <v>64</v>
      </c>
      <c r="D40">
        <v>109</v>
      </c>
      <c r="E40">
        <v>8</v>
      </c>
      <c r="F40" t="s">
        <v>31</v>
      </c>
      <c r="G40">
        <v>808</v>
      </c>
      <c r="H40">
        <v>194</v>
      </c>
      <c r="I40" s="3">
        <v>18.559999999999999</v>
      </c>
      <c r="J40" s="9">
        <v>0.20876288659793815</v>
      </c>
      <c r="K40" s="11"/>
      <c r="M40" s="9"/>
      <c r="O40">
        <v>109</v>
      </c>
      <c r="R40" s="3"/>
      <c r="S40" s="9"/>
      <c r="T40" s="11"/>
      <c r="U40" s="9"/>
      <c r="V40" s="11"/>
      <c r="W40" s="9"/>
      <c r="X40">
        <v>109</v>
      </c>
      <c r="Y40">
        <v>581</v>
      </c>
      <c r="Z40">
        <v>180</v>
      </c>
      <c r="AA40" s="3">
        <v>10.220000000000001</v>
      </c>
      <c r="AB40" s="9">
        <v>0.26958105646630237</v>
      </c>
    </row>
    <row r="41" spans="1:30" x14ac:dyDescent="0.25">
      <c r="A41" t="s">
        <v>47</v>
      </c>
      <c r="B41" t="s">
        <v>0</v>
      </c>
      <c r="C41">
        <v>64</v>
      </c>
      <c r="D41">
        <v>112</v>
      </c>
      <c r="E41">
        <v>8</v>
      </c>
      <c r="F41" t="s">
        <v>31</v>
      </c>
      <c r="I41" s="3">
        <v>18.079999999999998</v>
      </c>
      <c r="J41" s="9">
        <v>0.20876288659793815</v>
      </c>
      <c r="K41" s="11"/>
      <c r="M41" s="9"/>
      <c r="O41">
        <v>112</v>
      </c>
      <c r="R41" s="3"/>
      <c r="S41" s="9"/>
      <c r="T41" s="11"/>
      <c r="U41" s="9"/>
      <c r="V41" s="11"/>
      <c r="W41" s="9"/>
      <c r="X41">
        <v>112</v>
      </c>
      <c r="AA41" s="3">
        <v>9.64</v>
      </c>
      <c r="AB41" s="9">
        <v>0.26958105646630237</v>
      </c>
    </row>
    <row r="42" spans="1:30" x14ac:dyDescent="0.25">
      <c r="A42" t="s">
        <v>47</v>
      </c>
      <c r="B42" t="s">
        <v>0</v>
      </c>
      <c r="C42">
        <v>64</v>
      </c>
      <c r="D42">
        <v>142</v>
      </c>
      <c r="E42">
        <v>8</v>
      </c>
      <c r="F42" t="s">
        <v>31</v>
      </c>
      <c r="I42" s="3">
        <v>16.420000000000002</v>
      </c>
      <c r="J42" s="9">
        <v>0.21941747572815534</v>
      </c>
      <c r="K42" s="11"/>
      <c r="M42" s="9"/>
      <c r="O42">
        <v>142</v>
      </c>
      <c r="R42" s="3">
        <v>13.36</v>
      </c>
      <c r="S42" s="9">
        <v>0.24887556221889057</v>
      </c>
      <c r="T42" s="11"/>
      <c r="U42" s="9"/>
      <c r="V42" s="11"/>
      <c r="W42" s="9"/>
      <c r="X42">
        <v>142</v>
      </c>
      <c r="AA42" s="3">
        <v>9.56</v>
      </c>
      <c r="AB42" s="9">
        <v>0.2363367799113737</v>
      </c>
    </row>
    <row r="43" spans="1:30" x14ac:dyDescent="0.25">
      <c r="A43" t="s">
        <v>47</v>
      </c>
      <c r="B43" t="s">
        <v>0</v>
      </c>
      <c r="C43">
        <v>64</v>
      </c>
      <c r="D43">
        <v>204</v>
      </c>
      <c r="E43">
        <v>8</v>
      </c>
      <c r="F43" t="s">
        <v>31</v>
      </c>
      <c r="I43" s="3">
        <v>16.440000000000001</v>
      </c>
      <c r="J43" s="9">
        <v>0.22132471728594508</v>
      </c>
      <c r="K43" s="11">
        <v>144</v>
      </c>
      <c r="L43" s="3">
        <f t="shared" ref="L43:L48" si="1">(I43+(((K43-32)/454)/J43))</f>
        <v>17.554633911058236</v>
      </c>
      <c r="M43" s="9"/>
      <c r="O43">
        <v>204</v>
      </c>
      <c r="R43" s="3"/>
      <c r="S43" s="9"/>
      <c r="T43" s="11"/>
      <c r="U43" s="9"/>
      <c r="V43" s="11"/>
      <c r="W43" s="9"/>
      <c r="X43">
        <v>204</v>
      </c>
      <c r="AA43" s="3">
        <v>10.36</v>
      </c>
      <c r="AB43" s="9">
        <v>0.23312883435582821</v>
      </c>
    </row>
    <row r="44" spans="1:30" x14ac:dyDescent="0.25">
      <c r="A44" t="s">
        <v>47</v>
      </c>
      <c r="B44" t="s">
        <v>0</v>
      </c>
      <c r="C44">
        <v>64</v>
      </c>
      <c r="D44">
        <v>210</v>
      </c>
      <c r="E44">
        <v>8</v>
      </c>
      <c r="F44" t="s">
        <v>31</v>
      </c>
      <c r="I44" s="3">
        <v>16.36</v>
      </c>
      <c r="J44" s="9">
        <v>0.22734026745913818</v>
      </c>
      <c r="K44" s="11">
        <v>138</v>
      </c>
      <c r="L44" s="3">
        <f t="shared" si="1"/>
        <v>17.387007572485675</v>
      </c>
      <c r="M44" s="9"/>
      <c r="O44">
        <v>210</v>
      </c>
      <c r="R44" s="3"/>
      <c r="S44" s="9"/>
      <c r="T44" s="11"/>
      <c r="U44" s="9"/>
      <c r="V44" s="11"/>
      <c r="W44" s="9"/>
      <c r="X44">
        <v>210</v>
      </c>
      <c r="AA44" s="3">
        <v>11.12</v>
      </c>
      <c r="AB44" s="9">
        <v>0.24043715846994534</v>
      </c>
    </row>
    <row r="45" spans="1:30" x14ac:dyDescent="0.25">
      <c r="A45" t="s">
        <v>47</v>
      </c>
      <c r="B45" t="s">
        <v>0</v>
      </c>
      <c r="C45">
        <v>64</v>
      </c>
      <c r="D45">
        <v>236</v>
      </c>
      <c r="E45">
        <v>8</v>
      </c>
      <c r="F45" t="s">
        <v>31</v>
      </c>
      <c r="I45" s="3">
        <v>17.8</v>
      </c>
      <c r="J45" s="9">
        <v>0.23031026252983294</v>
      </c>
      <c r="K45" s="11">
        <v>119</v>
      </c>
      <c r="L45" s="3">
        <f t="shared" si="1"/>
        <v>18.632051311314509</v>
      </c>
      <c r="M45" s="9"/>
      <c r="O45">
        <v>236</v>
      </c>
      <c r="R45" s="3">
        <v>13.48</v>
      </c>
      <c r="S45" s="9">
        <v>0.25032765399737877</v>
      </c>
      <c r="T45" s="11">
        <v>112</v>
      </c>
      <c r="U45" s="3">
        <f>(R45+(((T45-32)/454)/S45))</f>
        <v>14.18392324192172</v>
      </c>
      <c r="V45" s="11"/>
      <c r="W45" s="9"/>
      <c r="X45">
        <v>236</v>
      </c>
      <c r="AA45" s="3">
        <v>9.7799999999999994</v>
      </c>
      <c r="AB45" s="9">
        <v>0.24022346368715083</v>
      </c>
      <c r="AC45">
        <v>83</v>
      </c>
      <c r="AD45" s="3">
        <f>(AA45+(((AC45-32)/454)/AB45))</f>
        <v>10.247626267800429</v>
      </c>
    </row>
    <row r="46" spans="1:30" x14ac:dyDescent="0.25">
      <c r="A46" t="s">
        <v>47</v>
      </c>
      <c r="B46" t="s">
        <v>0</v>
      </c>
      <c r="C46">
        <v>64</v>
      </c>
      <c r="D46">
        <v>306</v>
      </c>
      <c r="E46">
        <v>8</v>
      </c>
      <c r="F46" t="s">
        <v>31</v>
      </c>
      <c r="I46" s="3">
        <v>18.86</v>
      </c>
      <c r="J46" s="9">
        <v>0.23276983094928477</v>
      </c>
      <c r="K46" s="11">
        <v>130</v>
      </c>
      <c r="L46" s="3">
        <f t="shared" si="1"/>
        <v>19.787349691137745</v>
      </c>
      <c r="M46" s="9"/>
      <c r="O46">
        <v>306</v>
      </c>
      <c r="R46" s="3"/>
      <c r="S46" s="9"/>
      <c r="T46" s="11"/>
      <c r="U46" s="9"/>
      <c r="V46" s="11"/>
      <c r="W46" s="9"/>
      <c r="X46">
        <v>306</v>
      </c>
      <c r="AA46" s="3">
        <v>12.42</v>
      </c>
      <c r="AB46" s="9">
        <v>0.22802197802197802</v>
      </c>
    </row>
    <row r="47" spans="1:30" x14ac:dyDescent="0.25">
      <c r="A47" t="s">
        <v>47</v>
      </c>
      <c r="B47" t="s">
        <v>0</v>
      </c>
      <c r="C47">
        <v>64</v>
      </c>
      <c r="D47">
        <v>309</v>
      </c>
      <c r="E47">
        <v>8</v>
      </c>
      <c r="F47" t="s">
        <v>31</v>
      </c>
      <c r="G47">
        <v>870</v>
      </c>
      <c r="H47">
        <v>215</v>
      </c>
      <c r="I47" s="3">
        <v>17.82</v>
      </c>
      <c r="J47" s="9">
        <v>0.21837708830548927</v>
      </c>
      <c r="K47" s="11">
        <v>95</v>
      </c>
      <c r="L47" s="3">
        <f t="shared" si="1"/>
        <v>18.455444500613851</v>
      </c>
      <c r="M47" s="9"/>
      <c r="O47">
        <v>309</v>
      </c>
      <c r="R47" s="3"/>
      <c r="S47" s="9"/>
      <c r="T47" s="11"/>
      <c r="U47" s="9"/>
      <c r="V47" s="11"/>
      <c r="W47" s="9"/>
      <c r="X47">
        <v>309</v>
      </c>
      <c r="Y47">
        <v>605</v>
      </c>
      <c r="Z47">
        <v>176</v>
      </c>
      <c r="AA47" s="3">
        <v>11.58</v>
      </c>
      <c r="AB47" s="9">
        <v>0.2513089005235602</v>
      </c>
    </row>
    <row r="48" spans="1:30" x14ac:dyDescent="0.25">
      <c r="A48" t="s">
        <v>47</v>
      </c>
      <c r="B48" t="s">
        <v>0</v>
      </c>
      <c r="C48">
        <v>64</v>
      </c>
      <c r="D48">
        <v>318</v>
      </c>
      <c r="E48">
        <v>8</v>
      </c>
      <c r="F48" t="s">
        <v>31</v>
      </c>
      <c r="I48" s="3">
        <v>18.899999999999999</v>
      </c>
      <c r="J48" s="9">
        <v>0.22411693057247259</v>
      </c>
      <c r="K48" s="11">
        <v>93</v>
      </c>
      <c r="L48" s="3">
        <f t="shared" si="1"/>
        <v>19.499513981995786</v>
      </c>
      <c r="M48" s="9"/>
      <c r="O48">
        <v>318</v>
      </c>
      <c r="R48" s="3">
        <v>14.78</v>
      </c>
      <c r="S48" s="9">
        <v>0.23280423280423279</v>
      </c>
      <c r="T48" s="11">
        <v>193</v>
      </c>
      <c r="U48" s="3">
        <f>(R48+(((T48-32)/454)/S48))</f>
        <v>16.303277933520224</v>
      </c>
      <c r="V48" s="11"/>
      <c r="W48" s="9"/>
      <c r="X48">
        <v>318</v>
      </c>
      <c r="AA48" s="3">
        <v>9.5399999999999991</v>
      </c>
      <c r="AB48" s="9">
        <v>0.22046109510086456</v>
      </c>
      <c r="AC48">
        <v>86</v>
      </c>
      <c r="AD48" s="3">
        <f>(AA48+(((AC48-32)/454)/AB48))</f>
        <v>10.07951800984711</v>
      </c>
    </row>
    <row r="49" spans="1:30" x14ac:dyDescent="0.25">
      <c r="A49" t="s">
        <v>47</v>
      </c>
      <c r="B49" t="s">
        <v>0</v>
      </c>
      <c r="C49">
        <v>64</v>
      </c>
      <c r="D49">
        <v>408</v>
      </c>
      <c r="E49">
        <v>8</v>
      </c>
      <c r="F49" t="s">
        <v>31</v>
      </c>
      <c r="I49" s="3">
        <v>13.08</v>
      </c>
      <c r="J49" s="9">
        <v>0.20135363790186125</v>
      </c>
      <c r="K49" s="11"/>
      <c r="M49" s="9"/>
      <c r="O49">
        <v>408</v>
      </c>
      <c r="R49" s="3"/>
      <c r="S49" s="9"/>
      <c r="T49" s="11"/>
      <c r="U49" s="9"/>
      <c r="V49" s="11"/>
      <c r="W49" s="9"/>
      <c r="X49">
        <v>408</v>
      </c>
      <c r="AA49" s="3">
        <v>12.14</v>
      </c>
      <c r="AB49" s="9">
        <v>0.21299638989169675</v>
      </c>
    </row>
    <row r="50" spans="1:30" x14ac:dyDescent="0.25">
      <c r="A50" t="s">
        <v>47</v>
      </c>
      <c r="B50" t="s">
        <v>0</v>
      </c>
      <c r="C50">
        <v>64</v>
      </c>
      <c r="D50">
        <v>410</v>
      </c>
      <c r="E50">
        <v>8</v>
      </c>
      <c r="F50" t="s">
        <v>31</v>
      </c>
      <c r="I50" s="3">
        <v>15.4</v>
      </c>
      <c r="J50" s="9">
        <v>0.21282401091405184</v>
      </c>
      <c r="K50" s="11"/>
      <c r="M50" s="9"/>
      <c r="O50">
        <v>410</v>
      </c>
      <c r="R50" s="3"/>
      <c r="S50" s="9"/>
      <c r="T50" s="11"/>
      <c r="U50" s="9"/>
      <c r="V50" s="11"/>
      <c r="W50" s="9"/>
      <c r="X50">
        <v>410</v>
      </c>
      <c r="AA50" s="3">
        <v>11.88</v>
      </c>
      <c r="AB50" s="9">
        <v>0.2389937106918239</v>
      </c>
    </row>
    <row r="51" spans="1:30" x14ac:dyDescent="0.25">
      <c r="A51" t="s">
        <v>47</v>
      </c>
      <c r="B51" t="s">
        <v>0</v>
      </c>
      <c r="C51">
        <v>64</v>
      </c>
      <c r="D51">
        <v>415</v>
      </c>
      <c r="E51">
        <v>8</v>
      </c>
      <c r="F51" t="s">
        <v>31</v>
      </c>
      <c r="I51" s="3">
        <v>16.440000000000001</v>
      </c>
      <c r="J51" s="9">
        <v>0.21190130624092887</v>
      </c>
      <c r="K51" s="11"/>
      <c r="M51" s="9"/>
      <c r="O51">
        <v>415</v>
      </c>
      <c r="R51" s="3">
        <v>14.3</v>
      </c>
      <c r="S51" s="9">
        <v>0.25852272727272729</v>
      </c>
      <c r="T51" s="11"/>
      <c r="U51" s="9"/>
      <c r="V51" s="11"/>
      <c r="W51" s="9"/>
      <c r="X51">
        <v>415</v>
      </c>
      <c r="AA51" s="3">
        <v>12.04</v>
      </c>
      <c r="AB51" s="9">
        <v>0.21750321750321749</v>
      </c>
    </row>
    <row r="52" spans="1:30" x14ac:dyDescent="0.25">
      <c r="A52" t="s">
        <v>47</v>
      </c>
      <c r="B52" t="s">
        <v>0</v>
      </c>
      <c r="C52">
        <v>64</v>
      </c>
      <c r="D52">
        <v>102</v>
      </c>
      <c r="E52">
        <v>9</v>
      </c>
      <c r="F52" t="s">
        <v>19</v>
      </c>
      <c r="I52" s="3">
        <v>15.48</v>
      </c>
      <c r="J52" s="9">
        <v>0.22425952045133993</v>
      </c>
      <c r="K52" s="11"/>
      <c r="M52" s="9"/>
      <c r="O52">
        <v>102</v>
      </c>
      <c r="R52" s="3"/>
      <c r="S52" s="9"/>
      <c r="T52" s="11"/>
      <c r="U52" s="9"/>
      <c r="V52" s="11"/>
      <c r="W52" s="9"/>
      <c r="X52">
        <v>102</v>
      </c>
      <c r="AA52" s="3">
        <v>15</v>
      </c>
      <c r="AB52" s="9">
        <v>0.23569482288828339</v>
      </c>
    </row>
    <row r="53" spans="1:30" x14ac:dyDescent="0.25">
      <c r="A53" t="s">
        <v>47</v>
      </c>
      <c r="B53" t="s">
        <v>0</v>
      </c>
      <c r="C53">
        <v>64</v>
      </c>
      <c r="D53">
        <v>105</v>
      </c>
      <c r="E53">
        <v>9</v>
      </c>
      <c r="F53" t="s">
        <v>19</v>
      </c>
      <c r="G53">
        <v>762</v>
      </c>
      <c r="H53">
        <v>193</v>
      </c>
      <c r="I53" s="3">
        <v>16.68</v>
      </c>
      <c r="J53" s="9">
        <v>0.22054794520547946</v>
      </c>
      <c r="K53" s="11"/>
      <c r="M53" s="9"/>
      <c r="O53">
        <v>105</v>
      </c>
      <c r="R53" s="3"/>
      <c r="S53" s="9"/>
      <c r="T53" s="11"/>
      <c r="U53" s="9"/>
      <c r="V53" s="11"/>
      <c r="W53" s="9"/>
      <c r="X53">
        <v>105</v>
      </c>
      <c r="Y53">
        <v>807</v>
      </c>
      <c r="Z53">
        <v>218</v>
      </c>
      <c r="AA53" s="3">
        <v>10.78</v>
      </c>
      <c r="AB53" s="9">
        <v>0.24</v>
      </c>
    </row>
    <row r="54" spans="1:30" x14ac:dyDescent="0.25">
      <c r="A54" t="s">
        <v>47</v>
      </c>
      <c r="B54" t="s">
        <v>0</v>
      </c>
      <c r="C54">
        <v>64</v>
      </c>
      <c r="D54">
        <v>135</v>
      </c>
      <c r="E54">
        <v>9</v>
      </c>
      <c r="F54" t="s">
        <v>19</v>
      </c>
      <c r="I54" s="3">
        <v>15.72</v>
      </c>
      <c r="J54" s="9">
        <v>0.21921182266009853</v>
      </c>
      <c r="K54" s="11"/>
      <c r="M54" s="9"/>
      <c r="O54">
        <v>135</v>
      </c>
      <c r="R54" s="3">
        <v>12.22</v>
      </c>
      <c r="S54" s="9">
        <v>0.25912838633686691</v>
      </c>
      <c r="T54" s="11"/>
      <c r="U54" s="9"/>
      <c r="V54" s="11"/>
      <c r="W54" s="9"/>
      <c r="X54">
        <v>135</v>
      </c>
      <c r="AA54" s="3">
        <v>9.36</v>
      </c>
      <c r="AB54" s="9">
        <v>0.24428822495606328</v>
      </c>
    </row>
    <row r="55" spans="1:30" x14ac:dyDescent="0.25">
      <c r="A55" t="s">
        <v>47</v>
      </c>
      <c r="B55" t="s">
        <v>0</v>
      </c>
      <c r="C55">
        <v>64</v>
      </c>
      <c r="D55">
        <v>202</v>
      </c>
      <c r="E55">
        <v>9</v>
      </c>
      <c r="F55" t="s">
        <v>19</v>
      </c>
      <c r="I55" s="3">
        <v>16.14</v>
      </c>
      <c r="J55" s="9">
        <v>0.22132471728594508</v>
      </c>
      <c r="K55" s="11">
        <v>120</v>
      </c>
      <c r="L55" s="3">
        <f t="shared" ref="L55:L60" si="2">(I55+(((K55-32)/454)/J55))</f>
        <v>17.015783787260041</v>
      </c>
      <c r="M55" s="9"/>
      <c r="O55">
        <v>202</v>
      </c>
      <c r="R55" s="3"/>
      <c r="S55" s="9"/>
      <c r="T55" s="11"/>
      <c r="U55" s="9"/>
      <c r="V55" s="11"/>
      <c r="W55" s="9"/>
      <c r="X55">
        <v>202</v>
      </c>
      <c r="AA55" s="3">
        <v>11.78</v>
      </c>
      <c r="AB55" s="9">
        <v>0.23312883435582821</v>
      </c>
    </row>
    <row r="56" spans="1:30" x14ac:dyDescent="0.25">
      <c r="A56" t="s">
        <v>47</v>
      </c>
      <c r="B56" t="s">
        <v>0</v>
      </c>
      <c r="C56">
        <v>64</v>
      </c>
      <c r="D56">
        <v>208</v>
      </c>
      <c r="E56">
        <v>9</v>
      </c>
      <c r="F56" t="s">
        <v>19</v>
      </c>
      <c r="I56" s="3">
        <v>13.88</v>
      </c>
      <c r="J56" s="9">
        <v>0.22727272727272727</v>
      </c>
      <c r="K56" s="11">
        <v>119</v>
      </c>
      <c r="L56" s="3">
        <f t="shared" si="2"/>
        <v>14.723171806167402</v>
      </c>
      <c r="M56" s="9"/>
      <c r="O56">
        <v>208</v>
      </c>
      <c r="R56" s="3"/>
      <c r="S56" s="9"/>
      <c r="T56" s="11"/>
      <c r="U56" s="9"/>
      <c r="V56" s="11"/>
      <c r="W56" s="9"/>
      <c r="X56">
        <v>208</v>
      </c>
      <c r="AA56" s="3">
        <v>11.2</v>
      </c>
      <c r="AB56" s="9">
        <v>0.24794520547945206</v>
      </c>
    </row>
    <row r="57" spans="1:30" x14ac:dyDescent="0.25">
      <c r="A57" t="s">
        <v>47</v>
      </c>
      <c r="B57" t="s">
        <v>0</v>
      </c>
      <c r="C57">
        <v>64</v>
      </c>
      <c r="D57">
        <v>233</v>
      </c>
      <c r="E57">
        <v>9</v>
      </c>
      <c r="F57" t="s">
        <v>19</v>
      </c>
      <c r="G57">
        <v>870</v>
      </c>
      <c r="H57">
        <v>225</v>
      </c>
      <c r="I57" s="3">
        <v>16.54</v>
      </c>
      <c r="J57" s="9">
        <v>0.23031026252983294</v>
      </c>
      <c r="K57" s="11">
        <v>117</v>
      </c>
      <c r="L57" s="3">
        <f t="shared" si="2"/>
        <v>17.352923694962453</v>
      </c>
      <c r="M57" s="9"/>
      <c r="O57">
        <v>233</v>
      </c>
      <c r="P57">
        <v>795</v>
      </c>
      <c r="Q57">
        <v>223</v>
      </c>
      <c r="R57" s="3">
        <v>11.14</v>
      </c>
      <c r="S57" s="9">
        <v>0.25032765399737877</v>
      </c>
      <c r="T57" s="11">
        <v>148</v>
      </c>
      <c r="U57" s="3">
        <f>(R57+(((T57-32)/454)/S57))</f>
        <v>12.160688700786494</v>
      </c>
      <c r="V57" s="11"/>
      <c r="W57" s="9"/>
      <c r="X57">
        <v>233</v>
      </c>
      <c r="Y57">
        <v>748</v>
      </c>
      <c r="Z57">
        <v>204</v>
      </c>
      <c r="AA57" s="3">
        <v>9</v>
      </c>
      <c r="AB57" s="9">
        <v>0.24022346368715083</v>
      </c>
      <c r="AC57">
        <v>81</v>
      </c>
      <c r="AD57" s="3">
        <f>(AA57+(((AC57-32)/454)/AB57))</f>
        <v>9.4492879827886487</v>
      </c>
    </row>
    <row r="58" spans="1:30" x14ac:dyDescent="0.25">
      <c r="A58" t="s">
        <v>47</v>
      </c>
      <c r="B58" t="s">
        <v>0</v>
      </c>
      <c r="C58">
        <v>64</v>
      </c>
      <c r="D58">
        <v>301</v>
      </c>
      <c r="E58">
        <v>9</v>
      </c>
      <c r="F58" t="s">
        <v>19</v>
      </c>
      <c r="G58">
        <v>908</v>
      </c>
      <c r="H58">
        <v>218</v>
      </c>
      <c r="I58" s="3">
        <v>16.04</v>
      </c>
      <c r="J58" s="9">
        <v>0.21232876712328766</v>
      </c>
      <c r="K58" s="11">
        <v>110</v>
      </c>
      <c r="L58" s="3">
        <f t="shared" si="2"/>
        <v>16.849151627113827</v>
      </c>
      <c r="M58" s="9"/>
      <c r="O58">
        <v>301</v>
      </c>
      <c r="R58" s="3"/>
      <c r="S58" s="9"/>
      <c r="T58" s="11"/>
      <c r="U58" s="9"/>
      <c r="V58" s="11"/>
      <c r="W58" s="9"/>
      <c r="X58">
        <v>301</v>
      </c>
      <c r="Y58">
        <v>837</v>
      </c>
      <c r="Z58">
        <v>222</v>
      </c>
      <c r="AA58" s="3">
        <v>12.92</v>
      </c>
      <c r="AB58" s="9">
        <v>0.2360248447204969</v>
      </c>
    </row>
    <row r="59" spans="1:30" x14ac:dyDescent="0.25">
      <c r="A59" t="s">
        <v>47</v>
      </c>
      <c r="B59" t="s">
        <v>0</v>
      </c>
      <c r="C59">
        <v>64</v>
      </c>
      <c r="D59">
        <v>310</v>
      </c>
      <c r="E59">
        <v>9</v>
      </c>
      <c r="F59" t="s">
        <v>19</v>
      </c>
      <c r="I59" s="3">
        <v>16.46</v>
      </c>
      <c r="J59" s="9">
        <v>0.21837708830548927</v>
      </c>
      <c r="K59" s="11">
        <v>87</v>
      </c>
      <c r="L59" s="3">
        <f t="shared" si="2"/>
        <v>17.014753135456537</v>
      </c>
      <c r="M59" s="9"/>
      <c r="O59">
        <v>310</v>
      </c>
      <c r="R59" s="3"/>
      <c r="S59" s="9"/>
      <c r="T59" s="11"/>
      <c r="U59" s="9"/>
      <c r="V59" s="11"/>
      <c r="W59" s="9"/>
      <c r="X59">
        <v>310</v>
      </c>
      <c r="AA59" s="3">
        <v>12.22</v>
      </c>
      <c r="AB59" s="9">
        <v>0.2513089005235602</v>
      </c>
    </row>
    <row r="60" spans="1:30" x14ac:dyDescent="0.25">
      <c r="A60" t="s">
        <v>47</v>
      </c>
      <c r="B60" t="s">
        <v>0</v>
      </c>
      <c r="C60">
        <v>64</v>
      </c>
      <c r="D60">
        <v>345</v>
      </c>
      <c r="E60">
        <v>9</v>
      </c>
      <c r="F60" t="s">
        <v>19</v>
      </c>
      <c r="G60">
        <v>542</v>
      </c>
      <c r="H60">
        <v>151</v>
      </c>
      <c r="I60" s="3">
        <v>15.96</v>
      </c>
      <c r="J60" s="9">
        <v>0.23333333333333334</v>
      </c>
      <c r="K60" s="11">
        <v>173</v>
      </c>
      <c r="L60" s="3">
        <f t="shared" si="2"/>
        <v>17.291025802391442</v>
      </c>
      <c r="M60" s="9"/>
      <c r="O60">
        <v>345</v>
      </c>
      <c r="P60">
        <v>669</v>
      </c>
      <c r="Q60">
        <v>191</v>
      </c>
      <c r="R60" s="3">
        <v>12.7</v>
      </c>
      <c r="S60" s="9">
        <v>0.24960753532182103</v>
      </c>
      <c r="T60" s="11">
        <v>150</v>
      </c>
      <c r="U60" s="3">
        <f>(R60+(((T60-32)/454)/S60))</f>
        <v>13.741282243094227</v>
      </c>
      <c r="V60" s="11"/>
      <c r="W60" s="9"/>
      <c r="X60">
        <v>345</v>
      </c>
      <c r="Y60">
        <v>672</v>
      </c>
      <c r="Z60">
        <v>181</v>
      </c>
      <c r="AA60" s="3">
        <v>10.039999999999999</v>
      </c>
      <c r="AB60" s="9">
        <v>0.23281250000000001</v>
      </c>
      <c r="AC60">
        <v>75</v>
      </c>
      <c r="AD60" s="3">
        <f>(AA60+(((AC60-32)/454)/AB60))</f>
        <v>10.446823758980575</v>
      </c>
    </row>
    <row r="61" spans="1:30" x14ac:dyDescent="0.25">
      <c r="A61" t="s">
        <v>47</v>
      </c>
      <c r="B61" t="s">
        <v>0</v>
      </c>
      <c r="C61">
        <v>64</v>
      </c>
      <c r="D61">
        <v>401</v>
      </c>
      <c r="E61">
        <v>9</v>
      </c>
      <c r="F61" t="s">
        <v>19</v>
      </c>
      <c r="G61">
        <v>497</v>
      </c>
      <c r="H61">
        <v>139</v>
      </c>
      <c r="I61" s="3">
        <v>14.9</v>
      </c>
      <c r="J61" s="9">
        <v>0.23010752688172043</v>
      </c>
      <c r="K61" s="11"/>
      <c r="M61" s="9"/>
      <c r="O61">
        <v>401</v>
      </c>
      <c r="R61" s="3"/>
      <c r="S61" s="9"/>
      <c r="T61" s="11"/>
      <c r="U61" s="9"/>
      <c r="V61" s="11"/>
      <c r="W61" s="9"/>
      <c r="X61">
        <v>401</v>
      </c>
      <c r="Y61">
        <v>985</v>
      </c>
      <c r="Z61">
        <v>238</v>
      </c>
      <c r="AA61" s="3">
        <v>14.08</v>
      </c>
      <c r="AB61" s="9">
        <v>0.21615949632738721</v>
      </c>
    </row>
    <row r="62" spans="1:30" x14ac:dyDescent="0.25">
      <c r="A62" t="s">
        <v>47</v>
      </c>
      <c r="B62" t="s">
        <v>0</v>
      </c>
      <c r="C62">
        <v>64</v>
      </c>
      <c r="D62">
        <v>405</v>
      </c>
      <c r="E62">
        <v>9</v>
      </c>
      <c r="F62" t="s">
        <v>19</v>
      </c>
      <c r="G62">
        <v>623</v>
      </c>
      <c r="H62">
        <v>151</v>
      </c>
      <c r="I62" s="3">
        <v>14.94</v>
      </c>
      <c r="J62" s="9">
        <v>0.20135363790186125</v>
      </c>
      <c r="K62" s="11"/>
      <c r="M62" s="9"/>
      <c r="O62">
        <v>405</v>
      </c>
      <c r="R62" s="3"/>
      <c r="S62" s="9"/>
      <c r="T62" s="11"/>
      <c r="U62" s="9"/>
      <c r="V62" s="11"/>
      <c r="W62" s="9"/>
      <c r="X62">
        <v>405</v>
      </c>
      <c r="Y62">
        <v>863</v>
      </c>
      <c r="Z62">
        <v>209</v>
      </c>
      <c r="AA62" s="3">
        <v>12.82</v>
      </c>
      <c r="AB62" s="9">
        <v>0.21299638989169675</v>
      </c>
    </row>
    <row r="63" spans="1:30" x14ac:dyDescent="0.25">
      <c r="A63" t="s">
        <v>47</v>
      </c>
      <c r="B63" t="s">
        <v>0</v>
      </c>
      <c r="C63">
        <v>64</v>
      </c>
      <c r="D63">
        <v>426</v>
      </c>
      <c r="E63">
        <v>9</v>
      </c>
      <c r="F63" t="s">
        <v>19</v>
      </c>
      <c r="I63" s="3">
        <v>13.06</v>
      </c>
      <c r="J63" s="9">
        <v>0.21846153846153846</v>
      </c>
      <c r="K63" s="11"/>
      <c r="M63" s="9"/>
      <c r="O63">
        <v>426</v>
      </c>
      <c r="R63" s="3">
        <v>11.54</v>
      </c>
      <c r="S63" s="9">
        <v>0.25113464447806355</v>
      </c>
      <c r="T63" s="11"/>
      <c r="U63" s="9"/>
      <c r="V63" s="11"/>
      <c r="W63" s="9"/>
      <c r="X63">
        <v>426</v>
      </c>
      <c r="AA63" s="3">
        <v>10.54</v>
      </c>
      <c r="AB63" s="9">
        <v>0.23529411764705882</v>
      </c>
    </row>
    <row r="64" spans="1:30" x14ac:dyDescent="0.25">
      <c r="A64" t="s">
        <v>47</v>
      </c>
      <c r="B64" t="s">
        <v>0</v>
      </c>
      <c r="C64">
        <v>64</v>
      </c>
      <c r="D64">
        <v>101</v>
      </c>
      <c r="E64">
        <v>10</v>
      </c>
      <c r="F64" t="s">
        <v>35</v>
      </c>
      <c r="G64">
        <v>741</v>
      </c>
      <c r="H64">
        <v>191</v>
      </c>
      <c r="I64" s="3">
        <v>14.9</v>
      </c>
      <c r="J64" s="9">
        <v>0.22425952045133993</v>
      </c>
      <c r="K64" s="11"/>
      <c r="M64" s="9"/>
      <c r="O64">
        <v>101</v>
      </c>
      <c r="R64" s="3"/>
      <c r="S64" s="9"/>
      <c r="T64" s="11"/>
      <c r="U64" s="9"/>
      <c r="V64" s="11"/>
      <c r="W64" s="9"/>
      <c r="X64">
        <v>101</v>
      </c>
      <c r="Y64">
        <v>766</v>
      </c>
      <c r="Z64">
        <v>205</v>
      </c>
      <c r="AA64" s="3">
        <v>13.3</v>
      </c>
      <c r="AB64" s="9">
        <v>0.23569482288828339</v>
      </c>
    </row>
    <row r="65" spans="1:30" x14ac:dyDescent="0.25">
      <c r="A65" t="s">
        <v>47</v>
      </c>
      <c r="B65" t="s">
        <v>0</v>
      </c>
      <c r="C65">
        <v>64</v>
      </c>
      <c r="D65">
        <v>110</v>
      </c>
      <c r="E65">
        <v>10</v>
      </c>
      <c r="F65" t="s">
        <v>35</v>
      </c>
      <c r="I65" s="3">
        <v>16.36</v>
      </c>
      <c r="J65" s="9">
        <v>0.20876288659793815</v>
      </c>
      <c r="K65" s="11"/>
      <c r="M65" s="9"/>
      <c r="O65">
        <v>110</v>
      </c>
      <c r="R65" s="3"/>
      <c r="S65" s="9"/>
      <c r="T65" s="11"/>
      <c r="U65" s="9"/>
      <c r="V65" s="11"/>
      <c r="W65" s="9"/>
      <c r="X65">
        <v>110</v>
      </c>
      <c r="AA65" s="3">
        <v>10.24</v>
      </c>
      <c r="AB65" s="9">
        <v>0.26958105646630237</v>
      </c>
    </row>
    <row r="66" spans="1:30" x14ac:dyDescent="0.25">
      <c r="A66" t="s">
        <v>47</v>
      </c>
      <c r="B66" t="s">
        <v>0</v>
      </c>
      <c r="C66">
        <v>64</v>
      </c>
      <c r="D66">
        <v>113</v>
      </c>
      <c r="E66">
        <v>10</v>
      </c>
      <c r="F66" t="s">
        <v>35</v>
      </c>
      <c r="G66">
        <v>839</v>
      </c>
      <c r="H66">
        <v>211</v>
      </c>
      <c r="I66" s="3">
        <v>18.559999999999999</v>
      </c>
      <c r="J66" s="9">
        <v>0.22180916976456011</v>
      </c>
      <c r="K66" s="11"/>
      <c r="M66" s="9"/>
      <c r="O66">
        <v>113</v>
      </c>
      <c r="P66">
        <v>602</v>
      </c>
      <c r="Q66">
        <v>174</v>
      </c>
      <c r="R66" s="3">
        <v>15</v>
      </c>
      <c r="S66" s="9">
        <v>0.24912280701754386</v>
      </c>
      <c r="T66" s="11"/>
      <c r="U66" s="9"/>
      <c r="V66" s="11"/>
      <c r="W66" s="9"/>
      <c r="X66">
        <v>113</v>
      </c>
      <c r="Y66">
        <v>688</v>
      </c>
      <c r="Z66">
        <v>177</v>
      </c>
      <c r="AA66" s="3">
        <v>12.4</v>
      </c>
      <c r="AB66" s="9">
        <v>0.22103658536585366</v>
      </c>
    </row>
    <row r="67" spans="1:30" x14ac:dyDescent="0.25">
      <c r="A67" t="s">
        <v>47</v>
      </c>
      <c r="B67" t="s">
        <v>0</v>
      </c>
      <c r="C67">
        <v>64</v>
      </c>
      <c r="D67">
        <v>201</v>
      </c>
      <c r="E67">
        <v>10</v>
      </c>
      <c r="F67" t="s">
        <v>35</v>
      </c>
      <c r="G67">
        <v>651</v>
      </c>
      <c r="H67">
        <v>169</v>
      </c>
      <c r="I67" s="3">
        <v>13.82</v>
      </c>
      <c r="J67" s="9">
        <v>0.22132471728594508</v>
      </c>
      <c r="K67" s="11">
        <v>102</v>
      </c>
      <c r="L67" s="3">
        <f t="shared" ref="L67:L72" si="3">(I67+(((K67-32)/454)/J67))</f>
        <v>14.516646194411397</v>
      </c>
      <c r="M67" s="9"/>
      <c r="O67">
        <v>201</v>
      </c>
      <c r="R67" s="3"/>
      <c r="S67" s="9"/>
      <c r="T67" s="11"/>
      <c r="U67" s="9"/>
      <c r="V67" s="11"/>
      <c r="W67" s="9"/>
      <c r="X67">
        <v>201</v>
      </c>
      <c r="Y67">
        <v>847</v>
      </c>
      <c r="Z67">
        <v>222</v>
      </c>
      <c r="AA67" s="3">
        <v>11.54</v>
      </c>
      <c r="AB67" s="9">
        <v>0.23312883435582821</v>
      </c>
    </row>
    <row r="68" spans="1:30" x14ac:dyDescent="0.25">
      <c r="A68" t="s">
        <v>47</v>
      </c>
      <c r="B68" t="s">
        <v>0</v>
      </c>
      <c r="C68">
        <v>64</v>
      </c>
      <c r="D68">
        <v>212</v>
      </c>
      <c r="E68">
        <v>10</v>
      </c>
      <c r="F68" t="s">
        <v>35</v>
      </c>
      <c r="I68" s="3">
        <v>16.04</v>
      </c>
      <c r="J68" s="9">
        <v>0.22734026745913818</v>
      </c>
      <c r="K68" s="11">
        <v>143</v>
      </c>
      <c r="L68" s="3">
        <f t="shared" si="3"/>
        <v>17.115451325904811</v>
      </c>
      <c r="M68" s="9"/>
      <c r="O68">
        <v>212</v>
      </c>
      <c r="R68" s="3"/>
      <c r="S68" s="9"/>
      <c r="T68" s="11"/>
      <c r="U68" s="9"/>
      <c r="V68" s="11"/>
      <c r="W68" s="9"/>
      <c r="X68">
        <v>212</v>
      </c>
      <c r="AA68" s="3">
        <v>10.28</v>
      </c>
      <c r="AB68" s="9">
        <v>0.24043715846994534</v>
      </c>
    </row>
    <row r="69" spans="1:30" x14ac:dyDescent="0.25">
      <c r="A69" t="s">
        <v>47</v>
      </c>
      <c r="B69" t="s">
        <v>0</v>
      </c>
      <c r="C69">
        <v>64</v>
      </c>
      <c r="D69">
        <v>241</v>
      </c>
      <c r="E69">
        <v>10</v>
      </c>
      <c r="F69" t="s">
        <v>35</v>
      </c>
      <c r="G69">
        <v>487</v>
      </c>
      <c r="H69">
        <v>127</v>
      </c>
      <c r="I69" s="3">
        <v>14.5</v>
      </c>
      <c r="J69" s="9">
        <v>0.2087912087912088</v>
      </c>
      <c r="K69" s="11">
        <v>87</v>
      </c>
      <c r="L69" s="3">
        <f t="shared" si="3"/>
        <v>15.08022258288894</v>
      </c>
      <c r="M69" s="9"/>
      <c r="O69">
        <v>241</v>
      </c>
      <c r="P69">
        <v>536</v>
      </c>
      <c r="Q69">
        <v>163</v>
      </c>
      <c r="R69" s="3">
        <v>10.56</v>
      </c>
      <c r="S69" s="9">
        <v>0.25992063492063494</v>
      </c>
      <c r="T69" s="11">
        <v>94</v>
      </c>
      <c r="U69" s="3">
        <f>(R69+(((T69-32)/454)/S69))</f>
        <v>11.085406059790834</v>
      </c>
      <c r="V69" s="11"/>
      <c r="W69" s="9"/>
      <c r="X69">
        <v>241</v>
      </c>
      <c r="Y69">
        <v>776</v>
      </c>
      <c r="Z69">
        <v>209</v>
      </c>
      <c r="AA69" s="3">
        <v>9.44</v>
      </c>
      <c r="AB69" s="9">
        <v>0.23790322580645162</v>
      </c>
      <c r="AC69">
        <v>85</v>
      </c>
      <c r="AD69" s="3">
        <f>(AA69+(((AC69-32)/454)/AB69))</f>
        <v>9.9307040991562747</v>
      </c>
    </row>
    <row r="70" spans="1:30" x14ac:dyDescent="0.25">
      <c r="A70" t="s">
        <v>47</v>
      </c>
      <c r="B70" t="s">
        <v>0</v>
      </c>
      <c r="C70">
        <v>64</v>
      </c>
      <c r="D70">
        <v>305</v>
      </c>
      <c r="E70">
        <v>10</v>
      </c>
      <c r="F70" t="s">
        <v>35</v>
      </c>
      <c r="G70">
        <v>801</v>
      </c>
      <c r="H70">
        <v>211</v>
      </c>
      <c r="I70" s="3">
        <v>17.12</v>
      </c>
      <c r="J70" s="9">
        <v>0.23276983094928477</v>
      </c>
      <c r="K70" s="11">
        <v>92</v>
      </c>
      <c r="L70" s="3">
        <f t="shared" si="3"/>
        <v>17.687765117023112</v>
      </c>
      <c r="M70" s="9"/>
      <c r="O70">
        <v>305</v>
      </c>
      <c r="R70" s="3"/>
      <c r="S70" s="9"/>
      <c r="T70" s="11"/>
      <c r="U70" s="9"/>
      <c r="V70" s="11"/>
      <c r="W70" s="9"/>
      <c r="X70">
        <v>305</v>
      </c>
      <c r="Y70">
        <v>760</v>
      </c>
      <c r="Z70">
        <v>198</v>
      </c>
      <c r="AA70" s="3">
        <v>12.54</v>
      </c>
      <c r="AB70" s="9">
        <v>0.22802197802197802</v>
      </c>
    </row>
    <row r="71" spans="1:30" x14ac:dyDescent="0.25">
      <c r="A71" t="s">
        <v>47</v>
      </c>
      <c r="B71" t="s">
        <v>0</v>
      </c>
      <c r="C71">
        <v>64</v>
      </c>
      <c r="D71">
        <v>311</v>
      </c>
      <c r="E71">
        <v>10</v>
      </c>
      <c r="F71" t="s">
        <v>35</v>
      </c>
      <c r="I71" s="3">
        <v>15.8</v>
      </c>
      <c r="J71" s="9">
        <v>0.21837708830548927</v>
      </c>
      <c r="K71" s="11">
        <v>187</v>
      </c>
      <c r="L71" s="3">
        <f t="shared" si="3"/>
        <v>17.363395199922969</v>
      </c>
      <c r="M71" s="9"/>
      <c r="O71">
        <v>311</v>
      </c>
      <c r="R71" s="3"/>
      <c r="S71" s="9"/>
      <c r="T71" s="11"/>
      <c r="U71" s="9"/>
      <c r="V71" s="11"/>
      <c r="W71" s="9"/>
      <c r="X71">
        <v>311</v>
      </c>
      <c r="AA71" s="3">
        <v>11.36</v>
      </c>
      <c r="AB71" s="9">
        <v>0.2513089005235602</v>
      </c>
    </row>
    <row r="72" spans="1:30" x14ac:dyDescent="0.25">
      <c r="A72" t="s">
        <v>47</v>
      </c>
      <c r="B72" t="s">
        <v>0</v>
      </c>
      <c r="C72">
        <v>64</v>
      </c>
      <c r="D72">
        <v>314</v>
      </c>
      <c r="E72">
        <v>10</v>
      </c>
      <c r="F72" t="s">
        <v>35</v>
      </c>
      <c r="I72" s="3">
        <v>14.78</v>
      </c>
      <c r="J72" s="9">
        <v>0.21588366890380314</v>
      </c>
      <c r="K72" s="11">
        <v>122</v>
      </c>
      <c r="L72" s="3">
        <f t="shared" si="3"/>
        <v>15.698262536805824</v>
      </c>
      <c r="M72" s="9"/>
      <c r="O72">
        <v>314</v>
      </c>
      <c r="R72" s="3">
        <v>12.78</v>
      </c>
      <c r="S72" s="9">
        <v>0.24670433145009416</v>
      </c>
      <c r="T72" s="11">
        <v>153</v>
      </c>
      <c r="U72" s="3">
        <f>(R72+(((T72-32)/454)/S72))</f>
        <v>13.860320812455862</v>
      </c>
      <c r="V72" s="11"/>
      <c r="W72" s="9"/>
      <c r="X72">
        <v>314</v>
      </c>
      <c r="AA72" s="3">
        <v>10.92</v>
      </c>
      <c r="AB72" s="9">
        <v>0.2282051282051282</v>
      </c>
      <c r="AC72">
        <v>81</v>
      </c>
      <c r="AD72" s="3">
        <f>(AA72+(((AC72-32)/454)/AB72))</f>
        <v>11.392949561946246</v>
      </c>
    </row>
    <row r="73" spans="1:30" x14ac:dyDescent="0.25">
      <c r="A73" t="s">
        <v>47</v>
      </c>
      <c r="B73" t="s">
        <v>0</v>
      </c>
      <c r="C73">
        <v>64</v>
      </c>
      <c r="D73">
        <v>403</v>
      </c>
      <c r="E73">
        <v>10</v>
      </c>
      <c r="F73" t="s">
        <v>35</v>
      </c>
      <c r="I73" s="3">
        <v>16.3</v>
      </c>
      <c r="J73" s="9">
        <v>0.23010752688172043</v>
      </c>
      <c r="K73" s="11"/>
      <c r="M73" s="9"/>
      <c r="O73">
        <v>403</v>
      </c>
      <c r="R73" s="3"/>
      <c r="S73" s="9"/>
      <c r="T73" s="11"/>
      <c r="U73" s="9"/>
      <c r="V73" s="11"/>
      <c r="W73" s="9"/>
      <c r="X73">
        <v>403</v>
      </c>
      <c r="AA73" s="3">
        <v>12.44</v>
      </c>
      <c r="AB73" s="9">
        <v>0.21615949632738721</v>
      </c>
    </row>
    <row r="74" spans="1:30" x14ac:dyDescent="0.25">
      <c r="A74" t="s">
        <v>47</v>
      </c>
      <c r="B74" t="s">
        <v>0</v>
      </c>
      <c r="C74">
        <v>64</v>
      </c>
      <c r="D74">
        <v>407</v>
      </c>
      <c r="E74">
        <v>10</v>
      </c>
      <c r="F74" t="s">
        <v>35</v>
      </c>
      <c r="I74" s="3">
        <v>14.6</v>
      </c>
      <c r="J74" s="9">
        <v>0.20135363790186125</v>
      </c>
      <c r="K74" s="11"/>
      <c r="M74" s="9"/>
      <c r="O74">
        <v>407</v>
      </c>
      <c r="R74" s="3"/>
      <c r="S74" s="9"/>
      <c r="T74" s="11"/>
      <c r="U74" s="9"/>
      <c r="V74" s="11"/>
      <c r="W74" s="9"/>
      <c r="X74">
        <v>407</v>
      </c>
      <c r="Y74" t="s">
        <v>48</v>
      </c>
      <c r="AA74" s="3">
        <v>12.14</v>
      </c>
      <c r="AB74" s="9">
        <v>0.21299638989169675</v>
      </c>
    </row>
    <row r="75" spans="1:30" x14ac:dyDescent="0.25">
      <c r="A75" t="s">
        <v>47</v>
      </c>
      <c r="B75" t="s">
        <v>0</v>
      </c>
      <c r="C75">
        <v>64</v>
      </c>
      <c r="D75">
        <v>437</v>
      </c>
      <c r="E75">
        <v>10</v>
      </c>
      <c r="F75" t="s">
        <v>35</v>
      </c>
      <c r="G75">
        <v>683</v>
      </c>
      <c r="H75">
        <v>185</v>
      </c>
      <c r="I75" s="3">
        <v>12.48</v>
      </c>
      <c r="J75" s="9">
        <v>0.23502304147465439</v>
      </c>
      <c r="K75" s="11"/>
      <c r="M75" s="9"/>
      <c r="O75">
        <v>437</v>
      </c>
      <c r="P75">
        <v>567</v>
      </c>
      <c r="Q75">
        <v>169</v>
      </c>
      <c r="R75" s="3">
        <v>11.12</v>
      </c>
      <c r="S75" s="9">
        <v>0.2560747663551402</v>
      </c>
      <c r="T75" s="11"/>
      <c r="U75" s="9"/>
      <c r="V75" s="11"/>
      <c r="W75" s="9"/>
      <c r="X75">
        <v>437</v>
      </c>
      <c r="Y75">
        <v>692</v>
      </c>
      <c r="Z75">
        <v>182</v>
      </c>
      <c r="AA75" s="3">
        <v>10.199999999999999</v>
      </c>
      <c r="AB75" s="9">
        <v>0.22727272727272727</v>
      </c>
    </row>
    <row r="76" spans="1:30" x14ac:dyDescent="0.25">
      <c r="A76" t="s">
        <v>47</v>
      </c>
      <c r="B76" t="s">
        <v>0</v>
      </c>
      <c r="C76">
        <v>64</v>
      </c>
      <c r="D76">
        <v>106</v>
      </c>
      <c r="E76">
        <v>11</v>
      </c>
      <c r="F76" t="s">
        <v>15</v>
      </c>
      <c r="I76" s="3">
        <v>18</v>
      </c>
      <c r="J76" s="9">
        <v>0.22054794520547946</v>
      </c>
      <c r="K76" s="11"/>
      <c r="M76" s="9"/>
      <c r="O76">
        <v>106</v>
      </c>
      <c r="R76" s="3"/>
      <c r="S76" s="9"/>
      <c r="T76" s="11"/>
      <c r="U76" s="9"/>
      <c r="V76" s="11"/>
      <c r="W76" s="9"/>
      <c r="X76">
        <v>106</v>
      </c>
      <c r="AA76" s="3">
        <v>14.42</v>
      </c>
      <c r="AB76" s="9">
        <v>0.24</v>
      </c>
    </row>
    <row r="77" spans="1:30" x14ac:dyDescent="0.25">
      <c r="A77" t="s">
        <v>47</v>
      </c>
      <c r="B77" t="s">
        <v>0</v>
      </c>
      <c r="C77">
        <v>64</v>
      </c>
      <c r="D77">
        <v>111</v>
      </c>
      <c r="E77">
        <v>11</v>
      </c>
      <c r="F77" t="s">
        <v>15</v>
      </c>
      <c r="I77" s="3">
        <v>19.02</v>
      </c>
      <c r="J77" s="9">
        <v>0.20876288659793815</v>
      </c>
      <c r="K77" s="11"/>
      <c r="M77" s="9"/>
      <c r="O77">
        <v>111</v>
      </c>
      <c r="R77" s="3"/>
      <c r="S77" s="9"/>
      <c r="T77" s="11"/>
      <c r="U77" s="9"/>
      <c r="V77" s="11"/>
      <c r="W77" s="9"/>
      <c r="X77">
        <v>111</v>
      </c>
      <c r="AA77" s="3">
        <v>14.62</v>
      </c>
      <c r="AB77" s="9">
        <v>0.26958105646630237</v>
      </c>
    </row>
    <row r="78" spans="1:30" x14ac:dyDescent="0.25">
      <c r="A78" t="s">
        <v>47</v>
      </c>
      <c r="B78" t="s">
        <v>0</v>
      </c>
      <c r="C78">
        <v>64</v>
      </c>
      <c r="D78">
        <v>131</v>
      </c>
      <c r="E78">
        <v>11</v>
      </c>
      <c r="F78" t="s">
        <v>15</v>
      </c>
      <c r="I78" s="3">
        <v>16.66</v>
      </c>
      <c r="J78" s="9">
        <v>0.22972972972972974</v>
      </c>
      <c r="K78" s="11"/>
      <c r="M78" s="9"/>
      <c r="O78">
        <v>131</v>
      </c>
      <c r="R78" s="3">
        <v>15.04</v>
      </c>
      <c r="S78" s="9">
        <v>0.25067385444743934</v>
      </c>
      <c r="T78" s="11"/>
      <c r="U78" s="9"/>
      <c r="V78" s="11"/>
      <c r="W78" s="9"/>
      <c r="X78">
        <v>131</v>
      </c>
      <c r="AA78" s="3">
        <v>11.4</v>
      </c>
      <c r="AB78" s="9">
        <v>0.23787528868360278</v>
      </c>
    </row>
    <row r="79" spans="1:30" x14ac:dyDescent="0.25">
      <c r="A79" t="s">
        <v>47</v>
      </c>
      <c r="B79" t="s">
        <v>0</v>
      </c>
      <c r="C79">
        <v>64</v>
      </c>
      <c r="D79">
        <v>205</v>
      </c>
      <c r="E79">
        <v>11</v>
      </c>
      <c r="F79" t="s">
        <v>15</v>
      </c>
      <c r="G79">
        <v>692</v>
      </c>
      <c r="H79">
        <v>182</v>
      </c>
      <c r="I79" s="3">
        <v>15.26</v>
      </c>
      <c r="J79" s="9">
        <v>0.22727272727272727</v>
      </c>
      <c r="K79" s="11">
        <v>144</v>
      </c>
      <c r="L79" s="3">
        <f t="shared" ref="L79:L84" si="4">(I79+(((K79-32)/454)/J79))</f>
        <v>16.345462555066078</v>
      </c>
      <c r="M79" s="9"/>
      <c r="O79">
        <v>205</v>
      </c>
      <c r="R79" s="3"/>
      <c r="S79" s="9"/>
      <c r="T79" s="11"/>
      <c r="U79" s="9"/>
      <c r="V79" s="11"/>
      <c r="W79" s="9"/>
      <c r="X79">
        <v>205</v>
      </c>
      <c r="Y79">
        <v>762</v>
      </c>
      <c r="Z79">
        <v>213</v>
      </c>
      <c r="AA79" s="3">
        <v>11.98</v>
      </c>
      <c r="AB79" s="9">
        <v>0.24794520547945206</v>
      </c>
    </row>
    <row r="80" spans="1:30" x14ac:dyDescent="0.25">
      <c r="A80" t="s">
        <v>47</v>
      </c>
      <c r="B80" t="s">
        <v>0</v>
      </c>
      <c r="C80">
        <v>64</v>
      </c>
      <c r="D80">
        <v>209</v>
      </c>
      <c r="E80">
        <v>11</v>
      </c>
      <c r="F80" t="s">
        <v>15</v>
      </c>
      <c r="G80">
        <v>705</v>
      </c>
      <c r="H80">
        <v>185</v>
      </c>
      <c r="I80" s="3">
        <v>16.66</v>
      </c>
      <c r="J80" s="9">
        <v>0.22734026745913818</v>
      </c>
      <c r="K80" s="11">
        <v>161</v>
      </c>
      <c r="L80" s="3">
        <f t="shared" si="4"/>
        <v>17.909848838213701</v>
      </c>
      <c r="M80" s="9"/>
      <c r="O80">
        <v>209</v>
      </c>
      <c r="R80" s="3"/>
      <c r="S80" s="9"/>
      <c r="T80" s="11"/>
      <c r="U80" s="9"/>
      <c r="V80" s="11"/>
      <c r="W80" s="9"/>
      <c r="X80">
        <v>209</v>
      </c>
      <c r="Y80">
        <v>581</v>
      </c>
      <c r="Z80">
        <v>164</v>
      </c>
      <c r="AA80" s="3">
        <v>12.56</v>
      </c>
      <c r="AB80" s="9">
        <v>0.24043715846994534</v>
      </c>
    </row>
    <row r="81" spans="1:30" x14ac:dyDescent="0.25">
      <c r="A81" t="s">
        <v>47</v>
      </c>
      <c r="B81" t="s">
        <v>0</v>
      </c>
      <c r="C81">
        <v>64</v>
      </c>
      <c r="D81">
        <v>221</v>
      </c>
      <c r="E81">
        <v>11</v>
      </c>
      <c r="F81" t="s">
        <v>15</v>
      </c>
      <c r="G81">
        <v>772</v>
      </c>
      <c r="H81">
        <v>186</v>
      </c>
      <c r="I81" s="3">
        <v>17</v>
      </c>
      <c r="J81" s="9">
        <v>0.20810810810810812</v>
      </c>
      <c r="K81" s="11">
        <v>122</v>
      </c>
      <c r="L81" s="3">
        <f t="shared" si="4"/>
        <v>17.952571657417472</v>
      </c>
      <c r="M81" s="9"/>
      <c r="O81">
        <v>221</v>
      </c>
      <c r="P81">
        <v>753</v>
      </c>
      <c r="Q81">
        <v>206</v>
      </c>
      <c r="R81" s="3">
        <v>16.32</v>
      </c>
      <c r="S81" s="9">
        <v>0.24133148404993066</v>
      </c>
      <c r="T81" s="11">
        <v>80</v>
      </c>
      <c r="U81" s="3">
        <f>(R81+(((T81-32)/454)/S81))</f>
        <v>16.758098131550966</v>
      </c>
      <c r="V81" s="11"/>
      <c r="W81" s="9"/>
      <c r="X81">
        <v>221</v>
      </c>
      <c r="Y81">
        <v>446</v>
      </c>
      <c r="Z81">
        <v>129</v>
      </c>
      <c r="AA81" s="3">
        <v>10.5</v>
      </c>
      <c r="AB81" s="9">
        <v>0.23429951690821257</v>
      </c>
      <c r="AC81">
        <v>90</v>
      </c>
      <c r="AD81" s="3">
        <f>(AA81+(((AC81-32)/454)/AB81))</f>
        <v>11.04525636949907</v>
      </c>
    </row>
    <row r="82" spans="1:30" x14ac:dyDescent="0.25">
      <c r="A82" t="s">
        <v>47</v>
      </c>
      <c r="B82" t="s">
        <v>0</v>
      </c>
      <c r="C82">
        <v>64</v>
      </c>
      <c r="D82">
        <v>302</v>
      </c>
      <c r="E82">
        <v>11</v>
      </c>
      <c r="F82" t="s">
        <v>15</v>
      </c>
      <c r="I82" s="3">
        <v>18.3</v>
      </c>
      <c r="J82" s="9">
        <v>0.21232876712328766</v>
      </c>
      <c r="K82" s="11">
        <v>141</v>
      </c>
      <c r="L82" s="3">
        <f t="shared" si="4"/>
        <v>19.430737530197529</v>
      </c>
      <c r="M82" s="9"/>
      <c r="O82">
        <v>302</v>
      </c>
      <c r="R82" s="3"/>
      <c r="S82" s="9"/>
      <c r="T82" s="11"/>
      <c r="U82" s="9"/>
      <c r="V82" s="11"/>
      <c r="W82" s="9"/>
      <c r="X82">
        <v>302</v>
      </c>
      <c r="AA82" s="3">
        <v>13.36</v>
      </c>
      <c r="AB82" s="9">
        <v>0.2360248447204969</v>
      </c>
    </row>
    <row r="83" spans="1:30" x14ac:dyDescent="0.25">
      <c r="A83" t="s">
        <v>47</v>
      </c>
      <c r="B83" t="s">
        <v>0</v>
      </c>
      <c r="C83">
        <v>64</v>
      </c>
      <c r="D83">
        <v>312</v>
      </c>
      <c r="E83">
        <v>11</v>
      </c>
      <c r="F83" t="s">
        <v>15</v>
      </c>
      <c r="I83" s="3">
        <v>18.86</v>
      </c>
      <c r="J83" s="9">
        <v>0.21837708830548927</v>
      </c>
      <c r="K83" s="11">
        <v>89</v>
      </c>
      <c r="L83" s="3">
        <f t="shared" si="4"/>
        <v>19.434925976745866</v>
      </c>
      <c r="M83" s="9"/>
      <c r="O83">
        <v>312</v>
      </c>
      <c r="R83" s="3"/>
      <c r="S83" s="9"/>
      <c r="T83" s="11"/>
      <c r="U83" s="9"/>
      <c r="V83" s="11"/>
      <c r="W83" s="9"/>
      <c r="X83">
        <v>312</v>
      </c>
      <c r="AA83" s="3">
        <v>10.68</v>
      </c>
      <c r="AB83" s="9">
        <v>0.2513089005235602</v>
      </c>
    </row>
    <row r="84" spans="1:30" x14ac:dyDescent="0.25">
      <c r="A84" t="s">
        <v>47</v>
      </c>
      <c r="B84" t="s">
        <v>0</v>
      </c>
      <c r="C84">
        <v>64</v>
      </c>
      <c r="D84">
        <v>323</v>
      </c>
      <c r="E84">
        <v>11</v>
      </c>
      <c r="F84" t="s">
        <v>15</v>
      </c>
      <c r="I84" s="3">
        <v>15.26</v>
      </c>
      <c r="J84" s="9">
        <v>0.21932515337423314</v>
      </c>
      <c r="K84" s="11">
        <v>139</v>
      </c>
      <c r="L84" s="3">
        <f t="shared" si="4"/>
        <v>16.33458180585934</v>
      </c>
      <c r="M84" s="9"/>
      <c r="O84">
        <v>323</v>
      </c>
      <c r="R84" s="3">
        <v>14.24</v>
      </c>
      <c r="S84" s="9">
        <v>0.24292845257903495</v>
      </c>
      <c r="T84" s="11">
        <v>120</v>
      </c>
      <c r="U84" s="3">
        <f>(R84+(((T84-32)/454)/S84))</f>
        <v>15.037899945688251</v>
      </c>
      <c r="V84" s="11"/>
      <c r="W84" s="9"/>
      <c r="X84">
        <v>323</v>
      </c>
      <c r="AA84" s="3">
        <v>9.9</v>
      </c>
      <c r="AB84" s="9">
        <v>0.23620689655172414</v>
      </c>
      <c r="AC84">
        <v>97</v>
      </c>
      <c r="AD84" s="3">
        <f>(AA84+(((AC84-32)/454)/AB84))</f>
        <v>10.506128814431332</v>
      </c>
    </row>
    <row r="85" spans="1:30" x14ac:dyDescent="0.25">
      <c r="A85" t="s">
        <v>47</v>
      </c>
      <c r="B85" t="s">
        <v>0</v>
      </c>
      <c r="C85">
        <v>64</v>
      </c>
      <c r="D85">
        <v>402</v>
      </c>
      <c r="E85">
        <v>11</v>
      </c>
      <c r="F85" t="s">
        <v>15</v>
      </c>
      <c r="I85" s="3">
        <v>18.079999999999998</v>
      </c>
      <c r="J85" s="9">
        <v>0.23010752688172043</v>
      </c>
      <c r="K85" s="11"/>
      <c r="M85" s="9"/>
      <c r="O85">
        <v>402</v>
      </c>
      <c r="R85" s="3"/>
      <c r="S85" s="9"/>
      <c r="T85" s="11"/>
      <c r="U85" s="9"/>
      <c r="V85" s="11"/>
      <c r="W85" s="9"/>
      <c r="X85">
        <v>402</v>
      </c>
      <c r="AA85" s="3">
        <v>13.94</v>
      </c>
      <c r="AB85" s="9">
        <v>0.21615949632738721</v>
      </c>
    </row>
    <row r="86" spans="1:30" x14ac:dyDescent="0.25">
      <c r="A86" t="s">
        <v>47</v>
      </c>
      <c r="B86" t="s">
        <v>0</v>
      </c>
      <c r="C86">
        <v>64</v>
      </c>
      <c r="D86">
        <v>409</v>
      </c>
      <c r="E86">
        <v>11</v>
      </c>
      <c r="F86" t="s">
        <v>15</v>
      </c>
      <c r="G86">
        <v>765</v>
      </c>
      <c r="H86">
        <v>188</v>
      </c>
      <c r="I86" s="3">
        <v>13.12</v>
      </c>
      <c r="J86" s="9">
        <v>0.21282401091405184</v>
      </c>
      <c r="K86" s="11"/>
      <c r="M86" s="9"/>
      <c r="O86">
        <v>409</v>
      </c>
      <c r="R86" s="3"/>
      <c r="S86" s="9"/>
      <c r="T86" s="11"/>
      <c r="U86" s="9"/>
      <c r="V86" s="11"/>
      <c r="W86" s="9"/>
      <c r="X86">
        <v>409</v>
      </c>
      <c r="Y86">
        <v>668</v>
      </c>
      <c r="Z86">
        <v>184</v>
      </c>
      <c r="AA86" s="3">
        <v>12.5</v>
      </c>
      <c r="AB86" s="9">
        <v>0.2389937106918239</v>
      </c>
    </row>
    <row r="87" spans="1:30" x14ac:dyDescent="0.25">
      <c r="A87" t="s">
        <v>47</v>
      </c>
      <c r="B87" t="s">
        <v>0</v>
      </c>
      <c r="C87">
        <v>64</v>
      </c>
      <c r="D87">
        <v>435</v>
      </c>
      <c r="E87">
        <v>11</v>
      </c>
      <c r="F87" t="s">
        <v>15</v>
      </c>
      <c r="I87" s="3">
        <v>14.28</v>
      </c>
      <c r="J87" s="9">
        <v>0.22767295597484277</v>
      </c>
      <c r="K87" s="11"/>
      <c r="M87" s="9"/>
      <c r="O87">
        <v>435</v>
      </c>
      <c r="R87" s="3">
        <v>12.46</v>
      </c>
      <c r="S87" s="9">
        <v>0.25844930417495032</v>
      </c>
      <c r="T87" s="11"/>
      <c r="U87" s="9"/>
      <c r="V87" s="11"/>
      <c r="W87" s="9"/>
      <c r="X87">
        <v>435</v>
      </c>
      <c r="AA87" s="3">
        <v>10.6</v>
      </c>
      <c r="AB87" s="9">
        <v>0.23792270531400966</v>
      </c>
    </row>
    <row r="88" spans="1:30" x14ac:dyDescent="0.25">
      <c r="A88" t="s">
        <v>47</v>
      </c>
      <c r="B88" t="s">
        <v>0</v>
      </c>
      <c r="C88">
        <v>64</v>
      </c>
      <c r="D88">
        <v>104</v>
      </c>
      <c r="E88">
        <v>12</v>
      </c>
      <c r="F88" t="s">
        <v>33</v>
      </c>
      <c r="I88" s="3">
        <v>15.7</v>
      </c>
      <c r="J88" s="9">
        <v>0.22425952045133993</v>
      </c>
      <c r="K88" s="11"/>
      <c r="M88" s="9"/>
      <c r="O88">
        <v>104</v>
      </c>
      <c r="R88" s="3"/>
      <c r="S88" s="9"/>
      <c r="T88" s="11"/>
      <c r="U88" s="9"/>
      <c r="V88" s="11"/>
      <c r="W88" s="9"/>
      <c r="X88">
        <v>104</v>
      </c>
      <c r="AA88" s="3">
        <v>12.04</v>
      </c>
      <c r="AB88" s="9">
        <v>0.23569482288828339</v>
      </c>
    </row>
    <row r="89" spans="1:30" x14ac:dyDescent="0.25">
      <c r="A89" t="s">
        <v>47</v>
      </c>
      <c r="B89" t="s">
        <v>0</v>
      </c>
      <c r="C89">
        <v>64</v>
      </c>
      <c r="D89">
        <v>108</v>
      </c>
      <c r="E89">
        <v>12</v>
      </c>
      <c r="F89" t="s">
        <v>33</v>
      </c>
      <c r="I89" s="3">
        <v>17.72</v>
      </c>
      <c r="J89" s="9">
        <v>0.22054794520547946</v>
      </c>
      <c r="K89" s="11"/>
      <c r="M89" s="9"/>
      <c r="O89">
        <v>108</v>
      </c>
      <c r="R89" s="3"/>
      <c r="S89" s="9"/>
      <c r="T89" s="11"/>
      <c r="U89" s="9"/>
      <c r="V89" s="11"/>
      <c r="W89" s="9"/>
      <c r="X89">
        <v>108</v>
      </c>
      <c r="AA89" s="3">
        <v>12.16</v>
      </c>
      <c r="AB89" s="9">
        <v>0.24</v>
      </c>
    </row>
    <row r="90" spans="1:30" x14ac:dyDescent="0.25">
      <c r="A90" t="s">
        <v>47</v>
      </c>
      <c r="B90" t="s">
        <v>0</v>
      </c>
      <c r="C90">
        <v>64</v>
      </c>
      <c r="D90">
        <v>139</v>
      </c>
      <c r="E90">
        <v>12</v>
      </c>
      <c r="F90" t="s">
        <v>33</v>
      </c>
      <c r="I90" s="3">
        <v>17.48</v>
      </c>
      <c r="J90" s="9">
        <v>0.23514851485148514</v>
      </c>
      <c r="K90" s="11"/>
      <c r="M90" s="9"/>
      <c r="O90">
        <v>139</v>
      </c>
      <c r="R90" s="3">
        <v>13.54</v>
      </c>
      <c r="S90" s="9">
        <v>0.2710163111668758</v>
      </c>
      <c r="T90" s="11"/>
      <c r="U90" s="9"/>
      <c r="V90" s="11"/>
      <c r="W90" s="9"/>
      <c r="X90">
        <v>139</v>
      </c>
      <c r="AA90" s="3">
        <v>10.14</v>
      </c>
      <c r="AB90" s="9">
        <v>0.2389937106918239</v>
      </c>
    </row>
    <row r="91" spans="1:30" x14ac:dyDescent="0.25">
      <c r="A91" t="s">
        <v>47</v>
      </c>
      <c r="B91" t="s">
        <v>0</v>
      </c>
      <c r="C91">
        <v>64</v>
      </c>
      <c r="D91">
        <v>203</v>
      </c>
      <c r="E91">
        <v>12</v>
      </c>
      <c r="F91" t="s">
        <v>33</v>
      </c>
      <c r="I91" s="3">
        <v>16.68</v>
      </c>
      <c r="J91" s="9">
        <v>0.22132471728594508</v>
      </c>
      <c r="K91" s="11">
        <v>161</v>
      </c>
      <c r="L91" s="3">
        <f t="shared" ref="L91:L96" si="5">(I91+(((K91-32)/454)/J91))</f>
        <v>17.963819415415287</v>
      </c>
      <c r="M91" s="9"/>
      <c r="O91">
        <v>203</v>
      </c>
      <c r="R91" s="3"/>
      <c r="S91" s="9"/>
      <c r="T91" s="11"/>
      <c r="U91" s="9"/>
      <c r="V91" s="11"/>
      <c r="W91" s="9"/>
      <c r="X91">
        <v>203</v>
      </c>
      <c r="AA91" s="3">
        <v>11.32</v>
      </c>
      <c r="AB91" s="9">
        <v>0.23312883435582821</v>
      </c>
    </row>
    <row r="92" spans="1:30" x14ac:dyDescent="0.25">
      <c r="A92" t="s">
        <v>47</v>
      </c>
      <c r="B92" t="s">
        <v>0</v>
      </c>
      <c r="C92">
        <v>64</v>
      </c>
      <c r="D92">
        <v>207</v>
      </c>
      <c r="E92">
        <v>12</v>
      </c>
      <c r="F92" t="s">
        <v>33</v>
      </c>
      <c r="I92" s="3">
        <v>16.7</v>
      </c>
      <c r="J92" s="9">
        <v>0.22727272727272727</v>
      </c>
      <c r="K92" s="11">
        <v>100</v>
      </c>
      <c r="L92" s="3">
        <f t="shared" si="5"/>
        <v>17.359030837004404</v>
      </c>
      <c r="M92" s="9"/>
      <c r="O92">
        <v>207</v>
      </c>
      <c r="R92" s="3"/>
      <c r="S92" s="9"/>
      <c r="T92" s="11"/>
      <c r="U92" s="9"/>
      <c r="V92" s="11"/>
      <c r="W92" s="9"/>
      <c r="X92">
        <v>207</v>
      </c>
      <c r="AA92" s="3">
        <v>10.38</v>
      </c>
      <c r="AB92" s="9">
        <v>0.24794520547945206</v>
      </c>
    </row>
    <row r="93" spans="1:30" x14ac:dyDescent="0.25">
      <c r="A93" t="s">
        <v>47</v>
      </c>
      <c r="B93" t="s">
        <v>0</v>
      </c>
      <c r="C93">
        <v>64</v>
      </c>
      <c r="D93">
        <v>238</v>
      </c>
      <c r="E93">
        <v>12</v>
      </c>
      <c r="F93" t="s">
        <v>33</v>
      </c>
      <c r="I93" s="3">
        <v>16.48</v>
      </c>
      <c r="J93" s="9">
        <v>0.21359223300970873</v>
      </c>
      <c r="K93" s="11">
        <v>172</v>
      </c>
      <c r="L93" s="3">
        <f t="shared" si="5"/>
        <v>17.92373247897477</v>
      </c>
      <c r="M93" s="9"/>
      <c r="O93">
        <v>238</v>
      </c>
      <c r="R93" s="3">
        <v>12.76</v>
      </c>
      <c r="S93" s="9">
        <v>0.24634146341463414</v>
      </c>
      <c r="T93" s="11">
        <v>142</v>
      </c>
      <c r="U93" s="3">
        <f>(R93+(((T93-32)/454)/S93))</f>
        <v>13.743556505430279</v>
      </c>
      <c r="V93" s="11"/>
      <c r="W93" s="9"/>
      <c r="X93">
        <v>238</v>
      </c>
      <c r="AA93" s="3">
        <v>9.6199999999999992</v>
      </c>
      <c r="AB93" s="9">
        <v>0.23706176961602671</v>
      </c>
      <c r="AC93">
        <v>83</v>
      </c>
      <c r="AD93" s="3">
        <f>(AA93+(((AC93-32)/454)/AB93))</f>
        <v>10.093863001799342</v>
      </c>
    </row>
    <row r="94" spans="1:30" x14ac:dyDescent="0.25">
      <c r="A94" t="s">
        <v>47</v>
      </c>
      <c r="B94" t="s">
        <v>0</v>
      </c>
      <c r="C94">
        <v>64</v>
      </c>
      <c r="D94">
        <v>303</v>
      </c>
      <c r="E94">
        <v>12</v>
      </c>
      <c r="F94" t="s">
        <v>33</v>
      </c>
      <c r="I94" s="3">
        <v>17.7</v>
      </c>
      <c r="J94" s="9">
        <v>0.21232876712328766</v>
      </c>
      <c r="K94" s="11">
        <v>124</v>
      </c>
      <c r="L94" s="3">
        <f t="shared" si="5"/>
        <v>18.654383970441948</v>
      </c>
      <c r="M94" s="9"/>
      <c r="O94">
        <v>303</v>
      </c>
      <c r="R94" s="3"/>
      <c r="S94" s="9"/>
      <c r="T94" s="11"/>
      <c r="U94" s="9"/>
      <c r="V94" s="11"/>
      <c r="W94" s="9"/>
      <c r="X94">
        <v>303</v>
      </c>
      <c r="AA94" s="3">
        <v>12.28</v>
      </c>
      <c r="AB94" s="9">
        <v>0.2360248447204969</v>
      </c>
    </row>
    <row r="95" spans="1:30" x14ac:dyDescent="0.25">
      <c r="A95" t="s">
        <v>47</v>
      </c>
      <c r="B95" t="s">
        <v>0</v>
      </c>
      <c r="C95">
        <v>64</v>
      </c>
      <c r="D95">
        <v>308</v>
      </c>
      <c r="E95">
        <v>12</v>
      </c>
      <c r="F95" t="s">
        <v>33</v>
      </c>
      <c r="I95" s="3">
        <v>17.64</v>
      </c>
      <c r="J95" s="9">
        <v>0.23276983094928477</v>
      </c>
      <c r="K95" s="11">
        <v>163</v>
      </c>
      <c r="L95" s="3">
        <f t="shared" si="5"/>
        <v>18.879620505500455</v>
      </c>
      <c r="M95" s="9"/>
      <c r="O95">
        <v>308</v>
      </c>
      <c r="R95" s="3"/>
      <c r="S95" s="9"/>
      <c r="T95" s="11"/>
      <c r="U95" s="9"/>
      <c r="V95" s="11"/>
      <c r="W95" s="9"/>
      <c r="X95">
        <v>308</v>
      </c>
      <c r="AA95" s="3">
        <v>11.28</v>
      </c>
      <c r="AB95" s="9">
        <v>0.22802197802197802</v>
      </c>
    </row>
    <row r="96" spans="1:30" x14ac:dyDescent="0.25">
      <c r="A96" t="s">
        <v>47</v>
      </c>
      <c r="B96" t="s">
        <v>0</v>
      </c>
      <c r="C96">
        <v>64</v>
      </c>
      <c r="D96">
        <v>348</v>
      </c>
      <c r="E96">
        <v>12</v>
      </c>
      <c r="F96" t="s">
        <v>33</v>
      </c>
      <c r="I96" s="3">
        <v>15.94</v>
      </c>
      <c r="J96" s="9">
        <v>0.23333333333333334</v>
      </c>
      <c r="K96" s="11">
        <v>121</v>
      </c>
      <c r="L96" s="3">
        <f t="shared" si="5"/>
        <v>16.780151038388922</v>
      </c>
      <c r="M96" s="9"/>
      <c r="O96">
        <v>348</v>
      </c>
      <c r="R96" s="3">
        <v>12.76</v>
      </c>
      <c r="S96" s="9">
        <v>0.24960753532182103</v>
      </c>
      <c r="T96" s="11">
        <v>115</v>
      </c>
      <c r="U96" s="3">
        <f>(R96+(((T96-32)/454)/S96))</f>
        <v>13.492427340481534</v>
      </c>
      <c r="V96" s="11"/>
      <c r="W96" s="9"/>
      <c r="X96">
        <v>348</v>
      </c>
      <c r="AA96" s="3">
        <v>10.16</v>
      </c>
      <c r="AB96" s="9">
        <v>0.23281250000000001</v>
      </c>
      <c r="AC96">
        <v>88</v>
      </c>
      <c r="AD96" s="3">
        <f>(AA96+(((AC96-32)/454)/AB96))</f>
        <v>10.689816988439819</v>
      </c>
    </row>
    <row r="97" spans="1:28" x14ac:dyDescent="0.25">
      <c r="A97" t="s">
        <v>47</v>
      </c>
      <c r="B97" t="s">
        <v>0</v>
      </c>
      <c r="C97">
        <v>64</v>
      </c>
      <c r="D97">
        <v>404</v>
      </c>
      <c r="E97">
        <v>12</v>
      </c>
      <c r="F97" t="s">
        <v>33</v>
      </c>
      <c r="I97" s="3">
        <v>17.98</v>
      </c>
      <c r="J97" s="9">
        <v>0.23010752688172043</v>
      </c>
      <c r="K97" s="11"/>
      <c r="M97" s="9"/>
      <c r="O97">
        <v>404</v>
      </c>
      <c r="R97" s="3"/>
      <c r="S97" s="9"/>
      <c r="T97" s="11"/>
      <c r="U97" s="9"/>
      <c r="V97" s="11"/>
      <c r="W97" s="9"/>
      <c r="X97">
        <v>404</v>
      </c>
      <c r="Y97" t="s">
        <v>48</v>
      </c>
      <c r="AA97" s="3">
        <v>13.5</v>
      </c>
      <c r="AB97" s="9">
        <v>0.21615949632738721</v>
      </c>
    </row>
    <row r="98" spans="1:28" x14ac:dyDescent="0.25">
      <c r="A98" t="s">
        <v>47</v>
      </c>
      <c r="B98" t="s">
        <v>0</v>
      </c>
      <c r="C98">
        <v>64</v>
      </c>
      <c r="D98">
        <v>406</v>
      </c>
      <c r="E98">
        <v>12</v>
      </c>
      <c r="F98" t="s">
        <v>33</v>
      </c>
      <c r="I98" s="3">
        <v>15.76</v>
      </c>
      <c r="J98" s="9">
        <v>0.20135363790186125</v>
      </c>
      <c r="K98" s="11"/>
      <c r="M98" s="9"/>
      <c r="O98">
        <v>406</v>
      </c>
      <c r="R98" s="3"/>
      <c r="S98" s="9"/>
      <c r="T98" s="11"/>
      <c r="U98" s="9"/>
      <c r="V98" s="11"/>
      <c r="W98" s="9"/>
      <c r="X98">
        <v>406</v>
      </c>
      <c r="AA98" s="3">
        <v>12.8</v>
      </c>
      <c r="AB98" s="9">
        <v>0.21299638989169675</v>
      </c>
    </row>
    <row r="99" spans="1:28" x14ac:dyDescent="0.25">
      <c r="A99" t="s">
        <v>47</v>
      </c>
      <c r="B99" t="s">
        <v>0</v>
      </c>
      <c r="C99">
        <v>64</v>
      </c>
      <c r="D99">
        <v>417</v>
      </c>
      <c r="E99">
        <v>12</v>
      </c>
      <c r="F99" t="s">
        <v>33</v>
      </c>
      <c r="G99">
        <v>796</v>
      </c>
      <c r="H99">
        <v>199</v>
      </c>
      <c r="I99" s="3">
        <v>15.86</v>
      </c>
      <c r="J99" s="9">
        <v>0.21858638743455497</v>
      </c>
      <c r="K99" s="11"/>
      <c r="M99" s="9"/>
      <c r="O99">
        <v>417</v>
      </c>
      <c r="P99">
        <v>666</v>
      </c>
      <c r="Q99">
        <v>191</v>
      </c>
      <c r="R99" s="3">
        <v>13.9</v>
      </c>
      <c r="S99" s="9">
        <v>0.25078864353312302</v>
      </c>
      <c r="T99" s="11"/>
      <c r="U99" s="9"/>
      <c r="V99" s="11"/>
      <c r="W99" s="9"/>
      <c r="X99">
        <v>417</v>
      </c>
      <c r="Y99">
        <v>757</v>
      </c>
      <c r="Z99">
        <v>192</v>
      </c>
      <c r="AA99" s="3">
        <v>12.36</v>
      </c>
      <c r="AB99" s="9">
        <v>0.22068965517241379</v>
      </c>
    </row>
    <row r="100" spans="1:28" x14ac:dyDescent="0.25">
      <c r="A100" t="s">
        <v>47</v>
      </c>
      <c r="B100" t="s">
        <v>0</v>
      </c>
      <c r="C100">
        <v>64</v>
      </c>
      <c r="D100">
        <v>144</v>
      </c>
      <c r="E100">
        <v>13</v>
      </c>
      <c r="F100" t="s">
        <v>24</v>
      </c>
      <c r="I100" s="3">
        <v>15.26</v>
      </c>
      <c r="J100" s="9">
        <v>0.21941747572815534</v>
      </c>
      <c r="K100" s="11"/>
      <c r="M100" s="9"/>
      <c r="O100">
        <v>144</v>
      </c>
      <c r="R100" s="3">
        <v>14.28</v>
      </c>
      <c r="S100" s="9">
        <v>0.24887556221889057</v>
      </c>
      <c r="T100" s="11"/>
      <c r="U100" s="9"/>
      <c r="V100" s="11"/>
      <c r="W100" s="9"/>
      <c r="X100">
        <v>144</v>
      </c>
      <c r="AA100" s="3">
        <v>9.74</v>
      </c>
      <c r="AB100" s="9">
        <v>0.2363367799113737</v>
      </c>
    </row>
    <row r="101" spans="1:28" x14ac:dyDescent="0.25">
      <c r="A101" t="s">
        <v>47</v>
      </c>
      <c r="B101" t="s">
        <v>0</v>
      </c>
      <c r="C101">
        <v>64</v>
      </c>
      <c r="D101">
        <v>227</v>
      </c>
      <c r="E101">
        <v>13</v>
      </c>
      <c r="F101" t="s">
        <v>24</v>
      </c>
      <c r="I101" s="3">
        <v>17.079999999999998</v>
      </c>
      <c r="J101" s="9">
        <v>0.21238938053097345</v>
      </c>
      <c r="K101" s="11">
        <v>125</v>
      </c>
      <c r="L101" s="3">
        <f>(I101+(((K101-32)/454)/J101))</f>
        <v>18.044482378854624</v>
      </c>
      <c r="M101" s="9"/>
      <c r="O101">
        <v>227</v>
      </c>
      <c r="R101" s="3">
        <v>13.88</v>
      </c>
      <c r="S101" s="9">
        <v>0.24670433145009416</v>
      </c>
      <c r="T101" s="11">
        <v>125</v>
      </c>
      <c r="U101" s="3">
        <f>(R101+(((T101-32)/454)/S101))</f>
        <v>14.710329219490871</v>
      </c>
      <c r="V101" s="11"/>
      <c r="W101" s="9"/>
      <c r="X101">
        <v>227</v>
      </c>
      <c r="AA101" s="3">
        <v>10.24</v>
      </c>
      <c r="AB101" s="9">
        <v>0.2440119760479042</v>
      </c>
    </row>
    <row r="102" spans="1:28" x14ac:dyDescent="0.25">
      <c r="A102" t="s">
        <v>47</v>
      </c>
      <c r="B102" t="s">
        <v>0</v>
      </c>
      <c r="C102">
        <v>64</v>
      </c>
      <c r="D102">
        <v>321</v>
      </c>
      <c r="E102">
        <v>13</v>
      </c>
      <c r="F102" t="s">
        <v>24</v>
      </c>
      <c r="G102">
        <v>684</v>
      </c>
      <c r="H102">
        <v>175</v>
      </c>
      <c r="I102" s="3">
        <v>15.78</v>
      </c>
      <c r="J102" s="9">
        <v>0.21932515337423314</v>
      </c>
      <c r="K102" s="11">
        <v>112</v>
      </c>
      <c r="L102" s="3">
        <f>(I102+(((K102-32)/454)/J102))</f>
        <v>16.583425649240628</v>
      </c>
      <c r="M102" s="9"/>
      <c r="O102">
        <v>321</v>
      </c>
      <c r="P102">
        <v>633</v>
      </c>
      <c r="Q102">
        <v>178</v>
      </c>
      <c r="R102" s="3">
        <v>13.88</v>
      </c>
      <c r="S102" s="9">
        <v>0.24292845257903495</v>
      </c>
      <c r="T102" s="11">
        <v>173</v>
      </c>
      <c r="U102" s="3">
        <f>(R102+(((T102-32)/454)/S102))</f>
        <v>15.158453322068675</v>
      </c>
      <c r="V102" s="11"/>
      <c r="W102" s="9"/>
      <c r="X102">
        <v>321</v>
      </c>
      <c r="Y102">
        <v>612</v>
      </c>
      <c r="Z102">
        <v>169</v>
      </c>
      <c r="AA102" s="3">
        <v>9.36</v>
      </c>
      <c r="AB102" s="9">
        <v>0.23620689655172414</v>
      </c>
    </row>
    <row r="103" spans="1:28" x14ac:dyDescent="0.25">
      <c r="A103" t="s">
        <v>47</v>
      </c>
      <c r="B103" t="s">
        <v>0</v>
      </c>
      <c r="C103">
        <v>64</v>
      </c>
      <c r="D103">
        <v>436</v>
      </c>
      <c r="E103">
        <v>13</v>
      </c>
      <c r="F103" t="s">
        <v>24</v>
      </c>
      <c r="I103" s="3">
        <v>16.059999999999999</v>
      </c>
      <c r="J103" s="9">
        <v>0.22767295597484277</v>
      </c>
      <c r="K103" s="11"/>
      <c r="M103" s="9"/>
      <c r="O103">
        <v>436</v>
      </c>
      <c r="R103" s="3">
        <v>13.7</v>
      </c>
      <c r="S103" s="9">
        <v>0.25844930417495032</v>
      </c>
      <c r="T103" s="11"/>
      <c r="U103" s="9"/>
      <c r="V103" s="11"/>
      <c r="W103" s="9"/>
      <c r="X103">
        <v>436</v>
      </c>
      <c r="AA103" s="3">
        <v>10.28</v>
      </c>
      <c r="AB103" s="9">
        <v>0.23792270531400966</v>
      </c>
    </row>
    <row r="104" spans="1:28" x14ac:dyDescent="0.25">
      <c r="A104" t="s">
        <v>47</v>
      </c>
      <c r="B104" t="s">
        <v>0</v>
      </c>
      <c r="C104">
        <v>64</v>
      </c>
      <c r="D104">
        <v>114</v>
      </c>
      <c r="E104">
        <v>14</v>
      </c>
      <c r="F104" t="s">
        <v>25</v>
      </c>
      <c r="I104" s="3">
        <v>18.899999999999999</v>
      </c>
      <c r="J104" s="9">
        <v>0.22180916976456011</v>
      </c>
      <c r="K104" s="11"/>
      <c r="M104" s="9"/>
      <c r="O104">
        <v>114</v>
      </c>
      <c r="R104" s="3">
        <v>13.66</v>
      </c>
      <c r="S104" s="9">
        <v>0.24912280701754386</v>
      </c>
      <c r="T104" s="11"/>
      <c r="U104" s="9"/>
      <c r="V104" s="11"/>
      <c r="W104" s="9"/>
      <c r="X104">
        <v>114</v>
      </c>
      <c r="AA104" s="3">
        <v>11.42</v>
      </c>
      <c r="AB104" s="9">
        <v>0.22103658536585366</v>
      </c>
    </row>
    <row r="105" spans="1:28" x14ac:dyDescent="0.25">
      <c r="A105" t="s">
        <v>47</v>
      </c>
      <c r="B105" t="s">
        <v>0</v>
      </c>
      <c r="C105">
        <v>64</v>
      </c>
      <c r="D105">
        <v>219</v>
      </c>
      <c r="E105">
        <v>14</v>
      </c>
      <c r="F105" t="s">
        <v>25</v>
      </c>
      <c r="I105" s="3">
        <v>16.84</v>
      </c>
      <c r="J105" s="9">
        <v>0.22562674094707522</v>
      </c>
      <c r="K105" s="11">
        <v>124</v>
      </c>
      <c r="L105" s="3">
        <f>(I105+(((K105-32)/454)/J105))</f>
        <v>17.738134551585357</v>
      </c>
      <c r="M105" s="9"/>
      <c r="O105">
        <v>219</v>
      </c>
      <c r="R105" s="3">
        <v>11.74</v>
      </c>
      <c r="S105" s="9">
        <v>0.2428035043804756</v>
      </c>
      <c r="T105" s="11">
        <v>185</v>
      </c>
      <c r="U105" s="3">
        <f>(R105+(((T105-32)/454)/S105))</f>
        <v>13.127971751669014</v>
      </c>
      <c r="V105" s="11"/>
      <c r="W105" s="9"/>
      <c r="X105">
        <v>219</v>
      </c>
      <c r="AA105" s="3">
        <v>11.16</v>
      </c>
      <c r="AB105" s="9">
        <v>0.23404255319148937</v>
      </c>
    </row>
    <row r="106" spans="1:28" x14ac:dyDescent="0.25">
      <c r="A106" t="s">
        <v>47</v>
      </c>
      <c r="B106" t="s">
        <v>0</v>
      </c>
      <c r="C106">
        <v>64</v>
      </c>
      <c r="D106">
        <v>329</v>
      </c>
      <c r="E106">
        <v>14</v>
      </c>
      <c r="F106" t="s">
        <v>25</v>
      </c>
      <c r="G106">
        <v>630</v>
      </c>
      <c r="H106">
        <v>167</v>
      </c>
      <c r="I106" s="3">
        <v>14.52</v>
      </c>
      <c r="J106" s="9">
        <v>0.225752508361204</v>
      </c>
      <c r="K106" s="11">
        <v>93</v>
      </c>
      <c r="L106" s="3">
        <f>(I106+(((K106-32)/454)/J106))</f>
        <v>15.115170500897372</v>
      </c>
      <c r="M106" s="9"/>
      <c r="O106">
        <v>329</v>
      </c>
      <c r="P106">
        <v>914</v>
      </c>
      <c r="Q106">
        <v>238</v>
      </c>
      <c r="R106" s="3">
        <v>9.48</v>
      </c>
      <c r="S106" s="9">
        <v>0.23356009070294784</v>
      </c>
      <c r="T106" s="11">
        <v>159</v>
      </c>
      <c r="U106" s="3">
        <f>(R106+(((T106-32)/454)/S106))</f>
        <v>10.677703263333477</v>
      </c>
      <c r="V106" s="11"/>
      <c r="W106" s="9"/>
      <c r="X106">
        <v>329</v>
      </c>
      <c r="Y106">
        <v>580</v>
      </c>
      <c r="Z106">
        <v>159</v>
      </c>
      <c r="AA106" s="3">
        <v>9.34</v>
      </c>
      <c r="AB106" s="9">
        <v>0.23175182481751824</v>
      </c>
    </row>
    <row r="107" spans="1:28" x14ac:dyDescent="0.25">
      <c r="A107" t="s">
        <v>47</v>
      </c>
      <c r="B107" t="s">
        <v>0</v>
      </c>
      <c r="C107">
        <v>64</v>
      </c>
      <c r="D107">
        <v>442</v>
      </c>
      <c r="E107">
        <v>14</v>
      </c>
      <c r="F107" t="s">
        <v>25</v>
      </c>
      <c r="I107" s="3">
        <v>17.059999999999999</v>
      </c>
      <c r="J107" s="9">
        <v>0.23709369024856597</v>
      </c>
      <c r="K107" s="11"/>
      <c r="M107" s="9"/>
      <c r="O107">
        <v>442</v>
      </c>
      <c r="R107" s="3">
        <v>12.32</v>
      </c>
      <c r="S107" s="9">
        <v>0.25694444444444442</v>
      </c>
      <c r="T107" s="11"/>
      <c r="U107" s="9"/>
      <c r="V107" s="11"/>
      <c r="W107" s="9"/>
      <c r="X107">
        <v>442</v>
      </c>
      <c r="AA107" s="3">
        <v>10</v>
      </c>
      <c r="AB107" s="9">
        <v>0.24264705882352941</v>
      </c>
    </row>
    <row r="108" spans="1:28" x14ac:dyDescent="0.25">
      <c r="A108" t="s">
        <v>47</v>
      </c>
      <c r="B108" t="s">
        <v>0</v>
      </c>
      <c r="C108">
        <v>64</v>
      </c>
      <c r="D108">
        <v>145</v>
      </c>
      <c r="E108">
        <v>15</v>
      </c>
      <c r="F108" t="s">
        <v>20</v>
      </c>
      <c r="G108">
        <v>668</v>
      </c>
      <c r="H108">
        <v>174</v>
      </c>
      <c r="I108" s="3">
        <v>14.8</v>
      </c>
      <c r="J108" s="9">
        <v>0.22327044025157233</v>
      </c>
      <c r="K108" s="11"/>
      <c r="M108" s="9"/>
      <c r="O108">
        <v>145</v>
      </c>
      <c r="P108">
        <v>611</v>
      </c>
      <c r="Q108">
        <v>175</v>
      </c>
      <c r="R108" s="3">
        <v>14.08</v>
      </c>
      <c r="S108" s="9">
        <v>0.24697754749568221</v>
      </c>
      <c r="T108" s="11"/>
      <c r="U108" s="9"/>
      <c r="V108" s="11"/>
      <c r="W108" s="9"/>
      <c r="X108">
        <v>145</v>
      </c>
      <c r="Y108">
        <v>690</v>
      </c>
      <c r="Z108">
        <v>183</v>
      </c>
      <c r="AA108" s="3">
        <v>9.2799999999999994</v>
      </c>
      <c r="AB108" s="9">
        <v>0.22948328267477203</v>
      </c>
    </row>
    <row r="109" spans="1:28" x14ac:dyDescent="0.25">
      <c r="A109" t="s">
        <v>47</v>
      </c>
      <c r="B109" t="s">
        <v>0</v>
      </c>
      <c r="C109">
        <v>64</v>
      </c>
      <c r="D109">
        <v>234</v>
      </c>
      <c r="E109">
        <v>15</v>
      </c>
      <c r="F109" t="s">
        <v>20</v>
      </c>
      <c r="I109" s="3">
        <v>16.04</v>
      </c>
      <c r="J109" s="9">
        <v>0.23031026252983294</v>
      </c>
      <c r="K109" s="11">
        <v>114</v>
      </c>
      <c r="L109" s="3">
        <f>(I109+(((K109-32)/454)/J109))</f>
        <v>16.824232270434365</v>
      </c>
      <c r="M109" s="9"/>
      <c r="O109">
        <v>234</v>
      </c>
      <c r="R109" s="3">
        <v>12.98</v>
      </c>
      <c r="S109" s="9">
        <v>0.25032765399737877</v>
      </c>
      <c r="T109" s="11">
        <v>93</v>
      </c>
      <c r="U109" s="3">
        <f>(R109+(((T109-32)/454)/S109))</f>
        <v>13.516741471965311</v>
      </c>
      <c r="V109" s="11"/>
      <c r="W109" s="9"/>
      <c r="X109">
        <v>234</v>
      </c>
      <c r="AA109" s="3">
        <v>11.42</v>
      </c>
      <c r="AB109" s="9">
        <v>0.24022346368715083</v>
      </c>
    </row>
    <row r="110" spans="1:28" x14ac:dyDescent="0.25">
      <c r="A110" t="s">
        <v>47</v>
      </c>
      <c r="B110" t="s">
        <v>0</v>
      </c>
      <c r="C110">
        <v>64</v>
      </c>
      <c r="D110">
        <v>320</v>
      </c>
      <c r="E110">
        <v>15</v>
      </c>
      <c r="F110" t="s">
        <v>20</v>
      </c>
      <c r="I110" s="3">
        <v>15.8</v>
      </c>
      <c r="J110" s="9">
        <v>0.22411693057247259</v>
      </c>
      <c r="K110" s="11">
        <v>116</v>
      </c>
      <c r="L110" s="3">
        <f>(I110+(((K110-32)/454)/J110))</f>
        <v>16.625560237502395</v>
      </c>
      <c r="M110" s="9"/>
      <c r="O110">
        <v>320</v>
      </c>
      <c r="R110" s="3">
        <v>13.6</v>
      </c>
      <c r="S110" s="9">
        <v>0.23280423280423279</v>
      </c>
      <c r="T110" s="11">
        <v>154</v>
      </c>
      <c r="U110" s="3">
        <f>(R110+(((T110-32)/454)/S110))</f>
        <v>14.754285142170604</v>
      </c>
      <c r="V110" s="11"/>
      <c r="W110" s="9"/>
      <c r="X110">
        <v>320</v>
      </c>
      <c r="AA110" s="3">
        <v>11.06</v>
      </c>
      <c r="AB110" s="9">
        <v>0.22046109510086456</v>
      </c>
    </row>
    <row r="111" spans="1:28" x14ac:dyDescent="0.25">
      <c r="A111" t="s">
        <v>47</v>
      </c>
      <c r="B111" t="s">
        <v>0</v>
      </c>
      <c r="C111">
        <v>64</v>
      </c>
      <c r="D111">
        <v>425</v>
      </c>
      <c r="E111">
        <v>15</v>
      </c>
      <c r="F111" t="s">
        <v>20</v>
      </c>
      <c r="G111">
        <v>682</v>
      </c>
      <c r="H111">
        <v>174</v>
      </c>
      <c r="I111" s="3">
        <v>14.36</v>
      </c>
      <c r="J111" s="9">
        <v>0.21846153846153846</v>
      </c>
      <c r="K111" s="11"/>
      <c r="M111" s="9"/>
      <c r="O111">
        <v>425</v>
      </c>
      <c r="P111">
        <v>693</v>
      </c>
      <c r="Q111">
        <v>198</v>
      </c>
      <c r="R111" s="3">
        <v>13.08</v>
      </c>
      <c r="S111" s="9">
        <v>0.25113464447806355</v>
      </c>
      <c r="T111" s="11"/>
      <c r="U111" s="9"/>
      <c r="V111" s="11"/>
      <c r="W111" s="9"/>
      <c r="X111">
        <v>425</v>
      </c>
      <c r="Y111">
        <v>593</v>
      </c>
      <c r="Z111">
        <v>164</v>
      </c>
      <c r="AA111" s="3">
        <v>12.54</v>
      </c>
      <c r="AB111" s="9">
        <v>0.23529411764705882</v>
      </c>
    </row>
    <row r="112" spans="1:28" x14ac:dyDescent="0.25">
      <c r="A112" t="s">
        <v>47</v>
      </c>
      <c r="B112" t="s">
        <v>0</v>
      </c>
      <c r="C112">
        <v>64</v>
      </c>
      <c r="D112">
        <v>141</v>
      </c>
      <c r="E112">
        <v>16</v>
      </c>
      <c r="F112" t="s">
        <v>12</v>
      </c>
      <c r="G112">
        <v>547</v>
      </c>
      <c r="H112">
        <v>145</v>
      </c>
      <c r="I112" s="3">
        <v>14.46</v>
      </c>
      <c r="J112" s="9">
        <v>0.21941747572815534</v>
      </c>
      <c r="K112" s="11"/>
      <c r="M112" s="9"/>
      <c r="O112">
        <v>141</v>
      </c>
      <c r="P112">
        <v>699</v>
      </c>
      <c r="Q112">
        <v>198</v>
      </c>
      <c r="R112" s="3">
        <v>13.02</v>
      </c>
      <c r="S112" s="9">
        <v>0.24887556221889057</v>
      </c>
      <c r="T112" s="11"/>
      <c r="U112" s="9"/>
      <c r="V112" s="11"/>
      <c r="W112" s="9"/>
      <c r="X112">
        <v>141</v>
      </c>
      <c r="Y112">
        <v>709</v>
      </c>
      <c r="Z112">
        <v>192</v>
      </c>
      <c r="AA112" s="3">
        <v>8.68</v>
      </c>
      <c r="AB112" s="9">
        <v>0.2363367799113737</v>
      </c>
    </row>
    <row r="113" spans="1:28" x14ac:dyDescent="0.25">
      <c r="A113" t="s">
        <v>47</v>
      </c>
      <c r="B113" t="s">
        <v>0</v>
      </c>
      <c r="C113">
        <v>64</v>
      </c>
      <c r="D113">
        <v>216</v>
      </c>
      <c r="E113">
        <v>16</v>
      </c>
      <c r="F113" t="s">
        <v>12</v>
      </c>
      <c r="I113" s="3">
        <v>14.84</v>
      </c>
      <c r="J113" s="9">
        <v>0.22950819672131148</v>
      </c>
      <c r="K113" s="11">
        <v>76</v>
      </c>
      <c r="L113" s="3">
        <f>(I113+(((K113-32)/454)/J113))</f>
        <v>15.262278162366268</v>
      </c>
      <c r="M113" s="9"/>
      <c r="O113">
        <v>216</v>
      </c>
      <c r="R113" s="3">
        <v>14.34</v>
      </c>
      <c r="S113" s="9">
        <v>0.24118738404452691</v>
      </c>
      <c r="T113" s="11">
        <v>99</v>
      </c>
      <c r="U113" s="3">
        <f>(R113+(((T113-32)/454)/S113))</f>
        <v>14.951877329718739</v>
      </c>
      <c r="V113" s="11"/>
      <c r="W113" s="9"/>
      <c r="X113">
        <v>216</v>
      </c>
      <c r="AA113" s="3">
        <v>9.76</v>
      </c>
      <c r="AB113" s="9">
        <v>0.23307291666666666</v>
      </c>
    </row>
    <row r="114" spans="1:28" x14ac:dyDescent="0.25">
      <c r="A114" t="s">
        <v>47</v>
      </c>
      <c r="B114" t="s">
        <v>0</v>
      </c>
      <c r="C114">
        <v>64</v>
      </c>
      <c r="D114">
        <v>324</v>
      </c>
      <c r="E114">
        <v>16</v>
      </c>
      <c r="F114" t="s">
        <v>12</v>
      </c>
      <c r="I114" s="3">
        <v>12.94</v>
      </c>
      <c r="J114" s="9">
        <v>0.21932515337423314</v>
      </c>
      <c r="K114" s="11">
        <v>90</v>
      </c>
      <c r="L114" s="3">
        <f>(I114+(((K114-32)/454)/J114))</f>
        <v>13.522483595699454</v>
      </c>
      <c r="M114" s="9"/>
      <c r="O114">
        <v>324</v>
      </c>
      <c r="R114" s="3">
        <v>12.66</v>
      </c>
      <c r="S114" s="9">
        <v>0.24292845257903495</v>
      </c>
      <c r="T114" s="11">
        <v>152</v>
      </c>
      <c r="U114" s="3">
        <f>(R114+(((T114-32)/454)/S114))</f>
        <v>13.748045380483978</v>
      </c>
      <c r="V114" s="11"/>
      <c r="W114" s="9"/>
      <c r="X114">
        <v>324</v>
      </c>
      <c r="AA114" s="3">
        <v>9.0399999999999991</v>
      </c>
      <c r="AB114" s="9">
        <v>0.23620689655172414</v>
      </c>
    </row>
    <row r="115" spans="1:28" x14ac:dyDescent="0.25">
      <c r="A115" t="s">
        <v>47</v>
      </c>
      <c r="B115" t="s">
        <v>0</v>
      </c>
      <c r="C115">
        <v>64</v>
      </c>
      <c r="D115">
        <v>421</v>
      </c>
      <c r="E115">
        <v>16</v>
      </c>
      <c r="F115" t="s">
        <v>12</v>
      </c>
      <c r="G115">
        <v>822</v>
      </c>
      <c r="H115">
        <v>204</v>
      </c>
      <c r="I115" s="3">
        <v>13.52</v>
      </c>
      <c r="J115" s="9">
        <v>0.21772151898734177</v>
      </c>
      <c r="K115" s="11"/>
      <c r="M115" s="9"/>
      <c r="O115">
        <v>421</v>
      </c>
      <c r="P115">
        <v>637</v>
      </c>
      <c r="Q115">
        <v>180</v>
      </c>
      <c r="R115" s="3">
        <v>11.84</v>
      </c>
      <c r="S115" s="9">
        <v>0.24462809917355371</v>
      </c>
      <c r="T115" s="11"/>
      <c r="U115" s="9"/>
      <c r="V115" s="11"/>
      <c r="W115" s="9"/>
      <c r="X115">
        <v>421</v>
      </c>
      <c r="Y115">
        <v>540</v>
      </c>
      <c r="Z115">
        <v>148</v>
      </c>
      <c r="AA115" s="3">
        <v>9.68</v>
      </c>
      <c r="AB115" s="9">
        <v>0.2283464566929134</v>
      </c>
    </row>
    <row r="116" spans="1:28" x14ac:dyDescent="0.25">
      <c r="A116" t="s">
        <v>47</v>
      </c>
      <c r="B116" t="s">
        <v>0</v>
      </c>
      <c r="C116">
        <v>64</v>
      </c>
      <c r="D116">
        <v>147</v>
      </c>
      <c r="E116">
        <v>17</v>
      </c>
      <c r="F116" t="s">
        <v>17</v>
      </c>
      <c r="I116" s="3">
        <v>12.7</v>
      </c>
      <c r="J116" s="9">
        <v>0.22327044025157233</v>
      </c>
      <c r="K116" s="11"/>
      <c r="M116" s="9"/>
      <c r="O116">
        <v>147</v>
      </c>
      <c r="R116" s="3">
        <v>14.16</v>
      </c>
      <c r="S116" s="9">
        <v>0.24697754749568221</v>
      </c>
      <c r="T116" s="11"/>
      <c r="U116" s="9"/>
      <c r="V116" s="11"/>
      <c r="W116" s="9"/>
      <c r="X116">
        <v>147</v>
      </c>
      <c r="AA116" s="3">
        <v>8.68</v>
      </c>
      <c r="AB116" s="9">
        <v>0.22948328267477203</v>
      </c>
    </row>
    <row r="117" spans="1:28" x14ac:dyDescent="0.25">
      <c r="A117" t="s">
        <v>47</v>
      </c>
      <c r="B117" t="s">
        <v>0</v>
      </c>
      <c r="C117">
        <v>64</v>
      </c>
      <c r="D117">
        <v>243</v>
      </c>
      <c r="E117">
        <v>17</v>
      </c>
      <c r="F117" t="s">
        <v>17</v>
      </c>
      <c r="I117" s="3">
        <v>16.3</v>
      </c>
      <c r="J117" s="9">
        <v>0.2087912087912088</v>
      </c>
      <c r="K117" s="11">
        <v>111</v>
      </c>
      <c r="L117" s="3">
        <f>(I117+(((K117-32)/454)/J117))</f>
        <v>17.133410619058662</v>
      </c>
      <c r="M117" s="9"/>
      <c r="O117">
        <v>243</v>
      </c>
      <c r="R117" s="3">
        <v>12.62</v>
      </c>
      <c r="S117" s="9">
        <v>0.25992063492063494</v>
      </c>
      <c r="T117" s="11">
        <v>150</v>
      </c>
      <c r="U117" s="3">
        <f>(R117+(((T117-32)/454)/S117))</f>
        <v>13.619966371859972</v>
      </c>
      <c r="V117" s="11"/>
      <c r="W117" s="9"/>
      <c r="X117">
        <v>243</v>
      </c>
      <c r="AA117" s="3">
        <v>9.4600000000000009</v>
      </c>
      <c r="AB117" s="9">
        <v>0.23790322580645162</v>
      </c>
    </row>
    <row r="118" spans="1:28" x14ac:dyDescent="0.25">
      <c r="A118" t="s">
        <v>47</v>
      </c>
      <c r="B118" t="s">
        <v>0</v>
      </c>
      <c r="C118">
        <v>64</v>
      </c>
      <c r="D118">
        <v>325</v>
      </c>
      <c r="E118">
        <v>17</v>
      </c>
      <c r="F118" t="s">
        <v>17</v>
      </c>
      <c r="G118">
        <v>786</v>
      </c>
      <c r="H118">
        <v>209</v>
      </c>
      <c r="I118" s="3">
        <v>13.78</v>
      </c>
      <c r="J118" s="9">
        <v>0.23474801061007958</v>
      </c>
      <c r="K118" s="11">
        <v>115</v>
      </c>
      <c r="L118" s="3">
        <f>(I118+(((K118-32)/454)/J118))</f>
        <v>14.558789915129793</v>
      </c>
      <c r="M118" s="9"/>
      <c r="O118">
        <v>325</v>
      </c>
      <c r="P118">
        <v>889</v>
      </c>
      <c r="Q118">
        <v>242</v>
      </c>
      <c r="R118" s="3">
        <v>12.46</v>
      </c>
      <c r="S118" s="9">
        <v>0.24504084014002334</v>
      </c>
      <c r="T118" s="11">
        <v>139</v>
      </c>
      <c r="U118" s="3">
        <f>(R118+(((T118-32)/454)/S118))</f>
        <v>13.421810362911685</v>
      </c>
      <c r="V118" s="11"/>
      <c r="W118" s="9"/>
      <c r="X118">
        <v>325</v>
      </c>
      <c r="Y118">
        <v>621</v>
      </c>
      <c r="Z118">
        <v>180</v>
      </c>
      <c r="AA118" s="3">
        <v>9.14</v>
      </c>
      <c r="AB118" s="9">
        <v>0.25127334465195245</v>
      </c>
    </row>
    <row r="119" spans="1:28" x14ac:dyDescent="0.25">
      <c r="A119" t="s">
        <v>47</v>
      </c>
      <c r="B119" t="s">
        <v>0</v>
      </c>
      <c r="C119">
        <v>64</v>
      </c>
      <c r="D119">
        <v>418</v>
      </c>
      <c r="E119">
        <v>17</v>
      </c>
      <c r="F119" t="s">
        <v>17</v>
      </c>
      <c r="I119" s="3">
        <v>14.44</v>
      </c>
      <c r="J119" s="9">
        <v>0.21858638743455497</v>
      </c>
      <c r="K119" s="11"/>
      <c r="M119" s="9"/>
      <c r="O119">
        <v>418</v>
      </c>
      <c r="R119" s="3">
        <v>12.98</v>
      </c>
      <c r="S119" s="9">
        <v>0.25078864353312302</v>
      </c>
      <c r="T119" s="11"/>
      <c r="U119" s="9"/>
      <c r="V119" s="11"/>
      <c r="W119" s="9"/>
      <c r="X119">
        <v>418</v>
      </c>
      <c r="AA119" s="3">
        <v>10.82</v>
      </c>
      <c r="AB119" s="9">
        <v>0.22068965517241379</v>
      </c>
    </row>
    <row r="120" spans="1:28" x14ac:dyDescent="0.25">
      <c r="A120" t="s">
        <v>47</v>
      </c>
      <c r="B120" t="s">
        <v>0</v>
      </c>
      <c r="C120">
        <v>64</v>
      </c>
      <c r="D120">
        <v>124</v>
      </c>
      <c r="E120">
        <v>18</v>
      </c>
      <c r="F120" t="s">
        <v>18</v>
      </c>
      <c r="I120" s="3">
        <v>17.72</v>
      </c>
      <c r="J120" s="9">
        <v>0.2177650429799427</v>
      </c>
      <c r="K120" s="11"/>
      <c r="M120" s="9"/>
      <c r="O120">
        <v>124</v>
      </c>
      <c r="R120" s="3">
        <v>14.54</v>
      </c>
      <c r="S120" s="9">
        <v>0.24720893141945774</v>
      </c>
      <c r="T120" s="11"/>
      <c r="U120" s="9"/>
      <c r="V120" s="11"/>
      <c r="W120" s="9"/>
      <c r="X120">
        <v>124</v>
      </c>
      <c r="AA120" s="3">
        <v>12.5</v>
      </c>
      <c r="AB120" s="9">
        <v>0.2286096256684492</v>
      </c>
    </row>
    <row r="121" spans="1:28" x14ac:dyDescent="0.25">
      <c r="A121" t="s">
        <v>47</v>
      </c>
      <c r="B121" t="s">
        <v>0</v>
      </c>
      <c r="C121">
        <v>64</v>
      </c>
      <c r="D121">
        <v>214</v>
      </c>
      <c r="E121">
        <v>18</v>
      </c>
      <c r="F121" t="s">
        <v>18</v>
      </c>
      <c r="I121" s="3">
        <v>18.52</v>
      </c>
      <c r="J121" s="9">
        <v>0.22950819672131148</v>
      </c>
      <c r="K121" s="11">
        <v>103</v>
      </c>
      <c r="L121" s="3">
        <f>(I121+(((K121-32)/454)/J121))</f>
        <v>19.201403398363752</v>
      </c>
      <c r="M121" s="9"/>
      <c r="O121">
        <v>214</v>
      </c>
      <c r="R121" s="3">
        <v>14.74</v>
      </c>
      <c r="S121" s="9">
        <v>0.24118738404452691</v>
      </c>
      <c r="T121" s="11">
        <v>123</v>
      </c>
      <c r="U121" s="3">
        <f>(R121+(((T121-32)/454)/S121))</f>
        <v>15.571057268722466</v>
      </c>
      <c r="V121" s="11"/>
      <c r="W121" s="9"/>
      <c r="X121">
        <v>214</v>
      </c>
      <c r="AA121" s="3">
        <v>12.62</v>
      </c>
      <c r="AB121" s="9">
        <v>0.23307291666666666</v>
      </c>
    </row>
    <row r="122" spans="1:28" x14ac:dyDescent="0.25">
      <c r="A122" t="s">
        <v>47</v>
      </c>
      <c r="B122" t="s">
        <v>0</v>
      </c>
      <c r="C122">
        <v>64</v>
      </c>
      <c r="D122">
        <v>338</v>
      </c>
      <c r="E122">
        <v>18</v>
      </c>
      <c r="F122" t="s">
        <v>18</v>
      </c>
      <c r="I122" s="3">
        <v>16.5</v>
      </c>
      <c r="J122" s="9">
        <v>0.22249093107617895</v>
      </c>
      <c r="K122" s="11">
        <v>129</v>
      </c>
      <c r="L122" s="3">
        <f>(I122+(((K122-32)/454)/J122))</f>
        <v>17.460292568473474</v>
      </c>
      <c r="M122" s="9"/>
      <c r="O122">
        <v>338</v>
      </c>
      <c r="R122" s="3">
        <v>11.72</v>
      </c>
      <c r="S122" s="9">
        <v>0.23781676413255359</v>
      </c>
      <c r="T122" s="11">
        <v>216</v>
      </c>
      <c r="U122" s="3">
        <f>(R122+(((T122-32)/454)/S122))</f>
        <v>13.42419585469777</v>
      </c>
      <c r="V122" s="11"/>
      <c r="W122" s="9"/>
      <c r="X122">
        <v>338</v>
      </c>
      <c r="AA122" s="3">
        <v>11.38</v>
      </c>
      <c r="AB122" s="9">
        <v>0.2413793103448276</v>
      </c>
    </row>
    <row r="123" spans="1:28" x14ac:dyDescent="0.25">
      <c r="A123" t="s">
        <v>47</v>
      </c>
      <c r="B123" t="s">
        <v>0</v>
      </c>
      <c r="C123">
        <v>64</v>
      </c>
      <c r="D123">
        <v>448</v>
      </c>
      <c r="E123">
        <v>18</v>
      </c>
      <c r="F123" t="s">
        <v>18</v>
      </c>
      <c r="I123" s="3">
        <v>18.38</v>
      </c>
      <c r="J123" s="9">
        <v>0.22740963855421686</v>
      </c>
      <c r="K123" s="11"/>
      <c r="M123" s="9"/>
      <c r="O123">
        <v>448</v>
      </c>
      <c r="R123" s="3">
        <v>13.32</v>
      </c>
      <c r="S123" s="9">
        <v>0.27284427284427282</v>
      </c>
      <c r="T123" s="11"/>
      <c r="U123" s="9"/>
      <c r="V123" s="11"/>
      <c r="W123" s="9"/>
      <c r="X123">
        <v>448</v>
      </c>
      <c r="AA123" s="3">
        <v>10.64</v>
      </c>
      <c r="AB123" s="9">
        <v>0.23162939297124602</v>
      </c>
    </row>
    <row r="124" spans="1:28" x14ac:dyDescent="0.25">
      <c r="A124" t="s">
        <v>47</v>
      </c>
      <c r="B124" t="s">
        <v>0</v>
      </c>
      <c r="C124">
        <v>64</v>
      </c>
      <c r="D124">
        <v>138</v>
      </c>
      <c r="E124">
        <v>19</v>
      </c>
      <c r="F124" t="s">
        <v>10</v>
      </c>
      <c r="I124" s="3">
        <v>17.899999999999999</v>
      </c>
      <c r="J124" s="9">
        <v>0.23514851485148514</v>
      </c>
      <c r="K124" s="11"/>
      <c r="M124" s="9"/>
      <c r="O124">
        <v>138</v>
      </c>
      <c r="R124" s="3">
        <v>14.3</v>
      </c>
      <c r="S124" s="9">
        <v>0.2710163111668758</v>
      </c>
      <c r="T124" s="11"/>
      <c r="U124" s="9"/>
      <c r="V124" s="11"/>
      <c r="W124" s="9"/>
      <c r="X124">
        <v>138</v>
      </c>
      <c r="AA124" s="3">
        <v>10.18</v>
      </c>
      <c r="AB124" s="9">
        <v>0.2389937106918239</v>
      </c>
    </row>
    <row r="125" spans="1:28" x14ac:dyDescent="0.25">
      <c r="A125" t="s">
        <v>47</v>
      </c>
      <c r="B125" t="s">
        <v>0</v>
      </c>
      <c r="C125">
        <v>64</v>
      </c>
      <c r="D125">
        <v>229</v>
      </c>
      <c r="E125">
        <v>19</v>
      </c>
      <c r="F125" t="s">
        <v>10</v>
      </c>
      <c r="G125">
        <v>704</v>
      </c>
      <c r="H125">
        <v>166</v>
      </c>
      <c r="I125" s="3">
        <v>19.059999999999999</v>
      </c>
      <c r="J125" s="9">
        <v>0.19940476190476192</v>
      </c>
      <c r="K125" s="11">
        <v>107</v>
      </c>
      <c r="L125" s="3">
        <f>(I125+(((K125-32)/454)/J125))</f>
        <v>19.888456834768885</v>
      </c>
      <c r="M125" s="9"/>
      <c r="O125">
        <v>229</v>
      </c>
      <c r="P125">
        <v>731</v>
      </c>
      <c r="Q125">
        <v>208</v>
      </c>
      <c r="R125" s="3">
        <v>15.12</v>
      </c>
      <c r="S125" s="9">
        <v>0.25178826895565093</v>
      </c>
      <c r="T125" s="11">
        <v>127</v>
      </c>
      <c r="U125" s="3">
        <f>(R125+(((T125-32)/454)/S125))</f>
        <v>15.95105977172607</v>
      </c>
      <c r="V125" s="11"/>
      <c r="W125" s="9"/>
      <c r="X125">
        <v>229</v>
      </c>
      <c r="Y125">
        <v>789</v>
      </c>
      <c r="Z125">
        <v>216</v>
      </c>
      <c r="AA125" s="3">
        <v>11.04</v>
      </c>
      <c r="AB125" s="9">
        <v>0.24306472919418759</v>
      </c>
    </row>
    <row r="126" spans="1:28" x14ac:dyDescent="0.25">
      <c r="A126" t="s">
        <v>47</v>
      </c>
      <c r="B126" t="s">
        <v>0</v>
      </c>
      <c r="C126">
        <v>64</v>
      </c>
      <c r="D126">
        <v>341</v>
      </c>
      <c r="E126">
        <v>19</v>
      </c>
      <c r="F126" t="s">
        <v>10</v>
      </c>
      <c r="G126">
        <v>740</v>
      </c>
      <c r="H126">
        <v>183</v>
      </c>
      <c r="I126" s="3">
        <v>16.3</v>
      </c>
      <c r="J126" s="9">
        <v>0.2132768361581921</v>
      </c>
      <c r="K126" s="11">
        <v>143</v>
      </c>
      <c r="L126" s="3">
        <f>(I126+(((K126-32)/454)/J126))</f>
        <v>17.446366368118564</v>
      </c>
      <c r="M126" s="9"/>
      <c r="O126">
        <v>341</v>
      </c>
      <c r="P126">
        <v>779</v>
      </c>
      <c r="Q126">
        <v>211</v>
      </c>
      <c r="R126" s="3">
        <v>14.38</v>
      </c>
      <c r="S126" s="9">
        <v>0.23962516733601072</v>
      </c>
      <c r="T126" s="11">
        <v>139</v>
      </c>
      <c r="U126" s="3">
        <f>(R126+(((T126-32)/454)/S126))</f>
        <v>15.363547855191594</v>
      </c>
      <c r="V126" s="11"/>
      <c r="W126" s="9"/>
      <c r="X126">
        <v>341</v>
      </c>
      <c r="Y126">
        <v>610</v>
      </c>
      <c r="Z126">
        <v>172</v>
      </c>
      <c r="AA126" s="3">
        <v>9.56</v>
      </c>
      <c r="AB126" s="9">
        <v>0.24221453287197231</v>
      </c>
    </row>
    <row r="127" spans="1:28" x14ac:dyDescent="0.25">
      <c r="A127" t="s">
        <v>47</v>
      </c>
      <c r="B127" t="s">
        <v>0</v>
      </c>
      <c r="C127">
        <v>64</v>
      </c>
      <c r="D127">
        <v>422</v>
      </c>
      <c r="E127">
        <v>19</v>
      </c>
      <c r="F127" t="s">
        <v>10</v>
      </c>
      <c r="I127" s="3">
        <v>17.88</v>
      </c>
      <c r="J127" s="9">
        <v>0.21772151898734177</v>
      </c>
      <c r="K127" s="11"/>
      <c r="M127" s="9"/>
      <c r="O127">
        <v>422</v>
      </c>
      <c r="R127" s="3">
        <v>14.7</v>
      </c>
      <c r="S127" s="9">
        <v>0.24462809917355371</v>
      </c>
      <c r="T127" s="11"/>
      <c r="U127" s="9"/>
      <c r="V127" s="11"/>
      <c r="W127" s="9"/>
      <c r="X127">
        <v>422</v>
      </c>
      <c r="AA127" s="3">
        <v>12.74</v>
      </c>
      <c r="AB127" s="9">
        <v>0.2283464566929134</v>
      </c>
    </row>
    <row r="128" spans="1:28" x14ac:dyDescent="0.25">
      <c r="A128" t="s">
        <v>47</v>
      </c>
      <c r="B128" t="s">
        <v>0</v>
      </c>
      <c r="C128">
        <v>64</v>
      </c>
      <c r="D128">
        <v>133</v>
      </c>
      <c r="E128">
        <v>20</v>
      </c>
      <c r="F128" t="s">
        <v>28</v>
      </c>
      <c r="G128">
        <v>844</v>
      </c>
      <c r="H128">
        <v>210</v>
      </c>
      <c r="I128" s="3">
        <v>14.9</v>
      </c>
      <c r="J128" s="9">
        <v>0.21921182266009853</v>
      </c>
      <c r="K128" s="11"/>
      <c r="M128" s="9"/>
      <c r="O128">
        <v>133</v>
      </c>
      <c r="P128">
        <v>881</v>
      </c>
      <c r="Q128">
        <v>252</v>
      </c>
      <c r="R128" s="3">
        <v>13.54</v>
      </c>
      <c r="S128" s="9">
        <v>0.25912838633686691</v>
      </c>
      <c r="T128" s="11"/>
      <c r="U128" s="9"/>
      <c r="V128" s="11"/>
      <c r="W128" s="9"/>
      <c r="X128">
        <v>133</v>
      </c>
      <c r="Y128">
        <v>601</v>
      </c>
      <c r="Z128">
        <v>171</v>
      </c>
      <c r="AA128" s="3">
        <v>9.56</v>
      </c>
      <c r="AB128" s="9">
        <v>0.24428822495606328</v>
      </c>
    </row>
    <row r="129" spans="1:28" x14ac:dyDescent="0.25">
      <c r="A129" t="s">
        <v>47</v>
      </c>
      <c r="B129" t="s">
        <v>0</v>
      </c>
      <c r="C129">
        <v>64</v>
      </c>
      <c r="D129">
        <v>226</v>
      </c>
      <c r="E129">
        <v>20</v>
      </c>
      <c r="F129" t="s">
        <v>28</v>
      </c>
      <c r="I129" s="3">
        <v>14.3</v>
      </c>
      <c r="J129" s="9">
        <v>0.21238938053097345</v>
      </c>
      <c r="K129" s="11">
        <v>132</v>
      </c>
      <c r="L129" s="3">
        <f>(I129+(((K129-32)/454)/J129))</f>
        <v>15.337077826725405</v>
      </c>
      <c r="M129" s="9"/>
      <c r="O129">
        <v>226</v>
      </c>
      <c r="R129" s="3">
        <v>12.2</v>
      </c>
      <c r="S129" s="9">
        <v>0.24670433145009416</v>
      </c>
      <c r="T129" s="11">
        <v>117</v>
      </c>
      <c r="U129" s="3">
        <f>(R129+(((T129-32)/454)/S129))</f>
        <v>12.958903050072299</v>
      </c>
      <c r="V129" s="11"/>
      <c r="W129" s="9"/>
      <c r="X129">
        <v>226</v>
      </c>
      <c r="AA129" s="3">
        <v>9.5</v>
      </c>
      <c r="AB129" s="9">
        <v>0.2440119760479042</v>
      </c>
    </row>
    <row r="130" spans="1:28" x14ac:dyDescent="0.25">
      <c r="A130" t="s">
        <v>47</v>
      </c>
      <c r="B130" t="s">
        <v>0</v>
      </c>
      <c r="C130">
        <v>64</v>
      </c>
      <c r="D130">
        <v>134</v>
      </c>
      <c r="E130">
        <v>21</v>
      </c>
      <c r="F130" t="s">
        <v>22</v>
      </c>
      <c r="I130" s="3">
        <v>18.22</v>
      </c>
      <c r="J130" s="9">
        <v>0.21921182266009853</v>
      </c>
      <c r="K130" s="11"/>
      <c r="M130" s="9"/>
      <c r="O130">
        <v>134</v>
      </c>
      <c r="R130" s="3">
        <v>13.86</v>
      </c>
      <c r="S130" s="9">
        <v>0.25912838633686691</v>
      </c>
      <c r="T130" s="11"/>
      <c r="U130" s="9"/>
      <c r="V130" s="11"/>
      <c r="W130" s="9"/>
      <c r="X130">
        <v>134</v>
      </c>
      <c r="AA130" s="3">
        <v>12.16</v>
      </c>
      <c r="AB130" s="9">
        <v>0.24428822495606328</v>
      </c>
    </row>
    <row r="131" spans="1:28" x14ac:dyDescent="0.25">
      <c r="A131" t="s">
        <v>47</v>
      </c>
      <c r="B131" t="s">
        <v>0</v>
      </c>
      <c r="C131">
        <v>64</v>
      </c>
      <c r="D131">
        <v>220</v>
      </c>
      <c r="E131">
        <v>21</v>
      </c>
      <c r="F131" t="s">
        <v>22</v>
      </c>
      <c r="I131" s="3">
        <v>19.079999999999998</v>
      </c>
      <c r="J131" s="9">
        <v>0.22562674094707522</v>
      </c>
      <c r="K131" s="11">
        <v>112</v>
      </c>
      <c r="L131" s="3">
        <f>(I131+(((K131-32)/454)/J131))</f>
        <v>19.860986566595962</v>
      </c>
      <c r="M131" s="9"/>
      <c r="O131">
        <v>220</v>
      </c>
      <c r="R131" s="3">
        <v>16.16</v>
      </c>
      <c r="S131" s="9">
        <v>0.2428035043804756</v>
      </c>
      <c r="T131" s="11">
        <v>89</v>
      </c>
      <c r="U131" s="3">
        <f>(R131+(((T131-32)/454)/S131))</f>
        <v>16.677087515327671</v>
      </c>
      <c r="V131" s="11"/>
      <c r="W131" s="9"/>
      <c r="X131">
        <v>220</v>
      </c>
      <c r="AA131" s="3">
        <v>14.34</v>
      </c>
      <c r="AB131" s="9">
        <v>0.23404255319148937</v>
      </c>
    </row>
    <row r="132" spans="1:28" x14ac:dyDescent="0.25">
      <c r="A132" t="s">
        <v>47</v>
      </c>
      <c r="B132" t="s">
        <v>0</v>
      </c>
      <c r="C132">
        <v>64</v>
      </c>
      <c r="D132">
        <v>339</v>
      </c>
      <c r="E132">
        <v>21</v>
      </c>
      <c r="F132" t="s">
        <v>22</v>
      </c>
      <c r="I132" s="3">
        <v>13.66</v>
      </c>
      <c r="J132" s="9">
        <v>0.22249093107617895</v>
      </c>
      <c r="K132" s="11">
        <v>96</v>
      </c>
      <c r="L132" s="3">
        <f>(I132+(((K132-32)/454)/J132))</f>
        <v>14.293595096724765</v>
      </c>
      <c r="M132" s="9"/>
      <c r="O132">
        <v>339</v>
      </c>
      <c r="R132" s="3">
        <v>11.8</v>
      </c>
      <c r="S132" s="9">
        <v>0.23781676413255359</v>
      </c>
      <c r="T132" s="11">
        <v>114</v>
      </c>
      <c r="U132" s="3">
        <f>(R132+(((T132-32)/454)/S132))</f>
        <v>12.559478587419658</v>
      </c>
      <c r="V132" s="11"/>
      <c r="W132" s="9"/>
      <c r="X132">
        <v>339</v>
      </c>
      <c r="AA132" s="3">
        <v>9.8000000000000007</v>
      </c>
      <c r="AB132" s="9">
        <v>0.2413793103448276</v>
      </c>
    </row>
    <row r="133" spans="1:28" x14ac:dyDescent="0.25">
      <c r="A133" t="s">
        <v>47</v>
      </c>
      <c r="B133" t="s">
        <v>0</v>
      </c>
      <c r="C133">
        <v>64</v>
      </c>
      <c r="D133">
        <v>446</v>
      </c>
      <c r="E133">
        <v>21</v>
      </c>
      <c r="F133" t="s">
        <v>22</v>
      </c>
      <c r="I133" s="3">
        <v>17.559999999999999</v>
      </c>
      <c r="J133" s="9">
        <v>0.22740963855421686</v>
      </c>
      <c r="K133" s="11"/>
      <c r="M133" s="9"/>
      <c r="O133">
        <v>446</v>
      </c>
      <c r="R133" s="3">
        <v>14.44</v>
      </c>
      <c r="S133" s="9">
        <v>0.27284427284427282</v>
      </c>
      <c r="T133" s="11"/>
      <c r="U133" s="9"/>
      <c r="V133" s="11"/>
      <c r="W133" s="9"/>
      <c r="X133">
        <v>446</v>
      </c>
      <c r="AA133" s="3">
        <v>11.92</v>
      </c>
      <c r="AB133" s="9">
        <v>0.23162939297124602</v>
      </c>
    </row>
    <row r="134" spans="1:28" x14ac:dyDescent="0.25">
      <c r="A134" t="s">
        <v>47</v>
      </c>
      <c r="B134" t="s">
        <v>0</v>
      </c>
      <c r="C134">
        <v>64</v>
      </c>
      <c r="D134">
        <v>146</v>
      </c>
      <c r="E134">
        <v>22</v>
      </c>
      <c r="F134" t="s">
        <v>7</v>
      </c>
      <c r="I134" s="3">
        <v>17.3</v>
      </c>
      <c r="J134" s="9">
        <v>0.22327044025157233</v>
      </c>
      <c r="K134" s="11"/>
      <c r="M134" s="9"/>
      <c r="O134">
        <v>146</v>
      </c>
      <c r="R134" s="3">
        <v>15.48</v>
      </c>
      <c r="S134" s="9">
        <v>0.24697754749568221</v>
      </c>
      <c r="T134" s="11"/>
      <c r="U134" s="9"/>
      <c r="V134" s="11"/>
      <c r="W134" s="9"/>
      <c r="X134">
        <v>146</v>
      </c>
      <c r="AA134" s="3">
        <v>10.64</v>
      </c>
      <c r="AB134" s="9">
        <v>0.22948328267477203</v>
      </c>
    </row>
    <row r="135" spans="1:28" x14ac:dyDescent="0.25">
      <c r="A135" t="s">
        <v>47</v>
      </c>
      <c r="B135" t="s">
        <v>0</v>
      </c>
      <c r="C135">
        <v>64</v>
      </c>
      <c r="D135">
        <v>217</v>
      </c>
      <c r="E135">
        <v>22</v>
      </c>
      <c r="F135" t="s">
        <v>7</v>
      </c>
      <c r="G135">
        <v>750</v>
      </c>
      <c r="H135">
        <v>194</v>
      </c>
      <c r="I135" s="3">
        <v>18.86</v>
      </c>
      <c r="J135" s="9">
        <v>0.22562674094707522</v>
      </c>
      <c r="K135" s="11">
        <v>159</v>
      </c>
      <c r="L135" s="3">
        <f>(I135+(((K135-32)/454)/J135))</f>
        <v>20.099816174471094</v>
      </c>
      <c r="M135" s="9"/>
      <c r="O135">
        <v>217</v>
      </c>
      <c r="P135">
        <v>831</v>
      </c>
      <c r="Q135">
        <v>226</v>
      </c>
      <c r="R135" s="3">
        <v>15.62</v>
      </c>
      <c r="S135" s="9">
        <v>0.2428035043804756</v>
      </c>
      <c r="T135" s="11">
        <v>151</v>
      </c>
      <c r="U135" s="3">
        <f>(R135+(((T135-32)/454)/S135))</f>
        <v>16.699533584631453</v>
      </c>
      <c r="V135" s="11"/>
      <c r="W135" s="9"/>
      <c r="X135">
        <v>217</v>
      </c>
      <c r="Y135">
        <v>643</v>
      </c>
      <c r="Z135">
        <v>175</v>
      </c>
      <c r="AA135" s="3">
        <v>12.42</v>
      </c>
      <c r="AB135" s="9">
        <v>0.23404255319148937</v>
      </c>
    </row>
    <row r="136" spans="1:28" x14ac:dyDescent="0.25">
      <c r="A136" t="s">
        <v>47</v>
      </c>
      <c r="B136" t="s">
        <v>0</v>
      </c>
      <c r="C136">
        <v>64</v>
      </c>
      <c r="D136">
        <v>336</v>
      </c>
      <c r="E136">
        <v>22</v>
      </c>
      <c r="F136" t="s">
        <v>7</v>
      </c>
      <c r="I136" s="3">
        <v>16.48</v>
      </c>
      <c r="J136" s="9">
        <v>0.2257617728531856</v>
      </c>
      <c r="K136" s="11">
        <v>91</v>
      </c>
      <c r="L136" s="3">
        <f>(I136+(((K136-32)/454)/J136))</f>
        <v>17.055633090997542</v>
      </c>
      <c r="M136" s="9"/>
      <c r="O136">
        <v>336</v>
      </c>
      <c r="R136" s="3">
        <v>14.42</v>
      </c>
      <c r="S136" s="9">
        <v>0.26417910447761195</v>
      </c>
      <c r="T136" s="11">
        <v>101</v>
      </c>
      <c r="U136" s="3">
        <f>(R136+(((T136-32)/454)/S136))</f>
        <v>14.995300530127679</v>
      </c>
      <c r="V136" s="11"/>
      <c r="W136" s="9"/>
      <c r="X136">
        <v>336</v>
      </c>
      <c r="AA136" s="3">
        <v>9.6</v>
      </c>
      <c r="AB136" s="9">
        <v>0.23102866779089376</v>
      </c>
    </row>
    <row r="137" spans="1:28" x14ac:dyDescent="0.25">
      <c r="A137" t="s">
        <v>47</v>
      </c>
      <c r="B137" t="s">
        <v>0</v>
      </c>
      <c r="C137">
        <v>64</v>
      </c>
      <c r="D137">
        <v>434</v>
      </c>
      <c r="E137">
        <v>22</v>
      </c>
      <c r="F137" t="s">
        <v>7</v>
      </c>
      <c r="I137" s="3">
        <v>16.100000000000001</v>
      </c>
      <c r="J137" s="9">
        <v>0.22767295597484277</v>
      </c>
      <c r="K137" s="11"/>
      <c r="M137" s="9"/>
      <c r="O137">
        <v>434</v>
      </c>
      <c r="R137" s="3">
        <v>13.1</v>
      </c>
      <c r="S137" s="9">
        <v>0.25844930417495032</v>
      </c>
      <c r="T137" s="11"/>
      <c r="U137" s="9"/>
      <c r="V137" s="11"/>
      <c r="W137" s="9"/>
      <c r="X137">
        <v>434</v>
      </c>
      <c r="AA137" s="3">
        <v>11.36</v>
      </c>
      <c r="AB137" s="9">
        <v>0.23792270531400966</v>
      </c>
    </row>
    <row r="138" spans="1:28" x14ac:dyDescent="0.25">
      <c r="A138" t="s">
        <v>47</v>
      </c>
      <c r="B138" t="s">
        <v>0</v>
      </c>
      <c r="C138">
        <v>64</v>
      </c>
      <c r="D138">
        <v>126</v>
      </c>
      <c r="E138">
        <v>23</v>
      </c>
      <c r="F138" t="s">
        <v>36</v>
      </c>
      <c r="I138" s="3">
        <v>15.32</v>
      </c>
      <c r="J138" s="9">
        <v>0.21723518850987433</v>
      </c>
      <c r="K138" s="11"/>
      <c r="M138" s="9"/>
      <c r="O138">
        <v>126</v>
      </c>
      <c r="R138" s="3">
        <v>13.08</v>
      </c>
      <c r="S138" s="9">
        <v>0.23345817727840198</v>
      </c>
      <c r="T138" s="11"/>
      <c r="U138" s="9"/>
      <c r="V138" s="11"/>
      <c r="W138" s="9"/>
      <c r="X138">
        <v>126</v>
      </c>
      <c r="AA138" s="3">
        <v>10.36</v>
      </c>
      <c r="AB138" s="9">
        <v>0.23018867924528302</v>
      </c>
    </row>
    <row r="139" spans="1:28" x14ac:dyDescent="0.25">
      <c r="A139" t="s">
        <v>47</v>
      </c>
      <c r="B139" t="s">
        <v>0</v>
      </c>
      <c r="C139">
        <v>64</v>
      </c>
      <c r="D139">
        <v>230</v>
      </c>
      <c r="E139">
        <v>23</v>
      </c>
      <c r="F139" t="s">
        <v>36</v>
      </c>
      <c r="I139" s="3">
        <v>15.76</v>
      </c>
      <c r="J139" s="9">
        <v>0.19940476190476192</v>
      </c>
      <c r="K139" s="11">
        <v>124</v>
      </c>
      <c r="L139" s="3">
        <f>(I139+(((K139-32)/454)/J139))</f>
        <v>16.776240383983168</v>
      </c>
      <c r="M139" s="9"/>
      <c r="O139">
        <v>230</v>
      </c>
      <c r="R139" s="3">
        <v>12.16</v>
      </c>
      <c r="S139" s="9">
        <v>0.25178826895565093</v>
      </c>
      <c r="T139" s="11">
        <v>165</v>
      </c>
      <c r="U139" s="3">
        <f>(R139+(((T139-32)/454)/S139))</f>
        <v>13.3234836804165</v>
      </c>
      <c r="V139" s="11"/>
      <c r="W139" s="9"/>
      <c r="X139">
        <v>230</v>
      </c>
      <c r="AA139" s="3">
        <v>10.82</v>
      </c>
      <c r="AB139" s="9">
        <v>0.24306472919418759</v>
      </c>
    </row>
    <row r="140" spans="1:28" x14ac:dyDescent="0.25">
      <c r="A140" t="s">
        <v>47</v>
      </c>
      <c r="B140" t="s">
        <v>0</v>
      </c>
      <c r="C140">
        <v>64</v>
      </c>
      <c r="D140">
        <v>334</v>
      </c>
      <c r="E140">
        <v>23</v>
      </c>
      <c r="F140" t="s">
        <v>36</v>
      </c>
      <c r="I140" s="3">
        <v>14.5</v>
      </c>
      <c r="J140" s="9">
        <v>0.2257617728531856</v>
      </c>
      <c r="K140" s="11">
        <v>85</v>
      </c>
      <c r="L140" s="3">
        <f>(I140+(((K140-32)/454)/J140))</f>
        <v>15.01709413259101</v>
      </c>
      <c r="M140" s="9"/>
      <c r="O140">
        <v>334</v>
      </c>
      <c r="R140" s="3">
        <v>12.06</v>
      </c>
      <c r="S140" s="9">
        <v>0.26417910447761195</v>
      </c>
      <c r="T140" s="11">
        <v>145</v>
      </c>
      <c r="U140" s="3">
        <f>(R140+(((T140-32)/454)/S140))</f>
        <v>13.002158839194605</v>
      </c>
      <c r="V140" s="11"/>
      <c r="W140" s="9"/>
      <c r="X140">
        <v>334</v>
      </c>
      <c r="AA140" s="3">
        <v>10.9</v>
      </c>
      <c r="AB140" s="9">
        <v>0.23102866779089376</v>
      </c>
    </row>
    <row r="141" spans="1:28" x14ac:dyDescent="0.25">
      <c r="A141" t="s">
        <v>47</v>
      </c>
      <c r="B141" t="s">
        <v>0</v>
      </c>
      <c r="C141">
        <v>64</v>
      </c>
      <c r="D141">
        <v>414</v>
      </c>
      <c r="E141">
        <v>23</v>
      </c>
      <c r="F141" t="s">
        <v>36</v>
      </c>
      <c r="I141" s="3">
        <v>15.16</v>
      </c>
      <c r="J141" s="9">
        <v>0.21190130624092887</v>
      </c>
      <c r="K141" s="11"/>
      <c r="M141" s="9"/>
      <c r="O141">
        <v>414</v>
      </c>
      <c r="R141" s="3">
        <v>13.06</v>
      </c>
      <c r="S141" s="9">
        <v>0.25852272727272729</v>
      </c>
      <c r="T141" s="11"/>
      <c r="U141" s="9"/>
      <c r="V141" s="11"/>
      <c r="W141" s="9"/>
      <c r="X141">
        <v>414</v>
      </c>
      <c r="AA141" s="3">
        <v>12.9</v>
      </c>
      <c r="AB141" s="9">
        <v>0.21750321750321749</v>
      </c>
    </row>
    <row r="142" spans="1:28" x14ac:dyDescent="0.25">
      <c r="A142" t="s">
        <v>47</v>
      </c>
      <c r="B142" t="s">
        <v>0</v>
      </c>
      <c r="C142">
        <v>64</v>
      </c>
      <c r="D142">
        <v>122</v>
      </c>
      <c r="E142">
        <v>24</v>
      </c>
      <c r="F142" t="s">
        <v>32</v>
      </c>
      <c r="I142" s="3">
        <v>18.88</v>
      </c>
      <c r="J142" s="9">
        <v>0.2177650429799427</v>
      </c>
      <c r="K142" s="11"/>
      <c r="M142" s="9"/>
      <c r="O142">
        <v>122</v>
      </c>
      <c r="R142" s="3">
        <v>15.78</v>
      </c>
      <c r="S142" s="9">
        <v>0.24720893141945774</v>
      </c>
      <c r="T142" s="11"/>
      <c r="U142" s="9"/>
      <c r="V142" s="11"/>
      <c r="W142" s="9"/>
      <c r="X142">
        <v>122</v>
      </c>
      <c r="AA142" s="3">
        <v>12.08</v>
      </c>
      <c r="AB142" s="9">
        <v>0.2286096256684492</v>
      </c>
    </row>
    <row r="143" spans="1:28" x14ac:dyDescent="0.25">
      <c r="A143" t="s">
        <v>47</v>
      </c>
      <c r="B143" t="s">
        <v>0</v>
      </c>
      <c r="C143">
        <v>64</v>
      </c>
      <c r="D143">
        <v>223</v>
      </c>
      <c r="E143">
        <v>24</v>
      </c>
      <c r="F143" t="s">
        <v>32</v>
      </c>
      <c r="I143" s="3">
        <v>18.260000000000002</v>
      </c>
      <c r="J143" s="9">
        <v>0.20810810810810812</v>
      </c>
      <c r="K143" s="11">
        <v>151</v>
      </c>
      <c r="L143" s="3">
        <f>(I143+(((K143-32)/454)/J143))</f>
        <v>19.519511413696438</v>
      </c>
      <c r="M143" s="9"/>
      <c r="O143">
        <v>223</v>
      </c>
      <c r="R143" s="3">
        <v>15.14</v>
      </c>
      <c r="S143" s="9">
        <v>0.24133148404993066</v>
      </c>
      <c r="T143" s="11">
        <v>115</v>
      </c>
      <c r="U143" s="3">
        <f>(R143+(((T143-32)/454)/S143))</f>
        <v>15.897544685806876</v>
      </c>
      <c r="V143" s="11"/>
      <c r="W143" s="9"/>
      <c r="X143">
        <v>223</v>
      </c>
      <c r="AA143" s="3">
        <v>12.86</v>
      </c>
      <c r="AB143" s="9">
        <v>0.23429951690821257</v>
      </c>
    </row>
    <row r="144" spans="1:28" x14ac:dyDescent="0.25">
      <c r="A144" t="s">
        <v>47</v>
      </c>
      <c r="B144" t="s">
        <v>0</v>
      </c>
      <c r="C144">
        <v>64</v>
      </c>
      <c r="D144">
        <v>342</v>
      </c>
      <c r="E144">
        <v>24</v>
      </c>
      <c r="F144" t="s">
        <v>32</v>
      </c>
      <c r="I144" s="3">
        <v>16.84</v>
      </c>
      <c r="J144" s="9">
        <v>0.2132768361581921</v>
      </c>
      <c r="K144" s="11">
        <v>95</v>
      </c>
      <c r="L144" s="3">
        <f>(I144+(((K144-32)/454)/J144))</f>
        <v>17.490640371094319</v>
      </c>
      <c r="M144" s="9"/>
      <c r="O144">
        <v>342</v>
      </c>
      <c r="R144" s="3">
        <v>13.64</v>
      </c>
      <c r="S144" s="9">
        <v>0.23962516733601072</v>
      </c>
      <c r="T144" s="11">
        <v>131</v>
      </c>
      <c r="U144" s="3">
        <f>(R144+(((T144-32)/454)/S144))</f>
        <v>14.550011566952969</v>
      </c>
      <c r="V144" s="11"/>
      <c r="W144" s="9"/>
      <c r="X144">
        <v>342</v>
      </c>
      <c r="AA144" s="3">
        <v>11.14</v>
      </c>
      <c r="AB144" s="9">
        <v>0.24221453287197231</v>
      </c>
    </row>
    <row r="145" spans="1:28" x14ac:dyDescent="0.25">
      <c r="A145" t="s">
        <v>47</v>
      </c>
      <c r="B145" t="s">
        <v>0</v>
      </c>
      <c r="C145">
        <v>64</v>
      </c>
      <c r="D145">
        <v>429</v>
      </c>
      <c r="E145">
        <v>24</v>
      </c>
      <c r="F145" t="s">
        <v>32</v>
      </c>
      <c r="G145">
        <v>586</v>
      </c>
      <c r="H145">
        <v>159</v>
      </c>
      <c r="I145" s="3">
        <v>17.36</v>
      </c>
      <c r="J145" s="9">
        <v>0.2292418772563177</v>
      </c>
      <c r="K145" s="11"/>
      <c r="M145" s="9"/>
      <c r="O145">
        <v>429</v>
      </c>
      <c r="P145">
        <v>762</v>
      </c>
      <c r="Q145">
        <v>222</v>
      </c>
      <c r="R145" s="3">
        <v>11.9</v>
      </c>
      <c r="S145" s="9">
        <v>0.26027397260273971</v>
      </c>
      <c r="T145" s="11"/>
      <c r="U145" s="9"/>
      <c r="V145" s="11"/>
      <c r="W145" s="9"/>
      <c r="X145">
        <v>429</v>
      </c>
      <c r="Y145">
        <v>753</v>
      </c>
      <c r="Z145">
        <v>197</v>
      </c>
      <c r="AA145" s="3">
        <v>12.6</v>
      </c>
      <c r="AB145" s="9">
        <v>0.2288488210818308</v>
      </c>
    </row>
    <row r="146" spans="1:28" x14ac:dyDescent="0.25">
      <c r="A146" t="s">
        <v>47</v>
      </c>
      <c r="B146" t="s">
        <v>0</v>
      </c>
      <c r="C146">
        <v>64</v>
      </c>
      <c r="D146">
        <v>130</v>
      </c>
      <c r="E146">
        <v>25</v>
      </c>
      <c r="F146" t="s">
        <v>8</v>
      </c>
      <c r="I146" s="3">
        <v>13.88</v>
      </c>
      <c r="J146" s="9">
        <v>0.22972972972972974</v>
      </c>
      <c r="K146" s="11"/>
      <c r="M146" s="9"/>
      <c r="O146">
        <v>130</v>
      </c>
      <c r="R146" s="3">
        <v>13.64</v>
      </c>
      <c r="S146" s="9">
        <v>0.25067385444743934</v>
      </c>
      <c r="T146" s="11"/>
      <c r="U146" s="9"/>
      <c r="V146" s="11"/>
      <c r="W146" s="9"/>
      <c r="X146">
        <v>130</v>
      </c>
      <c r="AA146" s="3">
        <v>9.44</v>
      </c>
      <c r="AB146" s="9">
        <v>0.23787528868360278</v>
      </c>
    </row>
    <row r="147" spans="1:28" x14ac:dyDescent="0.25">
      <c r="A147" t="s">
        <v>47</v>
      </c>
      <c r="B147" t="s">
        <v>0</v>
      </c>
      <c r="C147">
        <v>64</v>
      </c>
      <c r="D147">
        <v>224</v>
      </c>
      <c r="E147">
        <v>25</v>
      </c>
      <c r="F147" t="s">
        <v>8</v>
      </c>
      <c r="I147" s="3">
        <v>15.32</v>
      </c>
      <c r="J147" s="9">
        <v>0.20810810810810812</v>
      </c>
      <c r="K147" s="11">
        <v>89</v>
      </c>
      <c r="L147" s="3">
        <f>(I147+(((K147-32)/454)/J147))</f>
        <v>15.923295383031066</v>
      </c>
      <c r="M147" s="9"/>
      <c r="O147">
        <v>224</v>
      </c>
      <c r="R147" s="3">
        <v>12.9</v>
      </c>
      <c r="S147" s="9">
        <v>0.24133148404993066</v>
      </c>
      <c r="T147" s="11">
        <v>159</v>
      </c>
      <c r="U147" s="3">
        <f>(R147+(((T147-32)/454)/S147))</f>
        <v>14.059134639728594</v>
      </c>
      <c r="V147" s="11"/>
      <c r="W147" s="9"/>
      <c r="X147">
        <v>224</v>
      </c>
      <c r="AA147" s="3">
        <v>10</v>
      </c>
      <c r="AB147" s="9">
        <v>0.23429951690821257</v>
      </c>
    </row>
    <row r="148" spans="1:28" x14ac:dyDescent="0.25">
      <c r="A148" t="s">
        <v>47</v>
      </c>
      <c r="B148" t="s">
        <v>0</v>
      </c>
      <c r="C148">
        <v>64</v>
      </c>
      <c r="D148">
        <v>337</v>
      </c>
      <c r="E148">
        <v>25</v>
      </c>
      <c r="F148" t="s">
        <v>8</v>
      </c>
      <c r="G148">
        <v>859</v>
      </c>
      <c r="H148">
        <v>216</v>
      </c>
      <c r="I148" s="3">
        <v>13.76</v>
      </c>
      <c r="J148" s="9">
        <v>0.22249093107617895</v>
      </c>
      <c r="K148" s="11">
        <v>163</v>
      </c>
      <c r="L148" s="3">
        <f>(I148+(((K148-32)/454)/J148))</f>
        <v>15.056889963608505</v>
      </c>
      <c r="M148" s="9"/>
      <c r="O148">
        <v>337</v>
      </c>
      <c r="P148">
        <v>545</v>
      </c>
      <c r="Q148">
        <v>154</v>
      </c>
      <c r="R148" s="3">
        <v>12.14</v>
      </c>
      <c r="S148" s="9">
        <v>0.23781676413255359</v>
      </c>
      <c r="T148" s="11">
        <v>158</v>
      </c>
      <c r="U148" s="3">
        <f>(R148+(((T148-32)/454)/S148))</f>
        <v>13.307003683108254</v>
      </c>
      <c r="V148" s="11"/>
      <c r="W148" s="9"/>
      <c r="X148">
        <v>337</v>
      </c>
      <c r="Y148">
        <v>670</v>
      </c>
      <c r="Z148">
        <v>186</v>
      </c>
      <c r="AA148" s="3">
        <v>8.2200000000000006</v>
      </c>
      <c r="AB148" s="9">
        <v>0.2413793103448276</v>
      </c>
    </row>
    <row r="149" spans="1:28" x14ac:dyDescent="0.25">
      <c r="A149" t="s">
        <v>47</v>
      </c>
      <c r="B149" t="s">
        <v>0</v>
      </c>
      <c r="C149">
        <v>64</v>
      </c>
      <c r="D149">
        <v>420</v>
      </c>
      <c r="E149">
        <v>25</v>
      </c>
      <c r="F149" t="s">
        <v>8</v>
      </c>
      <c r="I149" s="3">
        <v>15.26</v>
      </c>
      <c r="J149" s="9">
        <v>0.21858638743455497</v>
      </c>
      <c r="K149" s="11"/>
      <c r="M149" s="9"/>
      <c r="O149">
        <v>420</v>
      </c>
      <c r="R149" s="3">
        <v>13.58</v>
      </c>
      <c r="S149" s="9">
        <v>0.25078864353312302</v>
      </c>
      <c r="T149" s="11"/>
      <c r="U149" s="9"/>
      <c r="V149" s="11"/>
      <c r="W149" s="9"/>
      <c r="X149">
        <v>420</v>
      </c>
      <c r="AA149" s="3">
        <v>10.74</v>
      </c>
      <c r="AB149" s="9">
        <v>0.22068965517241379</v>
      </c>
    </row>
    <row r="150" spans="1:28" x14ac:dyDescent="0.25">
      <c r="A150" t="s">
        <v>47</v>
      </c>
      <c r="B150" t="s">
        <v>0</v>
      </c>
      <c r="C150">
        <v>64</v>
      </c>
      <c r="D150">
        <v>120</v>
      </c>
      <c r="E150">
        <v>26</v>
      </c>
      <c r="F150" t="s">
        <v>21</v>
      </c>
      <c r="I150" s="3">
        <v>18.72</v>
      </c>
      <c r="J150" s="9">
        <v>0.22538860103626943</v>
      </c>
      <c r="K150" s="11"/>
      <c r="M150" s="9"/>
      <c r="O150">
        <v>120</v>
      </c>
      <c r="R150" s="3">
        <v>12.7</v>
      </c>
      <c r="S150" s="9">
        <v>0.25265957446808512</v>
      </c>
      <c r="T150" s="11"/>
      <c r="U150" s="9"/>
      <c r="V150" s="11"/>
      <c r="W150" s="9"/>
      <c r="X150">
        <v>120</v>
      </c>
      <c r="AA150" s="3">
        <v>11.66</v>
      </c>
      <c r="AB150" s="9">
        <v>0.22522522522522523</v>
      </c>
    </row>
    <row r="151" spans="1:28" x14ac:dyDescent="0.25">
      <c r="A151" t="s">
        <v>47</v>
      </c>
      <c r="B151" t="s">
        <v>0</v>
      </c>
      <c r="C151">
        <v>64</v>
      </c>
      <c r="D151">
        <v>235</v>
      </c>
      <c r="E151">
        <v>26</v>
      </c>
      <c r="F151" t="s">
        <v>21</v>
      </c>
      <c r="I151" s="3">
        <v>17.52</v>
      </c>
      <c r="J151" s="9">
        <v>0.23031026252983294</v>
      </c>
      <c r="K151" s="11">
        <v>127</v>
      </c>
      <c r="L151" s="3">
        <f>(I151+(((K151-32)/454)/J151))</f>
        <v>18.428561776722741</v>
      </c>
      <c r="M151" s="9"/>
      <c r="O151">
        <v>235</v>
      </c>
      <c r="R151" s="3">
        <v>10.44</v>
      </c>
      <c r="S151" s="9">
        <v>0.25032765399737877</v>
      </c>
      <c r="T151" s="11">
        <v>141</v>
      </c>
      <c r="U151" s="3">
        <f>(R151+(((T151-32)/454)/S151))</f>
        <v>11.399095417118343</v>
      </c>
      <c r="V151" s="11"/>
      <c r="W151" s="9"/>
      <c r="X151">
        <v>235</v>
      </c>
      <c r="AA151" s="3">
        <v>9.48</v>
      </c>
      <c r="AB151" s="9">
        <v>0.24022346368715083</v>
      </c>
    </row>
    <row r="152" spans="1:28" x14ac:dyDescent="0.25">
      <c r="A152" t="s">
        <v>47</v>
      </c>
      <c r="B152" t="s">
        <v>0</v>
      </c>
      <c r="C152">
        <v>64</v>
      </c>
      <c r="D152">
        <v>347</v>
      </c>
      <c r="E152">
        <v>26</v>
      </c>
      <c r="F152" t="s">
        <v>21</v>
      </c>
      <c r="I152" s="3">
        <v>17.38</v>
      </c>
      <c r="J152" s="9">
        <v>0.23333333333333334</v>
      </c>
      <c r="K152" s="11">
        <v>144</v>
      </c>
      <c r="L152" s="3">
        <f>(I152+(((K152-32)/454)/J152))</f>
        <v>18.43726872246696</v>
      </c>
      <c r="M152" s="9"/>
      <c r="O152">
        <v>347</v>
      </c>
      <c r="R152" s="3">
        <v>11.4</v>
      </c>
      <c r="S152" s="9">
        <v>0.24960753532182103</v>
      </c>
      <c r="T152" s="11">
        <v>140</v>
      </c>
      <c r="U152" s="3">
        <f>(R152+(((T152-32)/454)/S152))</f>
        <v>12.353037985204887</v>
      </c>
      <c r="V152" s="11"/>
      <c r="W152" s="9"/>
      <c r="X152">
        <v>347</v>
      </c>
      <c r="AA152" s="3">
        <v>10.98</v>
      </c>
      <c r="AB152" s="9">
        <v>0.23281250000000001</v>
      </c>
    </row>
    <row r="153" spans="1:28" x14ac:dyDescent="0.25">
      <c r="A153" t="s">
        <v>47</v>
      </c>
      <c r="B153" t="s">
        <v>0</v>
      </c>
      <c r="C153">
        <v>64</v>
      </c>
      <c r="D153">
        <v>438</v>
      </c>
      <c r="E153">
        <v>26</v>
      </c>
      <c r="F153" t="s">
        <v>21</v>
      </c>
      <c r="I153" s="3">
        <v>18.78</v>
      </c>
      <c r="J153" s="9">
        <v>0.23502304147465439</v>
      </c>
      <c r="K153" s="11"/>
      <c r="M153" s="9"/>
      <c r="O153">
        <v>438</v>
      </c>
      <c r="R153" s="3">
        <v>12.96</v>
      </c>
      <c r="S153" s="9">
        <v>0.2560747663551402</v>
      </c>
      <c r="T153" s="11"/>
      <c r="U153" s="9"/>
      <c r="V153" s="11"/>
      <c r="W153" s="9"/>
      <c r="X153">
        <v>438</v>
      </c>
      <c r="AA153" s="3">
        <v>11.62</v>
      </c>
      <c r="AB153" s="9">
        <v>0.22727272727272727</v>
      </c>
    </row>
    <row r="154" spans="1:28" x14ac:dyDescent="0.25">
      <c r="A154" t="s">
        <v>47</v>
      </c>
      <c r="B154" t="s">
        <v>0</v>
      </c>
      <c r="C154">
        <v>64</v>
      </c>
      <c r="D154">
        <v>136</v>
      </c>
      <c r="E154">
        <v>27</v>
      </c>
      <c r="F154" t="s">
        <v>14</v>
      </c>
      <c r="I154" s="3">
        <v>17.3</v>
      </c>
      <c r="J154" s="9">
        <v>0.21921182266009853</v>
      </c>
      <c r="K154" s="11"/>
      <c r="M154" s="9"/>
      <c r="O154">
        <v>136</v>
      </c>
      <c r="R154" s="3">
        <v>13.92</v>
      </c>
      <c r="S154" s="9">
        <v>0.25912838633686691</v>
      </c>
      <c r="T154" s="11"/>
      <c r="U154" s="9"/>
      <c r="V154" s="11"/>
      <c r="W154" s="9"/>
      <c r="X154">
        <v>136</v>
      </c>
      <c r="AA154" s="3">
        <v>11.2</v>
      </c>
      <c r="AB154" s="9">
        <v>0.24428822495606328</v>
      </c>
    </row>
    <row r="155" spans="1:28" x14ac:dyDescent="0.25">
      <c r="A155" t="s">
        <v>47</v>
      </c>
      <c r="B155" t="s">
        <v>0</v>
      </c>
      <c r="C155">
        <v>64</v>
      </c>
      <c r="D155">
        <v>215</v>
      </c>
      <c r="E155">
        <v>27</v>
      </c>
      <c r="F155" t="s">
        <v>14</v>
      </c>
      <c r="I155" s="3">
        <v>17.5</v>
      </c>
      <c r="J155" s="9">
        <v>0.22950819672131148</v>
      </c>
      <c r="K155" s="11">
        <v>112</v>
      </c>
      <c r="L155" s="3">
        <f>(I155+(((K155-32)/454)/J155))</f>
        <v>18.26777847702958</v>
      </c>
      <c r="M155" s="9"/>
      <c r="O155">
        <v>215</v>
      </c>
      <c r="R155" s="3">
        <v>14.6</v>
      </c>
      <c r="S155" s="9">
        <v>0.24118738404452691</v>
      </c>
      <c r="T155" s="11">
        <v>133</v>
      </c>
      <c r="U155" s="3">
        <f>(R155+(((T155-32)/454)/S155))</f>
        <v>15.522382243307353</v>
      </c>
      <c r="V155" s="11"/>
      <c r="W155" s="9"/>
      <c r="X155">
        <v>215</v>
      </c>
      <c r="AA155" s="3">
        <v>11.62</v>
      </c>
      <c r="AB155" s="9">
        <v>0.23307291666666666</v>
      </c>
    </row>
    <row r="156" spans="1:28" x14ac:dyDescent="0.25">
      <c r="A156" t="s">
        <v>47</v>
      </c>
      <c r="B156" t="s">
        <v>0</v>
      </c>
      <c r="C156">
        <v>64</v>
      </c>
      <c r="D156">
        <v>328</v>
      </c>
      <c r="E156">
        <v>27</v>
      </c>
      <c r="F156" t="s">
        <v>14</v>
      </c>
      <c r="I156" s="3">
        <v>15.72</v>
      </c>
      <c r="J156" s="9">
        <v>0.23474801061007958</v>
      </c>
      <c r="K156" s="11">
        <v>140</v>
      </c>
      <c r="L156" s="3">
        <f>(I156+(((K156-32)/454)/J156))</f>
        <v>16.733365190771298</v>
      </c>
      <c r="M156" s="9"/>
      <c r="O156">
        <v>328</v>
      </c>
      <c r="R156" s="3">
        <v>13.12</v>
      </c>
      <c r="S156" s="9">
        <v>0.24504084014002334</v>
      </c>
      <c r="T156" s="11">
        <v>134</v>
      </c>
      <c r="U156" s="3">
        <f>(R156+(((T156-32)/454)/S156))</f>
        <v>14.03686595342983</v>
      </c>
      <c r="V156" s="11"/>
      <c r="W156" s="9"/>
      <c r="X156">
        <v>328</v>
      </c>
      <c r="AA156" s="3">
        <v>11.1</v>
      </c>
      <c r="AB156" s="9">
        <v>0.25127334465195245</v>
      </c>
    </row>
    <row r="157" spans="1:28" x14ac:dyDescent="0.25">
      <c r="A157" t="s">
        <v>47</v>
      </c>
      <c r="B157" t="s">
        <v>0</v>
      </c>
      <c r="C157">
        <v>64</v>
      </c>
      <c r="D157">
        <v>441</v>
      </c>
      <c r="E157">
        <v>27</v>
      </c>
      <c r="F157" t="s">
        <v>14</v>
      </c>
      <c r="G157">
        <v>555</v>
      </c>
      <c r="H157">
        <v>156</v>
      </c>
      <c r="I157" s="3">
        <v>15.3</v>
      </c>
      <c r="J157" s="9">
        <v>0.23709369024856597</v>
      </c>
      <c r="K157" s="11"/>
      <c r="M157" s="9"/>
      <c r="O157">
        <v>441</v>
      </c>
      <c r="P157">
        <v>464</v>
      </c>
      <c r="Q157">
        <v>143</v>
      </c>
      <c r="R157" s="3">
        <v>13.32</v>
      </c>
      <c r="S157" s="9">
        <v>0.25694444444444442</v>
      </c>
      <c r="T157" s="11"/>
      <c r="U157" s="9"/>
      <c r="V157" s="11"/>
      <c r="W157" s="9"/>
      <c r="X157">
        <v>441</v>
      </c>
      <c r="Y157">
        <v>712</v>
      </c>
      <c r="Z157">
        <v>197</v>
      </c>
      <c r="AA157" s="3">
        <v>10.7</v>
      </c>
      <c r="AB157" s="9">
        <v>0.24264705882352941</v>
      </c>
    </row>
    <row r="158" spans="1:28" x14ac:dyDescent="0.25">
      <c r="A158" t="s">
        <v>47</v>
      </c>
      <c r="B158" t="s">
        <v>0</v>
      </c>
      <c r="C158">
        <v>64</v>
      </c>
      <c r="D158">
        <v>140</v>
      </c>
      <c r="E158">
        <v>28</v>
      </c>
      <c r="F158" t="s">
        <v>13</v>
      </c>
      <c r="I158" s="3">
        <v>17.7</v>
      </c>
      <c r="J158" s="9">
        <v>0.23514851485148514</v>
      </c>
      <c r="K158" s="11"/>
      <c r="M158" s="9"/>
      <c r="O158">
        <v>140</v>
      </c>
      <c r="R158" s="3">
        <v>13.3</v>
      </c>
      <c r="S158" s="9">
        <v>0.2710163111668758</v>
      </c>
      <c r="T158" s="11"/>
      <c r="U158" s="9"/>
      <c r="V158" s="11"/>
      <c r="W158" s="9"/>
      <c r="X158">
        <v>140</v>
      </c>
      <c r="AA158" s="3">
        <v>10.78</v>
      </c>
      <c r="AB158" s="9">
        <v>0.2389937106918239</v>
      </c>
    </row>
    <row r="159" spans="1:28" x14ac:dyDescent="0.25">
      <c r="A159" t="s">
        <v>47</v>
      </c>
      <c r="B159" t="s">
        <v>0</v>
      </c>
      <c r="C159">
        <v>64</v>
      </c>
      <c r="D159">
        <v>247</v>
      </c>
      <c r="E159">
        <v>28</v>
      </c>
      <c r="F159" t="s">
        <v>13</v>
      </c>
      <c r="I159" s="3">
        <v>18.36</v>
      </c>
      <c r="J159" s="9">
        <v>0.21983471074380165</v>
      </c>
      <c r="K159" s="11">
        <v>142</v>
      </c>
      <c r="L159" s="3">
        <f>(I159+(((K159-32)/454)/J159))</f>
        <v>19.462149647245866</v>
      </c>
      <c r="M159" s="9"/>
      <c r="O159">
        <v>247</v>
      </c>
      <c r="R159" s="3">
        <v>12.46</v>
      </c>
      <c r="S159" s="9">
        <v>0.24919093851132687</v>
      </c>
      <c r="T159" s="11">
        <v>157</v>
      </c>
      <c r="U159" s="3">
        <f>(R159+(((T159-32)/454)/S159))</f>
        <v>13.564897305337835</v>
      </c>
      <c r="V159" s="11"/>
      <c r="W159" s="9"/>
      <c r="X159">
        <v>247</v>
      </c>
      <c r="AA159" s="3">
        <v>11.26</v>
      </c>
      <c r="AB159" s="9">
        <v>0.2391653290529695</v>
      </c>
    </row>
    <row r="160" spans="1:28" x14ac:dyDescent="0.25">
      <c r="A160" t="s">
        <v>47</v>
      </c>
      <c r="B160" t="s">
        <v>0</v>
      </c>
      <c r="C160">
        <v>64</v>
      </c>
      <c r="D160">
        <v>330</v>
      </c>
      <c r="E160">
        <v>28</v>
      </c>
      <c r="F160" t="s">
        <v>13</v>
      </c>
      <c r="I160" s="3">
        <v>15.94</v>
      </c>
      <c r="J160" s="9">
        <v>0.225752508361204</v>
      </c>
      <c r="K160" s="11">
        <v>79</v>
      </c>
      <c r="L160" s="3">
        <f>(I160+(((K160-32)/454)/J160))</f>
        <v>16.398573992494697</v>
      </c>
      <c r="M160" s="9"/>
      <c r="O160">
        <v>330</v>
      </c>
      <c r="R160" s="3">
        <v>11.02</v>
      </c>
      <c r="S160" s="9">
        <v>0.23356009070294784</v>
      </c>
      <c r="T160" s="11">
        <v>197</v>
      </c>
      <c r="U160" s="3">
        <f>(R160+(((T160-32)/454)/S160))</f>
        <v>12.576071168897823</v>
      </c>
      <c r="V160" s="11"/>
      <c r="W160" s="9"/>
      <c r="X160">
        <v>330</v>
      </c>
      <c r="AA160" s="3">
        <v>11.86</v>
      </c>
      <c r="AB160" s="9">
        <v>0.23175182481751824</v>
      </c>
    </row>
    <row r="161" spans="1:28" x14ac:dyDescent="0.25">
      <c r="A161" t="s">
        <v>47</v>
      </c>
      <c r="B161" t="s">
        <v>0</v>
      </c>
      <c r="C161">
        <v>64</v>
      </c>
      <c r="D161">
        <v>419</v>
      </c>
      <c r="E161">
        <v>28</v>
      </c>
      <c r="F161" t="s">
        <v>13</v>
      </c>
      <c r="I161" s="3">
        <v>15.66</v>
      </c>
      <c r="J161" s="9">
        <v>0.21858638743455497</v>
      </c>
      <c r="K161" s="11"/>
      <c r="M161" s="9"/>
      <c r="O161">
        <v>419</v>
      </c>
      <c r="R161" s="3">
        <v>12.2</v>
      </c>
      <c r="S161" s="9">
        <v>0.25078864353312302</v>
      </c>
      <c r="T161" s="11"/>
      <c r="U161" s="9"/>
      <c r="V161" s="11"/>
      <c r="W161" s="9"/>
      <c r="X161">
        <v>419</v>
      </c>
      <c r="AA161" s="3">
        <v>12.48</v>
      </c>
      <c r="AB161" s="9">
        <v>0.22068965517241379</v>
      </c>
    </row>
    <row r="162" spans="1:28" x14ac:dyDescent="0.25">
      <c r="A162" t="s">
        <v>47</v>
      </c>
      <c r="B162" t="s">
        <v>0</v>
      </c>
      <c r="C162">
        <v>64</v>
      </c>
      <c r="D162">
        <v>118</v>
      </c>
      <c r="E162">
        <v>29</v>
      </c>
      <c r="F162" t="s">
        <v>11</v>
      </c>
      <c r="I162" s="3">
        <v>15.68</v>
      </c>
      <c r="J162" s="9">
        <v>0.22538860103626943</v>
      </c>
      <c r="K162" s="11"/>
      <c r="M162" s="9"/>
      <c r="O162">
        <v>118</v>
      </c>
      <c r="R162" s="3">
        <v>14.54</v>
      </c>
      <c r="S162" s="9">
        <v>0.25265957446808512</v>
      </c>
      <c r="T162" s="11"/>
      <c r="U162" s="9"/>
      <c r="V162" s="11"/>
      <c r="W162" s="9"/>
      <c r="X162">
        <v>118</v>
      </c>
      <c r="AA162" s="3">
        <v>9.64</v>
      </c>
      <c r="AB162" s="9">
        <v>0.22522522522522523</v>
      </c>
    </row>
    <row r="163" spans="1:28" x14ac:dyDescent="0.25">
      <c r="A163" t="s">
        <v>47</v>
      </c>
      <c r="B163" t="s">
        <v>0</v>
      </c>
      <c r="C163">
        <v>64</v>
      </c>
      <c r="D163">
        <v>242</v>
      </c>
      <c r="E163">
        <v>29</v>
      </c>
      <c r="F163" t="s">
        <v>11</v>
      </c>
      <c r="I163" s="3">
        <v>15.7</v>
      </c>
      <c r="J163" s="9">
        <v>0.2087912087912088</v>
      </c>
      <c r="K163" s="11">
        <v>151</v>
      </c>
      <c r="L163" s="3">
        <f>(I163+(((K163-32)/454)/J163))</f>
        <v>16.955390679341527</v>
      </c>
      <c r="M163" s="9"/>
      <c r="O163">
        <v>242</v>
      </c>
      <c r="R163" s="3">
        <v>13.48</v>
      </c>
      <c r="S163" s="9">
        <v>0.25992063492063494</v>
      </c>
      <c r="T163" s="11">
        <v>122</v>
      </c>
      <c r="U163" s="3">
        <f>(R163+(((T163-32)/454)/S163))</f>
        <v>14.242686215825403</v>
      </c>
      <c r="V163" s="11"/>
      <c r="W163" s="9"/>
      <c r="X163">
        <v>242</v>
      </c>
      <c r="AA163" s="3">
        <v>8.98</v>
      </c>
      <c r="AB163" s="9">
        <v>0.23790322580645162</v>
      </c>
    </row>
    <row r="164" spans="1:28" x14ac:dyDescent="0.25">
      <c r="A164" t="s">
        <v>47</v>
      </c>
      <c r="B164" t="s">
        <v>0</v>
      </c>
      <c r="C164">
        <v>64</v>
      </c>
      <c r="D164">
        <v>332</v>
      </c>
      <c r="E164">
        <v>29</v>
      </c>
      <c r="F164" t="s">
        <v>11</v>
      </c>
      <c r="I164" s="3">
        <v>14.66</v>
      </c>
      <c r="J164" s="9">
        <v>0.225752508361204</v>
      </c>
      <c r="K164" s="11">
        <v>104</v>
      </c>
      <c r="L164" s="3">
        <f>(I164+(((K164-32)/454)/J164))</f>
        <v>15.362496328928048</v>
      </c>
      <c r="M164" s="9"/>
      <c r="O164">
        <v>332</v>
      </c>
      <c r="R164" s="3">
        <v>13.56</v>
      </c>
      <c r="S164" s="9">
        <v>0.23356009070294784</v>
      </c>
      <c r="T164" s="11">
        <v>127</v>
      </c>
      <c r="U164" s="3">
        <f>(R164+(((T164-32)/454)/S164))</f>
        <v>14.455919763910869</v>
      </c>
      <c r="V164" s="11"/>
      <c r="W164" s="9"/>
      <c r="X164">
        <v>332</v>
      </c>
      <c r="AA164" s="3">
        <v>8.94</v>
      </c>
      <c r="AB164" s="9">
        <v>0.23175182481751824</v>
      </c>
    </row>
    <row r="165" spans="1:28" x14ac:dyDescent="0.25">
      <c r="A165" t="s">
        <v>47</v>
      </c>
      <c r="B165" t="s">
        <v>0</v>
      </c>
      <c r="C165">
        <v>64</v>
      </c>
      <c r="D165">
        <v>443</v>
      </c>
      <c r="E165">
        <v>29</v>
      </c>
      <c r="F165" t="s">
        <v>11</v>
      </c>
      <c r="I165" s="3">
        <v>15.58</v>
      </c>
      <c r="J165" s="9">
        <v>0.23709369024856597</v>
      </c>
      <c r="K165" s="11"/>
      <c r="M165" s="9"/>
      <c r="O165">
        <v>443</v>
      </c>
      <c r="R165" s="3">
        <v>14.04</v>
      </c>
      <c r="S165" s="9">
        <v>0.25694444444444442</v>
      </c>
      <c r="T165" s="11"/>
      <c r="U165" s="9"/>
      <c r="V165" s="11"/>
      <c r="W165" s="9"/>
      <c r="X165">
        <v>443</v>
      </c>
      <c r="AA165" s="3">
        <v>8.8000000000000007</v>
      </c>
      <c r="AB165" s="9">
        <v>0.24264705882352941</v>
      </c>
    </row>
    <row r="166" spans="1:28" x14ac:dyDescent="0.25">
      <c r="A166" t="s">
        <v>47</v>
      </c>
      <c r="B166" t="s">
        <v>0</v>
      </c>
      <c r="C166">
        <v>64</v>
      </c>
      <c r="D166">
        <v>116</v>
      </c>
      <c r="E166">
        <v>30</v>
      </c>
      <c r="F166" t="s">
        <v>9</v>
      </c>
      <c r="I166" s="3">
        <v>17.899999999999999</v>
      </c>
      <c r="J166" s="9">
        <v>0.22180916976456011</v>
      </c>
      <c r="K166" s="11"/>
      <c r="M166" s="9"/>
      <c r="O166">
        <v>116</v>
      </c>
      <c r="R166" s="3">
        <v>15.2</v>
      </c>
      <c r="S166" s="9">
        <v>0.24912280701754386</v>
      </c>
      <c r="T166" s="11"/>
      <c r="U166" s="9"/>
      <c r="V166" s="11"/>
      <c r="W166" s="9"/>
      <c r="X166">
        <v>116</v>
      </c>
      <c r="AA166" s="3">
        <v>12.04</v>
      </c>
      <c r="AB166" s="9">
        <v>0.22103658536585366</v>
      </c>
    </row>
    <row r="167" spans="1:28" x14ac:dyDescent="0.25">
      <c r="A167" t="s">
        <v>47</v>
      </c>
      <c r="B167" t="s">
        <v>0</v>
      </c>
      <c r="C167">
        <v>64</v>
      </c>
      <c r="D167">
        <v>248</v>
      </c>
      <c r="E167">
        <v>30</v>
      </c>
      <c r="F167" t="s">
        <v>9</v>
      </c>
      <c r="I167" s="3">
        <v>16.059999999999999</v>
      </c>
      <c r="J167" s="9">
        <v>0.21983471074380165</v>
      </c>
      <c r="K167" s="11">
        <v>107</v>
      </c>
      <c r="L167" s="3">
        <f>(I167+(((K167-32)/454)/J167))</f>
        <v>16.811465668576727</v>
      </c>
      <c r="M167" s="9"/>
      <c r="O167">
        <v>248</v>
      </c>
      <c r="R167" s="3">
        <v>13.36</v>
      </c>
      <c r="S167" s="9">
        <v>0.24919093851132687</v>
      </c>
      <c r="T167" s="11">
        <v>150</v>
      </c>
      <c r="U167" s="3">
        <f>(R167+(((T167-32)/454)/S167))</f>
        <v>14.403023056238915</v>
      </c>
      <c r="V167" s="11"/>
      <c r="W167" s="9"/>
      <c r="X167">
        <v>248</v>
      </c>
      <c r="AA167" s="3">
        <v>10.02</v>
      </c>
      <c r="AB167" s="9">
        <v>0.2391653290529695</v>
      </c>
    </row>
    <row r="168" spans="1:28" x14ac:dyDescent="0.25">
      <c r="A168" t="s">
        <v>47</v>
      </c>
      <c r="B168" t="s">
        <v>0</v>
      </c>
      <c r="C168">
        <v>64</v>
      </c>
      <c r="D168">
        <v>322</v>
      </c>
      <c r="E168">
        <v>30</v>
      </c>
      <c r="F168" t="s">
        <v>9</v>
      </c>
      <c r="I168" s="3">
        <v>14.22</v>
      </c>
      <c r="J168" s="9">
        <v>0.21932515337423314</v>
      </c>
      <c r="K168" s="11">
        <v>103</v>
      </c>
      <c r="L168" s="3">
        <f>(I168+(((K168-32)/454)/J168))</f>
        <v>14.933040263701058</v>
      </c>
      <c r="M168" s="9"/>
      <c r="O168">
        <v>322</v>
      </c>
      <c r="R168" s="3">
        <v>13.56</v>
      </c>
      <c r="S168" s="9">
        <v>0.24292845257903495</v>
      </c>
      <c r="T168" s="11">
        <v>137</v>
      </c>
      <c r="U168" s="3">
        <f>(R168+(((T168-32)/454)/S168))</f>
        <v>14.512039707923481</v>
      </c>
      <c r="V168" s="11"/>
      <c r="W168" s="9"/>
      <c r="X168">
        <v>322</v>
      </c>
      <c r="AA168" s="3">
        <v>9.8800000000000008</v>
      </c>
      <c r="AB168" s="9">
        <v>0.23620689655172414</v>
      </c>
    </row>
    <row r="169" spans="1:28" x14ac:dyDescent="0.25">
      <c r="A169" t="s">
        <v>47</v>
      </c>
      <c r="B169" t="s">
        <v>0</v>
      </c>
      <c r="C169">
        <v>64</v>
      </c>
      <c r="D169">
        <v>444</v>
      </c>
      <c r="E169">
        <v>30</v>
      </c>
      <c r="F169" t="s">
        <v>9</v>
      </c>
      <c r="I169" s="3">
        <v>15.46</v>
      </c>
      <c r="J169" s="9">
        <v>0.23709369024856597</v>
      </c>
      <c r="K169" s="11"/>
      <c r="M169" s="9"/>
      <c r="O169">
        <v>444</v>
      </c>
      <c r="R169" s="3">
        <v>12.84</v>
      </c>
      <c r="S169" s="9">
        <v>0.25694444444444442</v>
      </c>
      <c r="T169" s="11"/>
      <c r="U169" s="9"/>
      <c r="V169" s="11"/>
      <c r="W169" s="9"/>
      <c r="X169">
        <v>444</v>
      </c>
      <c r="AA169" s="3">
        <v>10.08</v>
      </c>
      <c r="AB169" s="9">
        <v>0.24264705882352941</v>
      </c>
    </row>
    <row r="170" spans="1:28" x14ac:dyDescent="0.25">
      <c r="A170" t="s">
        <v>47</v>
      </c>
      <c r="B170" t="s">
        <v>0</v>
      </c>
      <c r="C170">
        <v>64</v>
      </c>
      <c r="D170">
        <v>115</v>
      </c>
      <c r="E170">
        <v>31</v>
      </c>
      <c r="F170" t="s">
        <v>29</v>
      </c>
      <c r="I170" s="3">
        <v>20.260000000000002</v>
      </c>
      <c r="J170" s="9">
        <v>0.22180916976456011</v>
      </c>
      <c r="K170" s="11"/>
      <c r="M170" s="9"/>
      <c r="O170">
        <v>115</v>
      </c>
      <c r="R170" s="3">
        <v>15.22</v>
      </c>
      <c r="S170" s="9">
        <v>0.24912280701754386</v>
      </c>
      <c r="T170" s="11"/>
      <c r="U170" s="9"/>
      <c r="V170" s="11"/>
      <c r="W170" s="9"/>
      <c r="X170">
        <v>115</v>
      </c>
      <c r="AA170" s="3">
        <v>13.84</v>
      </c>
      <c r="AB170" s="9">
        <v>0.22103658536585366</v>
      </c>
    </row>
    <row r="171" spans="1:28" x14ac:dyDescent="0.25">
      <c r="A171" t="s">
        <v>47</v>
      </c>
      <c r="B171" t="s">
        <v>0</v>
      </c>
      <c r="C171">
        <v>64</v>
      </c>
      <c r="D171">
        <v>244</v>
      </c>
      <c r="E171">
        <v>31</v>
      </c>
      <c r="F171" t="s">
        <v>29</v>
      </c>
      <c r="I171" s="3">
        <v>17.82</v>
      </c>
      <c r="J171" s="9">
        <v>0.2087912087912088</v>
      </c>
      <c r="K171" s="11">
        <v>126</v>
      </c>
      <c r="L171" s="3">
        <f>(I171+(((K171-32)/454)/J171))</f>
        <v>18.811653141664735</v>
      </c>
      <c r="M171" s="9"/>
      <c r="O171">
        <v>244</v>
      </c>
      <c r="R171" s="3">
        <v>13.88</v>
      </c>
      <c r="S171" s="9">
        <v>0.25992063492063494</v>
      </c>
      <c r="T171" s="11">
        <v>116</v>
      </c>
      <c r="U171" s="3">
        <f>(R171+(((T171-32)/454)/S171))</f>
        <v>14.59184046810371</v>
      </c>
      <c r="V171" s="11"/>
      <c r="W171" s="9"/>
      <c r="X171">
        <v>244</v>
      </c>
      <c r="AA171" s="3">
        <v>12.84</v>
      </c>
      <c r="AB171" s="9">
        <v>0.23790322580645162</v>
      </c>
    </row>
    <row r="172" spans="1:28" x14ac:dyDescent="0.25">
      <c r="A172" t="s">
        <v>47</v>
      </c>
      <c r="B172" t="s">
        <v>0</v>
      </c>
      <c r="C172">
        <v>64</v>
      </c>
      <c r="D172">
        <v>333</v>
      </c>
      <c r="E172">
        <v>31</v>
      </c>
      <c r="F172" t="s">
        <v>29</v>
      </c>
      <c r="G172">
        <v>754</v>
      </c>
      <c r="H172">
        <v>195</v>
      </c>
      <c r="I172" s="3">
        <v>15.42</v>
      </c>
      <c r="J172" s="9">
        <v>0.2257617728531856</v>
      </c>
      <c r="K172" s="11">
        <v>109</v>
      </c>
      <c r="L172" s="3">
        <f>(I172+(((K172-32)/454)/J172))</f>
        <v>16.171249966217129</v>
      </c>
      <c r="M172" s="9"/>
      <c r="O172">
        <v>333</v>
      </c>
      <c r="P172">
        <v>702</v>
      </c>
      <c r="Q172">
        <v>209</v>
      </c>
      <c r="R172" s="3">
        <v>13.1</v>
      </c>
      <c r="S172" s="9">
        <v>0.26417910447761195</v>
      </c>
      <c r="T172" s="11">
        <v>107</v>
      </c>
      <c r="U172" s="3">
        <f>(R172+(((T172-32)/454)/S172))</f>
        <v>13.725326663182258</v>
      </c>
      <c r="V172" s="11"/>
      <c r="W172" s="9"/>
      <c r="X172">
        <v>333</v>
      </c>
      <c r="Y172">
        <v>625</v>
      </c>
      <c r="Z172">
        <v>169</v>
      </c>
      <c r="AA172" s="3">
        <v>12.08</v>
      </c>
      <c r="AB172" s="9">
        <v>0.23102866779089376</v>
      </c>
    </row>
    <row r="173" spans="1:28" x14ac:dyDescent="0.25">
      <c r="A173" t="s">
        <v>47</v>
      </c>
      <c r="B173" t="s">
        <v>0</v>
      </c>
      <c r="C173">
        <v>64</v>
      </c>
      <c r="D173">
        <v>427</v>
      </c>
      <c r="E173">
        <v>31</v>
      </c>
      <c r="F173" t="s">
        <v>29</v>
      </c>
      <c r="I173" s="3">
        <v>14.82</v>
      </c>
      <c r="J173" s="9">
        <v>0.21846153846153846</v>
      </c>
      <c r="K173" s="11"/>
      <c r="M173" s="9"/>
      <c r="O173">
        <v>427</v>
      </c>
      <c r="R173" s="3">
        <v>12.44</v>
      </c>
      <c r="S173" s="9">
        <v>0.25113464447806355</v>
      </c>
      <c r="T173" s="11"/>
      <c r="U173" s="9"/>
      <c r="V173" s="11"/>
      <c r="W173" s="9"/>
      <c r="X173">
        <v>427</v>
      </c>
      <c r="AA173" s="3">
        <v>13.26</v>
      </c>
      <c r="AB173" s="9">
        <v>0.23529411764705882</v>
      </c>
    </row>
    <row r="174" spans="1:28" x14ac:dyDescent="0.25">
      <c r="A174" t="s">
        <v>47</v>
      </c>
      <c r="B174" t="s">
        <v>0</v>
      </c>
      <c r="C174">
        <v>64</v>
      </c>
      <c r="D174">
        <v>123</v>
      </c>
      <c r="E174">
        <v>32</v>
      </c>
      <c r="F174" t="s">
        <v>30</v>
      </c>
      <c r="I174" s="3">
        <v>14.18</v>
      </c>
      <c r="J174" s="9">
        <v>0.2177650429799427</v>
      </c>
      <c r="K174" s="11"/>
      <c r="M174" s="9"/>
      <c r="O174">
        <v>123</v>
      </c>
      <c r="R174" s="3">
        <v>13.08</v>
      </c>
      <c r="S174" s="9">
        <v>0.24720893141945774</v>
      </c>
      <c r="T174" s="11"/>
      <c r="U174" s="9"/>
      <c r="V174" s="11"/>
      <c r="W174" s="9"/>
      <c r="X174">
        <v>123</v>
      </c>
      <c r="AA174" s="3">
        <v>9.6199999999999992</v>
      </c>
      <c r="AB174" s="9">
        <v>0.2286096256684492</v>
      </c>
    </row>
    <row r="175" spans="1:28" x14ac:dyDescent="0.25">
      <c r="A175" t="s">
        <v>47</v>
      </c>
      <c r="B175" t="s">
        <v>0</v>
      </c>
      <c r="C175">
        <v>64</v>
      </c>
      <c r="D175">
        <v>228</v>
      </c>
      <c r="E175">
        <v>32</v>
      </c>
      <c r="F175" t="s">
        <v>30</v>
      </c>
      <c r="I175" s="3">
        <v>13.58</v>
      </c>
      <c r="J175" s="9">
        <v>0.21238938053097345</v>
      </c>
      <c r="K175" s="11">
        <v>117</v>
      </c>
      <c r="L175" s="3">
        <f>(I175+(((K175-32)/454)/J175))</f>
        <v>14.461516152716593</v>
      </c>
      <c r="M175" s="9"/>
      <c r="O175">
        <v>228</v>
      </c>
      <c r="R175" s="3">
        <v>11.44</v>
      </c>
      <c r="S175" s="9">
        <v>0.24670433145009416</v>
      </c>
      <c r="T175" s="11">
        <v>162</v>
      </c>
      <c r="U175" s="3">
        <f>(R175+(((T175-32)/454)/S175))</f>
        <v>12.600675253051753</v>
      </c>
      <c r="V175" s="11"/>
      <c r="W175" s="9"/>
      <c r="X175">
        <v>228</v>
      </c>
      <c r="AA175" s="3">
        <v>8.8800000000000008</v>
      </c>
      <c r="AB175" s="9">
        <v>0.2440119760479042</v>
      </c>
    </row>
    <row r="176" spans="1:28" x14ac:dyDescent="0.25">
      <c r="A176" t="s">
        <v>47</v>
      </c>
      <c r="B176" t="s">
        <v>0</v>
      </c>
      <c r="C176">
        <v>64</v>
      </c>
      <c r="D176">
        <v>344</v>
      </c>
      <c r="E176">
        <v>32</v>
      </c>
      <c r="F176" t="s">
        <v>30</v>
      </c>
      <c r="I176" s="3">
        <v>14.3</v>
      </c>
      <c r="J176" s="9">
        <v>0.2132768361581921</v>
      </c>
      <c r="K176" s="11">
        <v>121</v>
      </c>
      <c r="L176" s="3">
        <f>(I176+(((K176-32)/454)/J176))</f>
        <v>15.219158619482453</v>
      </c>
      <c r="M176" s="9"/>
      <c r="O176">
        <v>344</v>
      </c>
      <c r="R176" s="3">
        <v>13</v>
      </c>
      <c r="S176" s="9">
        <v>0.23962516733601072</v>
      </c>
      <c r="T176" s="11">
        <v>102</v>
      </c>
      <c r="U176" s="3">
        <f>(R176+(((T176-32)/454)/S176))</f>
        <v>13.643442522087959</v>
      </c>
      <c r="V176" s="11"/>
      <c r="W176" s="9"/>
      <c r="X176">
        <v>344</v>
      </c>
      <c r="AA176" s="3">
        <v>10.06</v>
      </c>
      <c r="AB176" s="9">
        <v>0.24221453287197231</v>
      </c>
    </row>
    <row r="177" spans="1:28" x14ac:dyDescent="0.25">
      <c r="A177" t="s">
        <v>47</v>
      </c>
      <c r="B177" t="s">
        <v>0</v>
      </c>
      <c r="C177">
        <v>64</v>
      </c>
      <c r="D177">
        <v>439</v>
      </c>
      <c r="E177">
        <v>32</v>
      </c>
      <c r="F177" t="s">
        <v>30</v>
      </c>
      <c r="I177" s="3">
        <v>13.9</v>
      </c>
      <c r="J177" s="9">
        <v>0.23502304147465439</v>
      </c>
      <c r="K177" s="11"/>
      <c r="M177" s="9"/>
      <c r="O177">
        <v>439</v>
      </c>
      <c r="R177" s="3">
        <v>11.82</v>
      </c>
      <c r="S177" s="9">
        <v>0.2560747663551402</v>
      </c>
      <c r="T177" s="11"/>
      <c r="U177" s="9"/>
      <c r="V177" s="11"/>
      <c r="W177" s="9"/>
      <c r="X177">
        <v>439</v>
      </c>
      <c r="AA177" s="3">
        <v>9.34</v>
      </c>
      <c r="AB177" s="9">
        <v>0.22727272727272727</v>
      </c>
    </row>
    <row r="178" spans="1:28" x14ac:dyDescent="0.25">
      <c r="A178" t="s">
        <v>47</v>
      </c>
      <c r="B178" t="s">
        <v>0</v>
      </c>
      <c r="C178">
        <v>64</v>
      </c>
      <c r="D178">
        <v>143</v>
      </c>
      <c r="E178">
        <v>33</v>
      </c>
      <c r="F178" t="s">
        <v>23</v>
      </c>
      <c r="I178" s="3">
        <v>17.8</v>
      </c>
      <c r="J178" s="9">
        <v>0.21941747572815534</v>
      </c>
      <c r="K178" s="11"/>
      <c r="M178" s="9"/>
      <c r="O178">
        <v>143</v>
      </c>
      <c r="R178" s="3">
        <v>14.88</v>
      </c>
      <c r="S178" s="9">
        <v>0.24887556221889057</v>
      </c>
      <c r="T178" s="11"/>
      <c r="U178" s="9"/>
      <c r="V178" s="11"/>
      <c r="W178" s="9"/>
      <c r="X178">
        <v>143</v>
      </c>
      <c r="AA178" s="3">
        <v>10.1</v>
      </c>
      <c r="AB178" s="9">
        <v>0.2363367799113737</v>
      </c>
    </row>
    <row r="179" spans="1:28" x14ac:dyDescent="0.25">
      <c r="A179" t="s">
        <v>47</v>
      </c>
      <c r="B179" t="s">
        <v>0</v>
      </c>
      <c r="C179">
        <v>64</v>
      </c>
      <c r="D179">
        <v>237</v>
      </c>
      <c r="E179">
        <v>33</v>
      </c>
      <c r="F179" t="s">
        <v>23</v>
      </c>
      <c r="G179">
        <v>753</v>
      </c>
      <c r="H179">
        <v>186</v>
      </c>
      <c r="I179" s="3">
        <v>18.82</v>
      </c>
      <c r="J179" s="9">
        <v>0.21359223300970873</v>
      </c>
      <c r="K179" s="11">
        <v>128</v>
      </c>
      <c r="L179" s="3">
        <f>(I179+(((K179-32)/454)/J179))</f>
        <v>19.809987985582701</v>
      </c>
      <c r="M179" s="9"/>
      <c r="O179">
        <v>237</v>
      </c>
      <c r="P179">
        <v>852</v>
      </c>
      <c r="Q179">
        <v>234</v>
      </c>
      <c r="R179" s="3">
        <v>13.48</v>
      </c>
      <c r="S179" s="9">
        <v>0.24634146341463414</v>
      </c>
      <c r="T179" s="11">
        <v>134</v>
      </c>
      <c r="U179" s="3">
        <f>(R179+(((T179-32)/454)/S179))</f>
        <v>14.392025123217168</v>
      </c>
      <c r="V179" s="11"/>
      <c r="W179" s="9"/>
      <c r="X179">
        <v>237</v>
      </c>
      <c r="Y179">
        <v>631</v>
      </c>
      <c r="Z179">
        <v>174</v>
      </c>
      <c r="AA179" s="3">
        <v>10.46</v>
      </c>
      <c r="AB179" s="9">
        <v>0.23706176961602671</v>
      </c>
    </row>
    <row r="180" spans="1:28" x14ac:dyDescent="0.25">
      <c r="A180" t="s">
        <v>47</v>
      </c>
      <c r="B180" t="s">
        <v>0</v>
      </c>
      <c r="C180">
        <v>64</v>
      </c>
      <c r="D180">
        <v>346</v>
      </c>
      <c r="E180">
        <v>33</v>
      </c>
      <c r="F180" t="s">
        <v>23</v>
      </c>
      <c r="I180" s="3">
        <v>18.559999999999999</v>
      </c>
      <c r="J180" s="9">
        <v>0.23333333333333334</v>
      </c>
      <c r="K180" s="11">
        <v>137</v>
      </c>
      <c r="L180" s="3">
        <f>(I180+(((K180-32)/454)/J180))</f>
        <v>19.551189427312774</v>
      </c>
      <c r="M180" s="9"/>
      <c r="O180">
        <v>346</v>
      </c>
      <c r="R180" s="3">
        <v>15.4</v>
      </c>
      <c r="S180" s="9">
        <v>0.24960753532182103</v>
      </c>
      <c r="T180" s="11">
        <v>202</v>
      </c>
      <c r="U180" s="3">
        <f>(R180+(((T180-32)/454)/S180))</f>
        <v>16.900152384118805</v>
      </c>
      <c r="V180" s="11"/>
      <c r="W180" s="9"/>
      <c r="X180">
        <v>346</v>
      </c>
      <c r="AA180" s="3">
        <v>12.2</v>
      </c>
      <c r="AB180" s="9">
        <v>0.23281250000000001</v>
      </c>
    </row>
    <row r="181" spans="1:28" x14ac:dyDescent="0.25">
      <c r="A181" t="s">
        <v>47</v>
      </c>
      <c r="B181" t="s">
        <v>0</v>
      </c>
      <c r="C181">
        <v>64</v>
      </c>
      <c r="D181">
        <v>431</v>
      </c>
      <c r="E181">
        <v>33</v>
      </c>
      <c r="F181" t="s">
        <v>23</v>
      </c>
      <c r="I181" s="3">
        <v>17.2</v>
      </c>
      <c r="J181" s="9">
        <v>0.2292418772563177</v>
      </c>
      <c r="K181" s="11"/>
      <c r="M181" s="9"/>
      <c r="O181">
        <v>431</v>
      </c>
      <c r="R181" s="3">
        <v>12.92</v>
      </c>
      <c r="S181" s="9">
        <v>0.26027397260273971</v>
      </c>
      <c r="T181" s="11"/>
      <c r="U181" s="9"/>
      <c r="V181" s="11"/>
      <c r="W181" s="9"/>
      <c r="X181">
        <v>431</v>
      </c>
      <c r="AA181" s="3">
        <v>12.28</v>
      </c>
      <c r="AB181" s="9">
        <v>0.2288488210818308</v>
      </c>
    </row>
    <row r="182" spans="1:28" x14ac:dyDescent="0.25">
      <c r="A182" t="s">
        <v>47</v>
      </c>
      <c r="B182" t="s">
        <v>0</v>
      </c>
      <c r="C182">
        <v>64</v>
      </c>
      <c r="D182">
        <v>125</v>
      </c>
      <c r="E182">
        <v>34</v>
      </c>
      <c r="F182" t="s">
        <v>34</v>
      </c>
      <c r="G182">
        <v>589</v>
      </c>
      <c r="H182">
        <v>153</v>
      </c>
      <c r="I182" s="3">
        <v>19.440000000000001</v>
      </c>
      <c r="J182" s="9">
        <v>0.21723518850987433</v>
      </c>
      <c r="K182" s="11"/>
      <c r="M182" s="9"/>
      <c r="O182">
        <v>125</v>
      </c>
      <c r="P182">
        <v>833</v>
      </c>
      <c r="Q182">
        <v>219</v>
      </c>
      <c r="R182" s="3">
        <v>16</v>
      </c>
      <c r="S182" s="9">
        <v>0.23345817727840198</v>
      </c>
      <c r="T182" s="11"/>
      <c r="U182" s="9"/>
      <c r="V182" s="11"/>
      <c r="W182" s="9"/>
      <c r="X182">
        <v>125</v>
      </c>
      <c r="Y182">
        <v>827</v>
      </c>
      <c r="Z182">
        <v>215</v>
      </c>
      <c r="AA182" s="3">
        <v>11.72</v>
      </c>
      <c r="AB182" s="9">
        <v>0.23018867924528302</v>
      </c>
    </row>
    <row r="183" spans="1:28" x14ac:dyDescent="0.25">
      <c r="A183" t="s">
        <v>47</v>
      </c>
      <c r="B183" t="s">
        <v>0</v>
      </c>
      <c r="C183">
        <v>64</v>
      </c>
      <c r="D183">
        <v>222</v>
      </c>
      <c r="E183">
        <v>34</v>
      </c>
      <c r="F183" t="s">
        <v>34</v>
      </c>
      <c r="I183" s="3">
        <v>18.440000000000001</v>
      </c>
      <c r="J183" s="9">
        <v>0.20810810810810812</v>
      </c>
      <c r="K183" s="11">
        <v>122</v>
      </c>
      <c r="L183" s="3">
        <f>(I183+(((K183-32)/454)/J183))</f>
        <v>19.392571657417474</v>
      </c>
      <c r="M183" s="9"/>
      <c r="O183">
        <v>222</v>
      </c>
      <c r="R183" s="3">
        <v>15.06</v>
      </c>
      <c r="S183" s="9">
        <v>0.24133148404993066</v>
      </c>
      <c r="T183" s="11">
        <v>166</v>
      </c>
      <c r="U183" s="3">
        <f>(R183+(((T183-32)/454)/S183))</f>
        <v>16.283023950579775</v>
      </c>
      <c r="V183" s="11"/>
      <c r="W183" s="9"/>
      <c r="X183">
        <v>222</v>
      </c>
      <c r="AA183" s="3">
        <v>12.22</v>
      </c>
      <c r="AB183" s="9">
        <v>0.23429951690821257</v>
      </c>
    </row>
    <row r="184" spans="1:28" x14ac:dyDescent="0.25">
      <c r="A184" t="s">
        <v>47</v>
      </c>
      <c r="B184" t="s">
        <v>0</v>
      </c>
      <c r="C184">
        <v>64</v>
      </c>
      <c r="D184">
        <v>327</v>
      </c>
      <c r="E184">
        <v>34</v>
      </c>
      <c r="F184" t="s">
        <v>34</v>
      </c>
      <c r="I184" s="3">
        <v>16.68</v>
      </c>
      <c r="J184" s="9">
        <v>0.23474801061007958</v>
      </c>
      <c r="K184" s="11">
        <v>131</v>
      </c>
      <c r="L184" s="3">
        <f>(I184+(((K184-32)/454)/J184))</f>
        <v>17.608918091540357</v>
      </c>
      <c r="M184" s="9"/>
      <c r="O184">
        <v>327</v>
      </c>
      <c r="R184" s="3">
        <v>13.66</v>
      </c>
      <c r="S184" s="9">
        <v>0.24504084014002334</v>
      </c>
      <c r="T184" s="11">
        <v>153</v>
      </c>
      <c r="U184" s="3">
        <f>(R184+(((T184-32)/454)/S184))</f>
        <v>14.747654709460877</v>
      </c>
      <c r="V184" s="11"/>
      <c r="W184" s="9"/>
      <c r="X184">
        <v>327</v>
      </c>
      <c r="AA184" s="3">
        <v>9.76</v>
      </c>
      <c r="AB184" s="9">
        <v>0.25127334465195245</v>
      </c>
    </row>
    <row r="185" spans="1:28" x14ac:dyDescent="0.25">
      <c r="A185" t="s">
        <v>47</v>
      </c>
      <c r="B185" t="s">
        <v>0</v>
      </c>
      <c r="C185">
        <v>64</v>
      </c>
      <c r="D185">
        <v>416</v>
      </c>
      <c r="E185">
        <v>34</v>
      </c>
      <c r="F185" t="s">
        <v>34</v>
      </c>
      <c r="I185" s="3">
        <v>17.82</v>
      </c>
      <c r="J185" s="9">
        <v>0.21190130624092887</v>
      </c>
      <c r="K185" s="11"/>
      <c r="M185" s="9"/>
      <c r="O185">
        <v>416</v>
      </c>
      <c r="R185" s="3">
        <v>14.88</v>
      </c>
      <c r="S185" s="9">
        <v>0.25852272727272729</v>
      </c>
      <c r="T185" s="11"/>
      <c r="U185" s="9"/>
      <c r="V185" s="11"/>
      <c r="W185" s="9"/>
      <c r="X185">
        <v>416</v>
      </c>
      <c r="AA185" s="3">
        <v>12.88</v>
      </c>
      <c r="AB185" s="9">
        <v>0.21750321750321749</v>
      </c>
    </row>
    <row r="186" spans="1:28" x14ac:dyDescent="0.25">
      <c r="A186" t="s">
        <v>47</v>
      </c>
      <c r="B186" t="s">
        <v>0</v>
      </c>
      <c r="C186">
        <v>64</v>
      </c>
      <c r="D186">
        <v>128</v>
      </c>
      <c r="E186">
        <v>35</v>
      </c>
      <c r="F186" t="s">
        <v>26</v>
      </c>
      <c r="I186" s="3">
        <v>16.98</v>
      </c>
      <c r="J186" s="9">
        <v>0.21723518850987433</v>
      </c>
      <c r="K186" s="11"/>
      <c r="M186" s="9"/>
      <c r="O186">
        <v>128</v>
      </c>
      <c r="R186" s="3">
        <v>14.64</v>
      </c>
      <c r="S186" s="9">
        <v>0.23345817727840198</v>
      </c>
      <c r="T186" s="11"/>
      <c r="U186" s="9"/>
      <c r="V186" s="11"/>
      <c r="W186" s="9"/>
      <c r="X186">
        <v>128</v>
      </c>
      <c r="AA186" s="3">
        <v>11.26</v>
      </c>
      <c r="AB186" s="9">
        <v>0.23018867924528302</v>
      </c>
    </row>
    <row r="187" spans="1:28" x14ac:dyDescent="0.25">
      <c r="A187" t="s">
        <v>47</v>
      </c>
      <c r="B187" t="s">
        <v>0</v>
      </c>
      <c r="C187">
        <v>64</v>
      </c>
      <c r="D187">
        <v>232</v>
      </c>
      <c r="E187">
        <v>35</v>
      </c>
      <c r="F187" t="s">
        <v>26</v>
      </c>
      <c r="I187" s="3">
        <v>18.5</v>
      </c>
      <c r="J187" s="9">
        <v>0.19940476190476192</v>
      </c>
      <c r="K187" s="11">
        <v>93</v>
      </c>
      <c r="L187" s="3">
        <f>(I187+(((K187-32)/454)/J187))</f>
        <v>19.17381155894536</v>
      </c>
      <c r="M187" s="9"/>
      <c r="O187">
        <v>232</v>
      </c>
      <c r="R187" s="3">
        <v>14.26</v>
      </c>
      <c r="S187" s="9">
        <v>0.25178826895565093</v>
      </c>
      <c r="T187" s="11">
        <v>122</v>
      </c>
      <c r="U187" s="3">
        <f>(R187+(((T187-32)/454)/S187))</f>
        <v>15.047319783740488</v>
      </c>
      <c r="V187" s="11"/>
      <c r="W187" s="9"/>
      <c r="X187">
        <v>232</v>
      </c>
      <c r="AA187" s="3">
        <v>11.72</v>
      </c>
      <c r="AB187" s="9">
        <v>0.24306472919418759</v>
      </c>
    </row>
    <row r="188" spans="1:28" x14ac:dyDescent="0.25">
      <c r="A188" t="s">
        <v>47</v>
      </c>
      <c r="B188" t="s">
        <v>0</v>
      </c>
      <c r="C188">
        <v>64</v>
      </c>
      <c r="D188">
        <v>343</v>
      </c>
      <c r="E188">
        <v>35</v>
      </c>
      <c r="F188" t="s">
        <v>26</v>
      </c>
      <c r="I188" s="3">
        <v>17.62</v>
      </c>
      <c r="J188" s="9">
        <v>0.2132768361581921</v>
      </c>
      <c r="K188" s="11">
        <v>117</v>
      </c>
      <c r="L188" s="3">
        <f>(I188+(((K188-32)/454)/J188))</f>
        <v>18.497848119730431</v>
      </c>
      <c r="M188" s="9"/>
      <c r="O188">
        <v>343</v>
      </c>
      <c r="R188" s="3">
        <v>14.46</v>
      </c>
      <c r="S188" s="9">
        <v>0.23962516733601072</v>
      </c>
      <c r="T188" s="11">
        <v>160</v>
      </c>
      <c r="U188" s="3">
        <f>(R188+(((T188-32)/454)/S188))</f>
        <v>15.636580611817982</v>
      </c>
      <c r="V188" s="11"/>
      <c r="W188" s="9"/>
      <c r="X188">
        <v>343</v>
      </c>
      <c r="AA188" s="3">
        <v>10.52</v>
      </c>
      <c r="AB188" s="9">
        <v>0.24221453287197231</v>
      </c>
    </row>
    <row r="189" spans="1:28" x14ac:dyDescent="0.25">
      <c r="A189" t="s">
        <v>47</v>
      </c>
      <c r="B189" t="s">
        <v>0</v>
      </c>
      <c r="C189">
        <v>64</v>
      </c>
      <c r="D189">
        <v>413</v>
      </c>
      <c r="E189">
        <v>35</v>
      </c>
      <c r="F189" t="s">
        <v>26</v>
      </c>
      <c r="G189">
        <v>721</v>
      </c>
      <c r="H189">
        <v>178</v>
      </c>
      <c r="I189" s="3">
        <v>16.22</v>
      </c>
      <c r="J189" s="9">
        <v>0.21190130624092887</v>
      </c>
      <c r="K189" s="11"/>
      <c r="M189" s="9"/>
      <c r="O189">
        <v>413</v>
      </c>
      <c r="P189">
        <v>736</v>
      </c>
      <c r="Q189">
        <v>214</v>
      </c>
      <c r="R189" s="3">
        <v>14</v>
      </c>
      <c r="S189" s="9">
        <v>0.25852272727272729</v>
      </c>
      <c r="T189" s="11"/>
      <c r="U189" s="9"/>
      <c r="V189" s="11"/>
      <c r="W189" s="9"/>
      <c r="X189">
        <v>413</v>
      </c>
      <c r="Y189">
        <v>809</v>
      </c>
      <c r="Z189">
        <v>201</v>
      </c>
      <c r="AA189" s="3">
        <v>13.52</v>
      </c>
      <c r="AB189" s="9">
        <v>0.21750321750321749</v>
      </c>
    </row>
    <row r="190" spans="1:28" x14ac:dyDescent="0.25">
      <c r="A190" t="s">
        <v>47</v>
      </c>
      <c r="B190" t="s">
        <v>0</v>
      </c>
      <c r="C190">
        <v>64</v>
      </c>
      <c r="D190">
        <v>137</v>
      </c>
      <c r="E190">
        <v>36</v>
      </c>
      <c r="F190" t="s">
        <v>27</v>
      </c>
      <c r="G190">
        <v>840</v>
      </c>
      <c r="H190">
        <v>222</v>
      </c>
      <c r="I190" s="3">
        <v>17.82</v>
      </c>
      <c r="J190" s="9">
        <v>0.23514851485148514</v>
      </c>
      <c r="K190" s="11"/>
      <c r="M190" s="9"/>
      <c r="O190">
        <v>137</v>
      </c>
      <c r="P190">
        <v>829</v>
      </c>
      <c r="Q190">
        <v>248</v>
      </c>
      <c r="R190" s="3">
        <v>13.52</v>
      </c>
      <c r="S190" s="9">
        <v>0.2710163111668758</v>
      </c>
      <c r="T190" s="11"/>
      <c r="U190" s="9"/>
      <c r="V190" s="11"/>
      <c r="W190" s="9"/>
      <c r="X190">
        <v>137</v>
      </c>
      <c r="Y190">
        <v>668</v>
      </c>
      <c r="Z190">
        <v>184</v>
      </c>
      <c r="AA190" s="3">
        <v>11.06</v>
      </c>
      <c r="AB190" s="9">
        <v>0.2389937106918239</v>
      </c>
    </row>
    <row r="191" spans="1:28" x14ac:dyDescent="0.25">
      <c r="A191" t="s">
        <v>47</v>
      </c>
      <c r="B191" t="s">
        <v>0</v>
      </c>
      <c r="C191">
        <v>64</v>
      </c>
      <c r="D191">
        <v>246</v>
      </c>
      <c r="E191">
        <v>36</v>
      </c>
      <c r="F191" t="s">
        <v>27</v>
      </c>
      <c r="I191" s="3">
        <v>20.12</v>
      </c>
      <c r="J191" s="9">
        <v>0.21983471074380165</v>
      </c>
      <c r="K191" s="11">
        <v>116</v>
      </c>
      <c r="L191" s="3">
        <f>(I191+(((K191-32)/454)/J191))</f>
        <v>20.961641548805936</v>
      </c>
      <c r="M191" s="9"/>
      <c r="O191">
        <v>246</v>
      </c>
      <c r="R191" s="3">
        <v>13.32</v>
      </c>
      <c r="S191" s="9">
        <v>0.24919093851132687</v>
      </c>
      <c r="T191" s="11">
        <v>175</v>
      </c>
      <c r="U191" s="3">
        <f>(R191+(((T191-32)/454)/S191))</f>
        <v>14.584002517306482</v>
      </c>
      <c r="V191" s="11"/>
      <c r="W191" s="9"/>
      <c r="X191">
        <v>246</v>
      </c>
      <c r="AA191" s="3">
        <v>10.84</v>
      </c>
      <c r="AB191" s="9">
        <v>0.2391653290529695</v>
      </c>
    </row>
    <row r="192" spans="1:28" x14ac:dyDescent="0.25">
      <c r="A192" t="s">
        <v>47</v>
      </c>
      <c r="B192" t="s">
        <v>0</v>
      </c>
      <c r="C192">
        <v>64</v>
      </c>
      <c r="D192">
        <v>331</v>
      </c>
      <c r="E192">
        <v>36</v>
      </c>
      <c r="F192" t="s">
        <v>27</v>
      </c>
      <c r="I192" s="3">
        <v>14.38</v>
      </c>
      <c r="J192" s="9">
        <v>0.225752508361204</v>
      </c>
      <c r="K192" s="11">
        <v>116</v>
      </c>
      <c r="L192" s="3">
        <f>(I192+(((K192-32)/454)/J192))</f>
        <v>15.199579050416055</v>
      </c>
      <c r="M192" s="9"/>
      <c r="O192">
        <v>331</v>
      </c>
      <c r="R192" s="3">
        <v>10.92</v>
      </c>
      <c r="S192" s="9">
        <v>0.23356009070294784</v>
      </c>
      <c r="T192" s="11">
        <v>138</v>
      </c>
      <c r="U192" s="3">
        <f>(R192+(((T192-32)/454)/S192))</f>
        <v>11.91965784183739</v>
      </c>
      <c r="V192" s="11"/>
      <c r="W192" s="9"/>
      <c r="X192">
        <v>331</v>
      </c>
      <c r="AA192" s="3">
        <v>11.36</v>
      </c>
      <c r="AB192" s="9">
        <v>0.23175182481751824</v>
      </c>
    </row>
    <row r="193" spans="1:28" x14ac:dyDescent="0.25">
      <c r="A193" t="s">
        <v>47</v>
      </c>
      <c r="B193" t="s">
        <v>0</v>
      </c>
      <c r="C193">
        <v>64</v>
      </c>
      <c r="D193">
        <v>428</v>
      </c>
      <c r="E193">
        <v>36</v>
      </c>
      <c r="F193" t="s">
        <v>27</v>
      </c>
      <c r="I193" s="3">
        <v>16.86</v>
      </c>
      <c r="J193" s="9">
        <v>0.21846153846153846</v>
      </c>
      <c r="K193" s="11"/>
      <c r="M193" s="9"/>
      <c r="O193">
        <v>428</v>
      </c>
      <c r="R193" s="3">
        <v>11.54</v>
      </c>
      <c r="S193" s="9">
        <v>0.25113464447806355</v>
      </c>
      <c r="T193" s="11"/>
      <c r="U193" s="9"/>
      <c r="V193" s="11"/>
      <c r="W193" s="9"/>
      <c r="X193">
        <v>428</v>
      </c>
      <c r="AA193" s="3">
        <v>12.2</v>
      </c>
      <c r="AB193" s="9">
        <v>0.23529411764705882</v>
      </c>
    </row>
  </sheetData>
  <sortState xmlns:xlrd2="http://schemas.microsoft.com/office/spreadsheetml/2017/richdata2" ref="A2:AD193">
    <sortCondition ref="E2:E19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6693-D850-465E-8B0E-164898526CED}">
  <dimension ref="A1:AG385"/>
  <sheetViews>
    <sheetView topLeftCell="L1" workbookViewId="0">
      <selection activeCell="A5" sqref="A5:XFD5"/>
    </sheetView>
  </sheetViews>
  <sheetFormatPr defaultRowHeight="15" x14ac:dyDescent="0.25"/>
  <cols>
    <col min="2" max="2" width="3.85546875" customWidth="1"/>
    <col min="3" max="3" width="3.5703125" customWidth="1"/>
    <col min="4" max="4" width="7.7109375" customWidth="1"/>
    <col min="5" max="5" width="9.140625" style="2"/>
    <col min="6" max="6" width="19.5703125" customWidth="1"/>
    <col min="7" max="12" width="9.140625" style="2"/>
    <col min="13" max="13" width="9.140625" style="6"/>
    <col min="31" max="31" width="9.140625" style="2"/>
  </cols>
  <sheetData>
    <row r="1" spans="1:33" x14ac:dyDescent="0.25">
      <c r="G1" s="2" t="s">
        <v>40</v>
      </c>
      <c r="H1" s="2" t="s">
        <v>41</v>
      </c>
      <c r="I1" s="6" t="s">
        <v>42</v>
      </c>
      <c r="J1" s="13" t="s">
        <v>49</v>
      </c>
      <c r="K1" s="10" t="s">
        <v>52</v>
      </c>
      <c r="L1" s="13" t="s">
        <v>53</v>
      </c>
      <c r="M1" s="14" t="s">
        <v>55</v>
      </c>
      <c r="P1" t="s">
        <v>38</v>
      </c>
      <c r="Q1" t="s">
        <v>37</v>
      </c>
      <c r="R1" t="s">
        <v>39</v>
      </c>
      <c r="S1" s="15" t="s">
        <v>50</v>
      </c>
      <c r="T1" s="11" t="s">
        <v>52</v>
      </c>
      <c r="U1" s="15" t="s">
        <v>54</v>
      </c>
      <c r="V1" s="14" t="s">
        <v>56</v>
      </c>
      <c r="Y1" t="s">
        <v>43</v>
      </c>
      <c r="Z1" t="s">
        <v>44</v>
      </c>
      <c r="AA1" s="3" t="s">
        <v>45</v>
      </c>
      <c r="AB1" s="15" t="s">
        <v>51</v>
      </c>
      <c r="AC1" s="11" t="s">
        <v>52</v>
      </c>
      <c r="AD1" s="16" t="s">
        <v>57</v>
      </c>
      <c r="AE1" s="14" t="s">
        <v>58</v>
      </c>
      <c r="AG1" t="s">
        <v>59</v>
      </c>
    </row>
    <row r="2" spans="1:33" x14ac:dyDescent="0.25">
      <c r="A2" t="s">
        <v>46</v>
      </c>
      <c r="B2" t="s">
        <v>0</v>
      </c>
      <c r="C2">
        <v>63</v>
      </c>
      <c r="D2">
        <v>101</v>
      </c>
      <c r="E2" s="2">
        <v>6</v>
      </c>
      <c r="F2" t="s">
        <v>1</v>
      </c>
      <c r="G2" s="2">
        <v>744</v>
      </c>
      <c r="H2" s="2">
        <v>207</v>
      </c>
      <c r="I2" s="6">
        <v>11.14</v>
      </c>
      <c r="J2" s="4">
        <v>0.24578651685393257</v>
      </c>
      <c r="K2" s="10"/>
      <c r="L2" s="6">
        <v>11.14</v>
      </c>
      <c r="M2" s="6">
        <f>J2*L2*0.52</f>
        <v>1.4237921348314608</v>
      </c>
      <c r="O2">
        <v>101</v>
      </c>
      <c r="R2" s="3"/>
      <c r="S2" s="9"/>
      <c r="T2" s="11"/>
      <c r="U2" s="9"/>
      <c r="V2" s="11"/>
      <c r="W2" s="9"/>
      <c r="X2">
        <v>101</v>
      </c>
      <c r="Y2">
        <v>726</v>
      </c>
      <c r="Z2">
        <v>157</v>
      </c>
      <c r="AA2" s="3">
        <v>5.04</v>
      </c>
      <c r="AB2" s="9">
        <v>0.18011527377521613</v>
      </c>
      <c r="AD2" s="3">
        <v>5.04</v>
      </c>
      <c r="AE2" s="6">
        <f>AB2*AD2*0.52</f>
        <v>0.47204610951008646</v>
      </c>
      <c r="AG2" s="3"/>
    </row>
    <row r="3" spans="1:33" x14ac:dyDescent="0.25">
      <c r="A3" t="s">
        <v>46</v>
      </c>
      <c r="B3" t="s">
        <v>0</v>
      </c>
      <c r="C3">
        <v>63</v>
      </c>
      <c r="D3">
        <v>102</v>
      </c>
      <c r="E3" s="2">
        <v>4</v>
      </c>
      <c r="F3" t="s">
        <v>2</v>
      </c>
      <c r="I3" s="6">
        <v>8.2799999999999994</v>
      </c>
      <c r="J3" s="4">
        <v>0.24578651685393257</v>
      </c>
      <c r="K3" s="10"/>
      <c r="L3" s="6">
        <v>8.2799999999999994</v>
      </c>
      <c r="M3" s="6">
        <f t="shared" ref="M3:M66" si="0">J3*L3*0.52</f>
        <v>1.058258426966292</v>
      </c>
      <c r="O3">
        <v>102</v>
      </c>
      <c r="R3" s="3"/>
      <c r="S3" s="9"/>
      <c r="T3" s="11"/>
      <c r="U3" s="9"/>
      <c r="V3" s="11"/>
      <c r="W3" s="9"/>
      <c r="X3">
        <v>102</v>
      </c>
      <c r="AA3" s="3">
        <v>4.74</v>
      </c>
      <c r="AB3" s="9">
        <v>0.18011527377521613</v>
      </c>
      <c r="AD3" s="3">
        <v>4.74</v>
      </c>
      <c r="AE3" s="6">
        <f t="shared" ref="AE3:AE66" si="1">AB3*AD3*0.52</f>
        <v>0.44394812680115275</v>
      </c>
      <c r="AG3" s="3"/>
    </row>
    <row r="4" spans="1:33" x14ac:dyDescent="0.25">
      <c r="A4" t="s">
        <v>46</v>
      </c>
      <c r="B4" t="s">
        <v>0</v>
      </c>
      <c r="C4">
        <v>63</v>
      </c>
      <c r="D4">
        <v>103</v>
      </c>
      <c r="E4" s="2">
        <v>3</v>
      </c>
      <c r="F4" t="s">
        <v>3</v>
      </c>
      <c r="I4" s="6">
        <v>13.02</v>
      </c>
      <c r="J4" s="4">
        <v>0.24578651685393257</v>
      </c>
      <c r="K4" s="10"/>
      <c r="L4" s="6">
        <v>13.02</v>
      </c>
      <c r="M4" s="6">
        <f t="shared" si="0"/>
        <v>1.6640730337078651</v>
      </c>
      <c r="O4">
        <v>103</v>
      </c>
      <c r="R4" s="3"/>
      <c r="S4" s="9"/>
      <c r="T4" s="11"/>
      <c r="U4" s="9"/>
      <c r="V4" s="11"/>
      <c r="W4" s="9"/>
      <c r="X4">
        <v>103</v>
      </c>
      <c r="AA4" s="3">
        <v>5.2</v>
      </c>
      <c r="AB4" s="9">
        <v>0.18011527377521613</v>
      </c>
      <c r="AD4" s="3">
        <v>5.2</v>
      </c>
      <c r="AE4" s="6">
        <f t="shared" si="1"/>
        <v>0.48703170028818443</v>
      </c>
      <c r="AG4" s="3"/>
    </row>
    <row r="5" spans="1:33" x14ac:dyDescent="0.25">
      <c r="A5" t="s">
        <v>46</v>
      </c>
      <c r="B5" t="s">
        <v>0</v>
      </c>
      <c r="C5">
        <v>63</v>
      </c>
      <c r="D5">
        <v>104</v>
      </c>
      <c r="E5" s="2">
        <v>2</v>
      </c>
      <c r="F5" t="s">
        <v>4</v>
      </c>
      <c r="I5" s="6">
        <v>12.52</v>
      </c>
      <c r="J5" s="4">
        <v>0.24578651685393257</v>
      </c>
      <c r="K5" s="10"/>
      <c r="L5" s="6">
        <v>12.52</v>
      </c>
      <c r="M5" s="6">
        <f t="shared" si="0"/>
        <v>1.6001685393258425</v>
      </c>
      <c r="O5">
        <v>104</v>
      </c>
      <c r="R5" s="3"/>
      <c r="S5" s="9"/>
      <c r="T5" s="11"/>
      <c r="U5" s="9"/>
      <c r="V5" s="11"/>
      <c r="W5" s="9"/>
      <c r="X5">
        <v>104</v>
      </c>
      <c r="AA5" s="3">
        <v>4.32</v>
      </c>
      <c r="AB5" s="9">
        <v>0.18011527377521613</v>
      </c>
      <c r="AD5" s="3">
        <v>4.32</v>
      </c>
      <c r="AE5" s="6">
        <f t="shared" si="1"/>
        <v>0.40461095100864553</v>
      </c>
      <c r="AG5" s="3"/>
    </row>
    <row r="6" spans="1:33" x14ac:dyDescent="0.25">
      <c r="A6" t="s">
        <v>46</v>
      </c>
      <c r="B6" t="s">
        <v>0</v>
      </c>
      <c r="C6">
        <v>63</v>
      </c>
      <c r="D6">
        <v>105</v>
      </c>
      <c r="E6" s="2">
        <v>5</v>
      </c>
      <c r="F6" t="s">
        <v>5</v>
      </c>
      <c r="G6" s="2">
        <v>723</v>
      </c>
      <c r="H6" s="2">
        <v>197</v>
      </c>
      <c r="I6" s="6">
        <v>10.44</v>
      </c>
      <c r="J6" s="4">
        <v>0.23878437047756873</v>
      </c>
      <c r="K6" s="10"/>
      <c r="L6" s="6">
        <v>10.44</v>
      </c>
      <c r="M6" s="6">
        <f t="shared" si="0"/>
        <v>1.2963125904486252</v>
      </c>
      <c r="O6">
        <v>105</v>
      </c>
      <c r="R6" s="3"/>
      <c r="S6" s="9"/>
      <c r="T6" s="11"/>
      <c r="U6" s="9"/>
      <c r="V6" s="11"/>
      <c r="W6" s="9"/>
      <c r="X6">
        <v>105</v>
      </c>
      <c r="Y6">
        <v>829</v>
      </c>
      <c r="Z6">
        <v>176</v>
      </c>
      <c r="AA6" s="3">
        <v>4.5999999999999996</v>
      </c>
      <c r="AB6" s="9">
        <v>0.1806775407779172</v>
      </c>
      <c r="AD6" s="3">
        <v>4.5999999999999996</v>
      </c>
      <c r="AE6" s="6">
        <f t="shared" si="1"/>
        <v>0.43218067754077794</v>
      </c>
      <c r="AG6" s="3"/>
    </row>
    <row r="7" spans="1:33" x14ac:dyDescent="0.25">
      <c r="A7" t="s">
        <v>46</v>
      </c>
      <c r="B7" t="s">
        <v>0</v>
      </c>
      <c r="C7">
        <v>63</v>
      </c>
      <c r="D7">
        <v>106</v>
      </c>
      <c r="E7" s="2">
        <v>1</v>
      </c>
      <c r="F7" t="s">
        <v>6</v>
      </c>
      <c r="I7" s="6">
        <v>12.64</v>
      </c>
      <c r="J7" s="4">
        <v>0.23878437047756873</v>
      </c>
      <c r="K7" s="10"/>
      <c r="L7" s="6">
        <v>12.64</v>
      </c>
      <c r="M7" s="6">
        <f t="shared" si="0"/>
        <v>1.569481910274964</v>
      </c>
      <c r="O7">
        <v>106</v>
      </c>
      <c r="R7" s="3"/>
      <c r="S7" s="9"/>
      <c r="T7" s="11"/>
      <c r="U7" s="9"/>
      <c r="V7" s="11"/>
      <c r="W7" s="9"/>
      <c r="X7">
        <v>106</v>
      </c>
      <c r="AA7" s="3">
        <v>5.0599999999999996</v>
      </c>
      <c r="AB7" s="9">
        <v>0.1806775407779172</v>
      </c>
      <c r="AD7" s="3">
        <v>5.0599999999999996</v>
      </c>
      <c r="AE7" s="6">
        <f t="shared" si="1"/>
        <v>0.47539874529485571</v>
      </c>
      <c r="AG7" s="3"/>
    </row>
    <row r="8" spans="1:33" x14ac:dyDescent="0.25">
      <c r="A8" t="s">
        <v>46</v>
      </c>
      <c r="B8" t="s">
        <v>0</v>
      </c>
      <c r="C8">
        <v>63</v>
      </c>
      <c r="D8">
        <v>107</v>
      </c>
      <c r="E8" s="2">
        <v>5</v>
      </c>
      <c r="F8" t="s">
        <v>5</v>
      </c>
      <c r="I8" s="6">
        <v>10.1</v>
      </c>
      <c r="J8" s="4">
        <v>0.23878437047756873</v>
      </c>
      <c r="K8" s="10"/>
      <c r="L8" s="6">
        <v>10.1</v>
      </c>
      <c r="M8" s="6">
        <f t="shared" si="0"/>
        <v>1.2540955137481911</v>
      </c>
      <c r="O8">
        <v>107</v>
      </c>
      <c r="R8" s="3"/>
      <c r="S8" s="9"/>
      <c r="T8" s="11"/>
      <c r="U8" s="9"/>
      <c r="V8" s="11"/>
      <c r="W8" s="9"/>
      <c r="X8">
        <v>107</v>
      </c>
      <c r="AA8" s="3">
        <v>4.18</v>
      </c>
      <c r="AB8" s="9">
        <v>0.1806775407779172</v>
      </c>
      <c r="AD8" s="3">
        <v>4.18</v>
      </c>
      <c r="AE8" s="6">
        <f t="shared" si="1"/>
        <v>0.39272070263488079</v>
      </c>
      <c r="AG8" s="3"/>
    </row>
    <row r="9" spans="1:33" x14ac:dyDescent="0.25">
      <c r="A9" t="s">
        <v>46</v>
      </c>
      <c r="B9" t="s">
        <v>0</v>
      </c>
      <c r="C9">
        <v>63</v>
      </c>
      <c r="D9">
        <v>108</v>
      </c>
      <c r="E9" s="2">
        <v>6</v>
      </c>
      <c r="F9" t="s">
        <v>1</v>
      </c>
      <c r="I9" s="6">
        <v>13.26</v>
      </c>
      <c r="J9" s="4">
        <v>0.23878437047756873</v>
      </c>
      <c r="K9" s="10"/>
      <c r="L9" s="6">
        <v>13.26</v>
      </c>
      <c r="M9" s="6">
        <f t="shared" si="0"/>
        <v>1.6464659913169319</v>
      </c>
      <c r="O9">
        <v>108</v>
      </c>
      <c r="R9" s="3"/>
      <c r="S9" s="9"/>
      <c r="T9" s="11"/>
      <c r="U9" s="9"/>
      <c r="V9" s="11"/>
      <c r="W9" s="9"/>
      <c r="X9">
        <v>108</v>
      </c>
      <c r="AA9" s="3">
        <v>4.16</v>
      </c>
      <c r="AB9" s="9">
        <v>0.1806775407779172</v>
      </c>
      <c r="AD9" s="3">
        <v>4.16</v>
      </c>
      <c r="AE9" s="6">
        <f t="shared" si="1"/>
        <v>0.39084165621079053</v>
      </c>
      <c r="AG9" s="3"/>
    </row>
    <row r="10" spans="1:33" x14ac:dyDescent="0.25">
      <c r="A10" t="s">
        <v>46</v>
      </c>
      <c r="B10" t="s">
        <v>0</v>
      </c>
      <c r="C10">
        <v>63</v>
      </c>
      <c r="D10">
        <v>109</v>
      </c>
      <c r="E10" s="2">
        <v>4</v>
      </c>
      <c r="F10" t="s">
        <v>2</v>
      </c>
      <c r="G10" s="2">
        <v>780</v>
      </c>
      <c r="H10" s="2">
        <v>218</v>
      </c>
      <c r="I10" s="6">
        <v>9.84</v>
      </c>
      <c r="J10" s="4">
        <v>0.24866310160427807</v>
      </c>
      <c r="K10" s="10"/>
      <c r="L10" s="6">
        <v>9.84</v>
      </c>
      <c r="M10" s="6">
        <f t="shared" si="0"/>
        <v>1.27235935828877</v>
      </c>
      <c r="O10">
        <v>109</v>
      </c>
      <c r="R10" s="3"/>
      <c r="S10" s="9"/>
      <c r="T10" s="11"/>
      <c r="U10" s="9"/>
      <c r="V10" s="11"/>
      <c r="W10" s="9"/>
      <c r="X10">
        <v>109</v>
      </c>
      <c r="Y10">
        <v>801</v>
      </c>
      <c r="Z10">
        <v>184</v>
      </c>
      <c r="AA10" s="3">
        <v>4.5</v>
      </c>
      <c r="AB10" s="9">
        <v>0.1976592977893368</v>
      </c>
      <c r="AD10" s="3">
        <v>4.5</v>
      </c>
      <c r="AE10" s="6">
        <f t="shared" si="1"/>
        <v>0.46252275682704813</v>
      </c>
      <c r="AG10" s="3"/>
    </row>
    <row r="11" spans="1:33" x14ac:dyDescent="0.25">
      <c r="A11" t="s">
        <v>46</v>
      </c>
      <c r="B11" t="s">
        <v>0</v>
      </c>
      <c r="C11">
        <v>63</v>
      </c>
      <c r="D11">
        <v>110</v>
      </c>
      <c r="E11" s="2">
        <v>2</v>
      </c>
      <c r="F11" t="s">
        <v>4</v>
      </c>
      <c r="I11" s="6">
        <v>12.96</v>
      </c>
      <c r="J11" s="4">
        <v>0.24866310160427807</v>
      </c>
      <c r="K11" s="10"/>
      <c r="L11" s="6">
        <v>12.96</v>
      </c>
      <c r="M11" s="6">
        <f t="shared" si="0"/>
        <v>1.6757903743315508</v>
      </c>
      <c r="O11">
        <v>110</v>
      </c>
      <c r="R11" s="3"/>
      <c r="S11" s="9"/>
      <c r="T11" s="11"/>
      <c r="U11" s="9"/>
      <c r="V11" s="11"/>
      <c r="W11" s="9"/>
      <c r="X11">
        <v>110</v>
      </c>
      <c r="AA11" s="3">
        <v>4.76</v>
      </c>
      <c r="AB11" s="9">
        <v>0.1976592977893368</v>
      </c>
      <c r="AD11" s="3">
        <v>4.76</v>
      </c>
      <c r="AE11" s="6">
        <f t="shared" si="1"/>
        <v>0.48924629388816648</v>
      </c>
      <c r="AG11" s="3"/>
    </row>
    <row r="12" spans="1:33" x14ac:dyDescent="0.25">
      <c r="A12" t="s">
        <v>46</v>
      </c>
      <c r="B12" t="s">
        <v>0</v>
      </c>
      <c r="C12">
        <v>63</v>
      </c>
      <c r="D12">
        <v>111</v>
      </c>
      <c r="E12" s="2">
        <v>1</v>
      </c>
      <c r="F12" t="s">
        <v>6</v>
      </c>
      <c r="I12" s="6">
        <v>11.38</v>
      </c>
      <c r="J12" s="4">
        <v>0.24866310160427807</v>
      </c>
      <c r="K12" s="10"/>
      <c r="L12" s="6">
        <v>11.38</v>
      </c>
      <c r="M12" s="6">
        <f t="shared" si="0"/>
        <v>1.4714887700534762</v>
      </c>
      <c r="O12">
        <v>111</v>
      </c>
      <c r="R12" s="3"/>
      <c r="S12" s="9"/>
      <c r="T12" s="11"/>
      <c r="U12" s="9"/>
      <c r="V12" s="11"/>
      <c r="W12" s="9"/>
      <c r="X12">
        <v>111</v>
      </c>
      <c r="AA12" s="3">
        <v>4.84</v>
      </c>
      <c r="AB12" s="9">
        <v>0.1976592977893368</v>
      </c>
      <c r="AD12" s="3">
        <v>4.84</v>
      </c>
      <c r="AE12" s="6">
        <f t="shared" si="1"/>
        <v>0.49746892067620285</v>
      </c>
      <c r="AG12" s="3"/>
    </row>
    <row r="13" spans="1:33" x14ac:dyDescent="0.25">
      <c r="A13" t="s">
        <v>46</v>
      </c>
      <c r="B13" t="s">
        <v>0</v>
      </c>
      <c r="C13">
        <v>63</v>
      </c>
      <c r="D13">
        <v>112</v>
      </c>
      <c r="E13" s="2">
        <v>3</v>
      </c>
      <c r="F13" t="s">
        <v>3</v>
      </c>
      <c r="I13" s="6">
        <v>10.34</v>
      </c>
      <c r="J13" s="4">
        <v>0.24866310160427807</v>
      </c>
      <c r="K13" s="10"/>
      <c r="L13" s="6">
        <v>10.34</v>
      </c>
      <c r="M13" s="6">
        <f t="shared" si="0"/>
        <v>1.3370117647058823</v>
      </c>
      <c r="O13">
        <v>112</v>
      </c>
      <c r="R13" s="3"/>
      <c r="S13" s="9"/>
      <c r="T13" s="11"/>
      <c r="U13" s="9"/>
      <c r="V13" s="11"/>
      <c r="W13" s="9"/>
      <c r="X13">
        <v>112</v>
      </c>
      <c r="AA13" s="3">
        <v>4.46</v>
      </c>
      <c r="AB13" s="9">
        <v>0.1976592977893368</v>
      </c>
      <c r="AD13" s="3">
        <v>4.46</v>
      </c>
      <c r="AE13" s="6">
        <f t="shared" si="1"/>
        <v>0.45841144343302992</v>
      </c>
      <c r="AG13" s="3"/>
    </row>
    <row r="14" spans="1:33" x14ac:dyDescent="0.25">
      <c r="A14" t="s">
        <v>46</v>
      </c>
      <c r="B14" t="s">
        <v>0</v>
      </c>
      <c r="C14">
        <v>63</v>
      </c>
      <c r="D14">
        <v>113</v>
      </c>
      <c r="E14" s="2">
        <v>22</v>
      </c>
      <c r="F14" t="s">
        <v>7</v>
      </c>
      <c r="G14" s="2">
        <v>901</v>
      </c>
      <c r="H14" s="2">
        <v>247</v>
      </c>
      <c r="I14" s="6">
        <v>12.88</v>
      </c>
      <c r="J14" s="4">
        <v>0.24741081703107021</v>
      </c>
      <c r="K14" s="10"/>
      <c r="L14" s="6">
        <v>12.88</v>
      </c>
      <c r="M14" s="6">
        <f t="shared" si="0"/>
        <v>1.657058688147296</v>
      </c>
      <c r="O14">
        <v>113</v>
      </c>
      <c r="P14">
        <v>534</v>
      </c>
      <c r="Q14">
        <v>230</v>
      </c>
      <c r="R14" s="3">
        <v>3.06</v>
      </c>
      <c r="S14" s="9">
        <v>0.39442231075697209</v>
      </c>
      <c r="T14" s="11"/>
      <c r="U14" s="3">
        <v>3.06</v>
      </c>
      <c r="V14" s="3">
        <f>S14*U14*0.52</f>
        <v>0.62760478087649396</v>
      </c>
      <c r="W14" s="9"/>
      <c r="X14">
        <v>113</v>
      </c>
      <c r="Y14">
        <v>774</v>
      </c>
      <c r="Z14">
        <v>183</v>
      </c>
      <c r="AA14" s="3">
        <v>4.9000000000000004</v>
      </c>
      <c r="AB14" s="9">
        <v>0.20350404312668463</v>
      </c>
      <c r="AD14" s="3">
        <v>4.9000000000000004</v>
      </c>
      <c r="AE14" s="6">
        <f t="shared" si="1"/>
        <v>0.51852830188679255</v>
      </c>
      <c r="AG14" s="3">
        <f t="shared" ref="AG14:AG66" si="2">M14+V14+AE14</f>
        <v>2.8031917709105825</v>
      </c>
    </row>
    <row r="15" spans="1:33" x14ac:dyDescent="0.25">
      <c r="A15" t="s">
        <v>46</v>
      </c>
      <c r="B15" t="s">
        <v>0</v>
      </c>
      <c r="C15">
        <v>63</v>
      </c>
      <c r="D15">
        <v>114</v>
      </c>
      <c r="E15" s="2">
        <v>25</v>
      </c>
      <c r="F15" t="s">
        <v>8</v>
      </c>
      <c r="I15" s="6">
        <v>10.42</v>
      </c>
      <c r="J15" s="4">
        <v>0.24741081703107021</v>
      </c>
      <c r="K15" s="10"/>
      <c r="L15" s="6">
        <v>10.42</v>
      </c>
      <c r="M15" s="6">
        <f t="shared" si="0"/>
        <v>1.340570771001151</v>
      </c>
      <c r="O15">
        <v>114</v>
      </c>
      <c r="R15" s="3">
        <v>3.52</v>
      </c>
      <c r="S15" s="9">
        <v>0.39442231075697209</v>
      </c>
      <c r="T15" s="11"/>
      <c r="U15" s="3">
        <v>3.52</v>
      </c>
      <c r="V15" s="3">
        <f t="shared" ref="V15:V49" si="3">S15*U15*0.52</f>
        <v>0.72195059760956171</v>
      </c>
      <c r="W15" s="9"/>
      <c r="X15">
        <v>114</v>
      </c>
      <c r="AA15" s="3">
        <v>5.74</v>
      </c>
      <c r="AB15" s="9">
        <v>0.20350404312668463</v>
      </c>
      <c r="AD15" s="3">
        <v>5.74</v>
      </c>
      <c r="AE15" s="6">
        <f t="shared" si="1"/>
        <v>0.60741886792452837</v>
      </c>
      <c r="AG15" s="3">
        <f t="shared" si="2"/>
        <v>2.6699402365352412</v>
      </c>
    </row>
    <row r="16" spans="1:33" x14ac:dyDescent="0.25">
      <c r="A16" t="s">
        <v>46</v>
      </c>
      <c r="B16" t="s">
        <v>0</v>
      </c>
      <c r="C16">
        <v>63</v>
      </c>
      <c r="D16">
        <v>115</v>
      </c>
      <c r="E16" s="2">
        <v>4</v>
      </c>
      <c r="F16" t="s">
        <v>2</v>
      </c>
      <c r="I16" s="6">
        <v>6.48</v>
      </c>
      <c r="J16" s="4">
        <v>0.24741081703107021</v>
      </c>
      <c r="K16" s="10"/>
      <c r="L16" s="6">
        <v>6.48</v>
      </c>
      <c r="M16" s="6">
        <f t="shared" si="0"/>
        <v>0.83367548906789424</v>
      </c>
      <c r="O16">
        <v>115</v>
      </c>
      <c r="R16" s="3">
        <v>2.64</v>
      </c>
      <c r="S16" s="9">
        <v>0.39442231075697209</v>
      </c>
      <c r="T16" s="11"/>
      <c r="U16" s="3">
        <v>2.64</v>
      </c>
      <c r="V16" s="3">
        <f t="shared" si="3"/>
        <v>0.54146294820717134</v>
      </c>
      <c r="W16" s="9"/>
      <c r="X16">
        <v>115</v>
      </c>
      <c r="AA16" s="3">
        <v>4.62</v>
      </c>
      <c r="AB16" s="9">
        <v>0.20350404312668463</v>
      </c>
      <c r="AD16" s="3">
        <v>4.62</v>
      </c>
      <c r="AE16" s="6">
        <f t="shared" si="1"/>
        <v>0.48889811320754722</v>
      </c>
      <c r="AG16" s="3">
        <f t="shared" si="2"/>
        <v>1.8640365504826129</v>
      </c>
    </row>
    <row r="17" spans="1:33" x14ac:dyDescent="0.25">
      <c r="A17" t="s">
        <v>46</v>
      </c>
      <c r="B17" t="s">
        <v>0</v>
      </c>
      <c r="C17">
        <v>63</v>
      </c>
      <c r="D17">
        <v>116</v>
      </c>
      <c r="E17" s="2">
        <v>30</v>
      </c>
      <c r="F17" t="s">
        <v>9</v>
      </c>
      <c r="I17" s="6">
        <v>10.58</v>
      </c>
      <c r="J17" s="4">
        <v>0.24741081703107021</v>
      </c>
      <c r="K17" s="10"/>
      <c r="L17" s="6">
        <v>10.58</v>
      </c>
      <c r="M17" s="6">
        <f t="shared" si="0"/>
        <v>1.361155350978136</v>
      </c>
      <c r="O17">
        <v>116</v>
      </c>
      <c r="R17" s="3">
        <v>3.78</v>
      </c>
      <c r="S17" s="9">
        <v>0.39442231075697209</v>
      </c>
      <c r="T17" s="11"/>
      <c r="U17" s="3">
        <v>3.78</v>
      </c>
      <c r="V17" s="3">
        <f t="shared" si="3"/>
        <v>0.77527649402390442</v>
      </c>
      <c r="W17" s="9"/>
      <c r="X17">
        <v>116</v>
      </c>
      <c r="AA17" s="3">
        <v>5.98</v>
      </c>
      <c r="AB17" s="9">
        <v>0.20350404312668463</v>
      </c>
      <c r="AD17" s="3">
        <v>5.98</v>
      </c>
      <c r="AE17" s="6">
        <f t="shared" si="1"/>
        <v>0.63281617250673861</v>
      </c>
      <c r="AG17" s="3">
        <f t="shared" si="2"/>
        <v>2.769248017508779</v>
      </c>
    </row>
    <row r="18" spans="1:33" x14ac:dyDescent="0.25">
      <c r="A18" t="s">
        <v>46</v>
      </c>
      <c r="B18" t="s">
        <v>0</v>
      </c>
      <c r="C18">
        <v>63</v>
      </c>
      <c r="D18">
        <v>117</v>
      </c>
      <c r="E18" s="2">
        <v>19</v>
      </c>
      <c r="F18" t="s">
        <v>10</v>
      </c>
      <c r="G18" s="2">
        <v>959</v>
      </c>
      <c r="H18" s="2">
        <v>267</v>
      </c>
      <c r="I18" s="6">
        <v>15.14</v>
      </c>
      <c r="J18" s="4">
        <v>0.25350593311758363</v>
      </c>
      <c r="K18" s="10"/>
      <c r="L18" s="6">
        <v>15.14</v>
      </c>
      <c r="M18" s="6">
        <f t="shared" si="0"/>
        <v>1.9958015102481126</v>
      </c>
      <c r="O18">
        <v>117</v>
      </c>
      <c r="P18">
        <v>678</v>
      </c>
      <c r="Q18">
        <v>279</v>
      </c>
      <c r="R18" s="3">
        <v>4.34</v>
      </c>
      <c r="S18" s="9">
        <v>0.38235294117647056</v>
      </c>
      <c r="T18" s="11"/>
      <c r="U18" s="3">
        <v>4.34</v>
      </c>
      <c r="V18" s="3">
        <f t="shared" si="3"/>
        <v>0.8628941176470587</v>
      </c>
      <c r="W18" s="9"/>
      <c r="X18">
        <v>117</v>
      </c>
      <c r="Y18">
        <v>760</v>
      </c>
      <c r="Z18">
        <v>186</v>
      </c>
      <c r="AA18" s="3">
        <v>5.94</v>
      </c>
      <c r="AB18" s="9">
        <v>0.21153846153846154</v>
      </c>
      <c r="AD18" s="3">
        <v>5.94</v>
      </c>
      <c r="AE18" s="6">
        <f t="shared" si="1"/>
        <v>0.65340000000000009</v>
      </c>
      <c r="AG18" s="3">
        <f t="shared" si="2"/>
        <v>3.5120956278951714</v>
      </c>
    </row>
    <row r="19" spans="1:33" x14ac:dyDescent="0.25">
      <c r="A19" t="s">
        <v>46</v>
      </c>
      <c r="B19" t="s">
        <v>0</v>
      </c>
      <c r="C19">
        <v>63</v>
      </c>
      <c r="D19">
        <v>118</v>
      </c>
      <c r="E19" s="2">
        <v>29</v>
      </c>
      <c r="F19" t="s">
        <v>11</v>
      </c>
      <c r="I19" s="6">
        <v>10.94</v>
      </c>
      <c r="J19" s="4">
        <v>0.25350593311758363</v>
      </c>
      <c r="K19" s="10"/>
      <c r="L19" s="6">
        <v>10.94</v>
      </c>
      <c r="M19" s="6">
        <f t="shared" si="0"/>
        <v>1.4421445523193097</v>
      </c>
      <c r="O19">
        <v>118</v>
      </c>
      <c r="R19" s="3">
        <v>3.1</v>
      </c>
      <c r="S19" s="9">
        <v>0.38235294117647056</v>
      </c>
      <c r="T19" s="11"/>
      <c r="U19" s="3">
        <v>3.1</v>
      </c>
      <c r="V19" s="3">
        <f t="shared" si="3"/>
        <v>0.61635294117647066</v>
      </c>
      <c r="W19" s="9"/>
      <c r="X19">
        <v>118</v>
      </c>
      <c r="AA19" s="3">
        <v>4.66</v>
      </c>
      <c r="AB19" s="9">
        <v>0.21153846153846154</v>
      </c>
      <c r="AD19" s="3">
        <v>4.66</v>
      </c>
      <c r="AE19" s="6">
        <f t="shared" si="1"/>
        <v>0.51260000000000006</v>
      </c>
      <c r="AG19" s="3">
        <f t="shared" si="2"/>
        <v>2.5710974934957802</v>
      </c>
    </row>
    <row r="20" spans="1:33" x14ac:dyDescent="0.25">
      <c r="A20" t="s">
        <v>46</v>
      </c>
      <c r="B20" t="s">
        <v>0</v>
      </c>
      <c r="C20">
        <v>63</v>
      </c>
      <c r="D20">
        <v>119</v>
      </c>
      <c r="E20" s="2">
        <v>16</v>
      </c>
      <c r="F20" t="s">
        <v>12</v>
      </c>
      <c r="I20" s="6">
        <v>9.48</v>
      </c>
      <c r="J20" s="4">
        <v>0.25350593311758363</v>
      </c>
      <c r="K20" s="10"/>
      <c r="L20" s="6">
        <v>9.48</v>
      </c>
      <c r="M20" s="6">
        <f t="shared" si="0"/>
        <v>1.2496828478964404</v>
      </c>
      <c r="O20">
        <v>119</v>
      </c>
      <c r="R20" s="3">
        <v>2.54</v>
      </c>
      <c r="S20" s="9">
        <v>0.38235294117647056</v>
      </c>
      <c r="T20" s="11"/>
      <c r="U20" s="3">
        <v>2.54</v>
      </c>
      <c r="V20" s="3">
        <f t="shared" si="3"/>
        <v>0.50501176470588227</v>
      </c>
      <c r="W20" s="9"/>
      <c r="X20">
        <v>119</v>
      </c>
      <c r="AA20" s="3">
        <v>4.3600000000000003</v>
      </c>
      <c r="AB20" s="9">
        <v>0.21153846153846154</v>
      </c>
      <c r="AD20" s="3">
        <v>4.3600000000000003</v>
      </c>
      <c r="AE20" s="6">
        <f t="shared" si="1"/>
        <v>0.47960000000000008</v>
      </c>
      <c r="AG20" s="3">
        <f t="shared" si="2"/>
        <v>2.2342946126023229</v>
      </c>
    </row>
    <row r="21" spans="1:33" x14ac:dyDescent="0.25">
      <c r="A21" t="s">
        <v>46</v>
      </c>
      <c r="B21" t="s">
        <v>0</v>
      </c>
      <c r="C21">
        <v>63</v>
      </c>
      <c r="D21">
        <v>120</v>
      </c>
      <c r="E21" s="2">
        <v>28</v>
      </c>
      <c r="F21" t="s">
        <v>13</v>
      </c>
      <c r="I21" s="6">
        <v>9.9</v>
      </c>
      <c r="J21" s="4">
        <v>0.25350593311758363</v>
      </c>
      <c r="K21" s="10"/>
      <c r="L21" s="6">
        <v>9.9</v>
      </c>
      <c r="M21" s="6">
        <f t="shared" si="0"/>
        <v>1.3050485436893207</v>
      </c>
      <c r="O21">
        <v>120</v>
      </c>
      <c r="R21" s="3">
        <v>3.02</v>
      </c>
      <c r="S21" s="9">
        <v>0.38235294117647056</v>
      </c>
      <c r="T21" s="11"/>
      <c r="U21" s="3">
        <v>3.02</v>
      </c>
      <c r="V21" s="3">
        <f t="shared" si="3"/>
        <v>0.60044705882352933</v>
      </c>
      <c r="W21" s="9"/>
      <c r="X21">
        <v>120</v>
      </c>
      <c r="AA21" s="3">
        <v>5.56</v>
      </c>
      <c r="AB21" s="9">
        <v>0.21153846153846154</v>
      </c>
      <c r="AD21" s="3">
        <v>5.56</v>
      </c>
      <c r="AE21" s="6">
        <f t="shared" si="1"/>
        <v>0.61160000000000003</v>
      </c>
      <c r="AG21" s="3">
        <f t="shared" si="2"/>
        <v>2.5170956025128501</v>
      </c>
    </row>
    <row r="22" spans="1:33" x14ac:dyDescent="0.25">
      <c r="A22" t="s">
        <v>46</v>
      </c>
      <c r="B22" t="s">
        <v>0</v>
      </c>
      <c r="C22">
        <v>63</v>
      </c>
      <c r="D22">
        <v>121</v>
      </c>
      <c r="E22" s="2">
        <v>27</v>
      </c>
      <c r="F22" t="s">
        <v>14</v>
      </c>
      <c r="G22" s="2">
        <v>895</v>
      </c>
      <c r="H22" s="2">
        <v>241</v>
      </c>
      <c r="I22" s="6">
        <v>8.36</v>
      </c>
      <c r="J22" s="4">
        <v>0.24217844727694091</v>
      </c>
      <c r="K22" s="10"/>
      <c r="L22" s="6">
        <v>8.36</v>
      </c>
      <c r="M22" s="6">
        <f t="shared" si="0"/>
        <v>1.0527981460023175</v>
      </c>
      <c r="O22">
        <v>121</v>
      </c>
      <c r="P22">
        <v>687</v>
      </c>
      <c r="Q22">
        <v>277</v>
      </c>
      <c r="R22" s="3">
        <v>2.9</v>
      </c>
      <c r="S22" s="9">
        <v>0.37404580152671757</v>
      </c>
      <c r="T22" s="11"/>
      <c r="U22" s="3">
        <v>2.9</v>
      </c>
      <c r="V22" s="3">
        <f t="shared" si="3"/>
        <v>0.56406106870229011</v>
      </c>
      <c r="W22" s="9"/>
      <c r="X22">
        <v>121</v>
      </c>
      <c r="Y22">
        <v>908</v>
      </c>
      <c r="Z22">
        <v>214</v>
      </c>
      <c r="AA22" s="3">
        <v>5.5</v>
      </c>
      <c r="AB22" s="9">
        <v>0.20776255707762556</v>
      </c>
      <c r="AD22" s="3">
        <v>5.5</v>
      </c>
      <c r="AE22" s="6">
        <f t="shared" si="1"/>
        <v>0.59420091324200908</v>
      </c>
      <c r="AG22" s="3">
        <f t="shared" si="2"/>
        <v>2.2110601279466167</v>
      </c>
    </row>
    <row r="23" spans="1:33" x14ac:dyDescent="0.25">
      <c r="A23" t="s">
        <v>46</v>
      </c>
      <c r="B23" t="s">
        <v>0</v>
      </c>
      <c r="C23">
        <v>63</v>
      </c>
      <c r="D23">
        <v>122</v>
      </c>
      <c r="E23" s="2">
        <v>11</v>
      </c>
      <c r="F23" t="s">
        <v>15</v>
      </c>
      <c r="I23" s="6">
        <v>13.12</v>
      </c>
      <c r="J23" s="4">
        <v>0.24217844727694091</v>
      </c>
      <c r="K23" s="10"/>
      <c r="L23" s="6">
        <v>13.12</v>
      </c>
      <c r="M23" s="6">
        <f t="shared" si="0"/>
        <v>1.6522382387022017</v>
      </c>
      <c r="O23">
        <v>122</v>
      </c>
      <c r="R23" s="3">
        <v>3.54</v>
      </c>
      <c r="S23" s="9">
        <v>0.37404580152671757</v>
      </c>
      <c r="T23" s="11"/>
      <c r="U23" s="3">
        <v>3.54</v>
      </c>
      <c r="V23" s="3">
        <f t="shared" si="3"/>
        <v>0.68854351145038173</v>
      </c>
      <c r="W23" s="9"/>
      <c r="X23">
        <v>122</v>
      </c>
      <c r="AA23" s="3">
        <v>5.82</v>
      </c>
      <c r="AB23" s="9">
        <v>0.20776255707762556</v>
      </c>
      <c r="AD23" s="3">
        <v>5.82</v>
      </c>
      <c r="AE23" s="6">
        <f t="shared" si="1"/>
        <v>0.62877260273972602</v>
      </c>
      <c r="AG23" s="3">
        <f t="shared" si="2"/>
        <v>2.9695543528923096</v>
      </c>
    </row>
    <row r="24" spans="1:33" x14ac:dyDescent="0.25">
      <c r="A24" t="s">
        <v>46</v>
      </c>
      <c r="B24" t="s">
        <v>0</v>
      </c>
      <c r="C24">
        <v>63</v>
      </c>
      <c r="D24">
        <v>123</v>
      </c>
      <c r="E24" s="2">
        <v>7</v>
      </c>
      <c r="F24" t="s">
        <v>16</v>
      </c>
      <c r="I24" s="6">
        <v>14.5</v>
      </c>
      <c r="J24" s="4">
        <v>0.24217844727694091</v>
      </c>
      <c r="K24" s="10"/>
      <c r="L24" s="6">
        <v>14.5</v>
      </c>
      <c r="M24" s="6">
        <f t="shared" si="0"/>
        <v>1.8260254924681345</v>
      </c>
      <c r="O24">
        <v>123</v>
      </c>
      <c r="R24" s="3">
        <v>3.48</v>
      </c>
      <c r="S24" s="9">
        <v>0.37404580152671757</v>
      </c>
      <c r="T24" s="11"/>
      <c r="U24" s="3">
        <v>3.48</v>
      </c>
      <c r="V24" s="3">
        <f t="shared" si="3"/>
        <v>0.67687328244274814</v>
      </c>
      <c r="W24" s="9"/>
      <c r="X24">
        <v>123</v>
      </c>
      <c r="AA24" s="3">
        <v>4.8600000000000003</v>
      </c>
      <c r="AB24" s="9">
        <v>0.20776255707762556</v>
      </c>
      <c r="AD24" s="3">
        <v>4.8600000000000003</v>
      </c>
      <c r="AE24" s="6">
        <f t="shared" si="1"/>
        <v>0.52505753424657542</v>
      </c>
      <c r="AG24" s="3">
        <f t="shared" si="2"/>
        <v>3.0279563091574579</v>
      </c>
    </row>
    <row r="25" spans="1:33" x14ac:dyDescent="0.25">
      <c r="A25" t="s">
        <v>46</v>
      </c>
      <c r="B25" t="s">
        <v>0</v>
      </c>
      <c r="C25">
        <v>63</v>
      </c>
      <c r="D25">
        <v>124</v>
      </c>
      <c r="E25" s="2">
        <v>17</v>
      </c>
      <c r="F25" t="s">
        <v>17</v>
      </c>
      <c r="I25" s="6">
        <v>14.58</v>
      </c>
      <c r="J25" s="4">
        <v>0.24217844727694091</v>
      </c>
      <c r="K25" s="10"/>
      <c r="L25" s="6">
        <v>14.58</v>
      </c>
      <c r="M25" s="6">
        <f t="shared" si="0"/>
        <v>1.8361001158748553</v>
      </c>
      <c r="O25">
        <v>124</v>
      </c>
      <c r="R25" s="3">
        <v>3.44</v>
      </c>
      <c r="S25" s="9">
        <v>0.37404580152671757</v>
      </c>
      <c r="T25" s="11"/>
      <c r="U25" s="3">
        <v>3.44</v>
      </c>
      <c r="V25" s="3">
        <f t="shared" si="3"/>
        <v>0.66909312977099245</v>
      </c>
      <c r="W25" s="9"/>
      <c r="X25">
        <v>124</v>
      </c>
      <c r="AA25" s="3">
        <v>4.68</v>
      </c>
      <c r="AB25" s="9">
        <v>0.20776255707762556</v>
      </c>
      <c r="AD25" s="3">
        <v>4.68</v>
      </c>
      <c r="AE25" s="6">
        <f t="shared" si="1"/>
        <v>0.50561095890410956</v>
      </c>
      <c r="AG25" s="3">
        <f t="shared" si="2"/>
        <v>3.0108042045499577</v>
      </c>
    </row>
    <row r="26" spans="1:33" x14ac:dyDescent="0.25">
      <c r="A26" t="s">
        <v>46</v>
      </c>
      <c r="B26" t="s">
        <v>0</v>
      </c>
      <c r="C26">
        <v>63</v>
      </c>
      <c r="D26">
        <v>125</v>
      </c>
      <c r="E26" s="2">
        <v>18</v>
      </c>
      <c r="F26" t="s">
        <v>18</v>
      </c>
      <c r="G26" s="2">
        <v>910</v>
      </c>
      <c r="H26" s="2">
        <v>270</v>
      </c>
      <c r="I26" s="6">
        <v>13.92</v>
      </c>
      <c r="J26" s="4">
        <v>0.27107061503416857</v>
      </c>
      <c r="K26" s="10"/>
      <c r="L26" s="6">
        <v>13.92</v>
      </c>
      <c r="M26" s="6">
        <f t="shared" si="0"/>
        <v>1.9621175398633257</v>
      </c>
      <c r="O26">
        <v>125</v>
      </c>
      <c r="P26">
        <v>593</v>
      </c>
      <c r="Q26">
        <v>243</v>
      </c>
      <c r="R26" s="3">
        <v>2.42</v>
      </c>
      <c r="S26" s="9">
        <v>0.37611408199643492</v>
      </c>
      <c r="T26" s="11"/>
      <c r="U26" s="3">
        <v>2.42</v>
      </c>
      <c r="V26" s="3">
        <f t="shared" si="3"/>
        <v>0.47330196078431375</v>
      </c>
      <c r="W26" s="9"/>
      <c r="X26">
        <v>125</v>
      </c>
      <c r="Y26">
        <v>931</v>
      </c>
      <c r="Z26">
        <v>229</v>
      </c>
      <c r="AA26" s="3">
        <v>5.0999999999999996</v>
      </c>
      <c r="AB26" s="9">
        <v>0.21913236929922136</v>
      </c>
      <c r="AD26" s="3">
        <v>5.0999999999999996</v>
      </c>
      <c r="AE26" s="6">
        <f t="shared" si="1"/>
        <v>0.5811390433815351</v>
      </c>
      <c r="AG26" s="3">
        <f t="shared" si="2"/>
        <v>3.0165585440291744</v>
      </c>
    </row>
    <row r="27" spans="1:33" x14ac:dyDescent="0.25">
      <c r="A27" t="s">
        <v>46</v>
      </c>
      <c r="B27" t="s">
        <v>0</v>
      </c>
      <c r="C27">
        <v>63</v>
      </c>
      <c r="D27">
        <v>126</v>
      </c>
      <c r="E27" s="2">
        <v>2</v>
      </c>
      <c r="F27" t="s">
        <v>4</v>
      </c>
      <c r="I27" s="6">
        <v>14.5</v>
      </c>
      <c r="J27" s="4">
        <v>0.27107061503416857</v>
      </c>
      <c r="K27" s="10"/>
      <c r="L27" s="6">
        <v>14.5</v>
      </c>
      <c r="M27" s="6">
        <f t="shared" si="0"/>
        <v>2.0438724373576309</v>
      </c>
      <c r="O27">
        <v>126</v>
      </c>
      <c r="R27" s="3">
        <v>2.06</v>
      </c>
      <c r="S27" s="9">
        <v>0.37611408199643492</v>
      </c>
      <c r="T27" s="11"/>
      <c r="U27" s="3">
        <v>2.06</v>
      </c>
      <c r="V27" s="6" t="s">
        <v>60</v>
      </c>
      <c r="W27" s="9"/>
      <c r="X27">
        <v>126</v>
      </c>
      <c r="AA27" s="3">
        <v>4.92</v>
      </c>
      <c r="AB27" s="9">
        <v>0.21913236929922136</v>
      </c>
      <c r="AD27" s="3">
        <v>4.92</v>
      </c>
      <c r="AE27" s="6">
        <f t="shared" si="1"/>
        <v>0.56062825361512791</v>
      </c>
      <c r="AG27" s="3" t="s">
        <v>60</v>
      </c>
    </row>
    <row r="28" spans="1:33" x14ac:dyDescent="0.25">
      <c r="A28" t="s">
        <v>46</v>
      </c>
      <c r="B28" t="s">
        <v>0</v>
      </c>
      <c r="C28">
        <v>63</v>
      </c>
      <c r="D28">
        <v>127</v>
      </c>
      <c r="E28" s="2">
        <v>9</v>
      </c>
      <c r="F28" t="s">
        <v>19</v>
      </c>
      <c r="I28" s="6">
        <v>11.36</v>
      </c>
      <c r="J28" s="4">
        <v>0.27107061503416857</v>
      </c>
      <c r="K28" s="10"/>
      <c r="L28" s="6">
        <v>11.36</v>
      </c>
      <c r="M28" s="6">
        <f t="shared" si="0"/>
        <v>1.6012683371298406</v>
      </c>
      <c r="O28">
        <v>127</v>
      </c>
      <c r="R28" s="3">
        <v>1.96</v>
      </c>
      <c r="S28" s="9">
        <v>0.37611408199643492</v>
      </c>
      <c r="T28" s="11"/>
      <c r="U28" s="3">
        <v>1.96</v>
      </c>
      <c r="V28" s="6" t="s">
        <v>60</v>
      </c>
      <c r="W28" s="9"/>
      <c r="X28">
        <v>127</v>
      </c>
      <c r="AA28" s="3">
        <v>3.72</v>
      </c>
      <c r="AB28" s="9">
        <v>0.21913236929922136</v>
      </c>
      <c r="AD28" s="3">
        <v>3.72</v>
      </c>
      <c r="AE28" s="6">
        <f t="shared" si="1"/>
        <v>0.42388965517241389</v>
      </c>
      <c r="AG28" s="3" t="s">
        <v>60</v>
      </c>
    </row>
    <row r="29" spans="1:33" x14ac:dyDescent="0.25">
      <c r="A29" t="s">
        <v>46</v>
      </c>
      <c r="B29" t="s">
        <v>0</v>
      </c>
      <c r="C29">
        <v>63</v>
      </c>
      <c r="D29">
        <v>128</v>
      </c>
      <c r="E29" s="2">
        <v>15</v>
      </c>
      <c r="F29" t="s">
        <v>20</v>
      </c>
      <c r="I29" s="6">
        <v>12.7</v>
      </c>
      <c r="J29" s="4">
        <v>0.27107061503416857</v>
      </c>
      <c r="K29" s="10"/>
      <c r="L29" s="6">
        <v>12.7</v>
      </c>
      <c r="M29" s="6">
        <f t="shared" si="0"/>
        <v>1.7901503416856492</v>
      </c>
      <c r="O29">
        <v>128</v>
      </c>
      <c r="R29" s="3">
        <v>1.94</v>
      </c>
      <c r="S29" s="9">
        <v>0.37611408199643492</v>
      </c>
      <c r="T29" s="11"/>
      <c r="U29" s="3">
        <v>1.94</v>
      </c>
      <c r="V29" s="6" t="s">
        <v>60</v>
      </c>
      <c r="W29" s="9"/>
      <c r="X29">
        <v>128</v>
      </c>
      <c r="AA29" s="3">
        <v>3.76</v>
      </c>
      <c r="AB29" s="9">
        <v>0.21913236929922136</v>
      </c>
      <c r="AD29" s="3">
        <v>3.76</v>
      </c>
      <c r="AE29" s="6">
        <f t="shared" si="1"/>
        <v>0.42844760845383761</v>
      </c>
      <c r="AG29" s="3" t="s">
        <v>60</v>
      </c>
    </row>
    <row r="30" spans="1:33" x14ac:dyDescent="0.25">
      <c r="A30" t="s">
        <v>46</v>
      </c>
      <c r="B30" t="s">
        <v>0</v>
      </c>
      <c r="C30">
        <v>63</v>
      </c>
      <c r="D30">
        <v>129</v>
      </c>
      <c r="E30" s="2">
        <v>26</v>
      </c>
      <c r="F30" t="s">
        <v>21</v>
      </c>
      <c r="G30" s="2">
        <v>904</v>
      </c>
      <c r="H30" s="2">
        <v>264</v>
      </c>
      <c r="I30" s="6">
        <v>16.28</v>
      </c>
      <c r="J30" s="4">
        <v>0.26605504587155965</v>
      </c>
      <c r="K30" s="10"/>
      <c r="L30" s="6">
        <v>16.28</v>
      </c>
      <c r="M30" s="6">
        <f t="shared" si="0"/>
        <v>2.2523155963302757</v>
      </c>
      <c r="O30">
        <v>129</v>
      </c>
      <c r="P30">
        <v>480</v>
      </c>
      <c r="Q30">
        <v>192</v>
      </c>
      <c r="R30" s="3">
        <v>1.7</v>
      </c>
      <c r="S30" s="9">
        <v>0.35714285714285715</v>
      </c>
      <c r="T30" s="11"/>
      <c r="U30" s="3">
        <v>1.7</v>
      </c>
      <c r="V30" s="6" t="s">
        <v>60</v>
      </c>
      <c r="W30" s="9"/>
      <c r="X30">
        <v>129</v>
      </c>
      <c r="Y30">
        <v>702</v>
      </c>
      <c r="Z30">
        <v>184</v>
      </c>
      <c r="AA30" s="3">
        <v>4.72</v>
      </c>
      <c r="AB30" s="9">
        <v>0.22686567164179106</v>
      </c>
      <c r="AD30" s="3">
        <v>4.72</v>
      </c>
      <c r="AE30" s="6">
        <f t="shared" si="1"/>
        <v>0.55681910447761196</v>
      </c>
      <c r="AG30" s="3" t="s">
        <v>60</v>
      </c>
    </row>
    <row r="31" spans="1:33" x14ac:dyDescent="0.25">
      <c r="A31" t="s">
        <v>46</v>
      </c>
      <c r="B31" t="s">
        <v>0</v>
      </c>
      <c r="C31">
        <v>63</v>
      </c>
      <c r="D31">
        <v>130</v>
      </c>
      <c r="E31" s="2">
        <v>21</v>
      </c>
      <c r="F31" t="s">
        <v>22</v>
      </c>
      <c r="I31" s="6">
        <v>14.76</v>
      </c>
      <c r="J31" s="4">
        <v>0.26605504587155965</v>
      </c>
      <c r="K31" s="10"/>
      <c r="L31" s="6">
        <v>14.76</v>
      </c>
      <c r="M31" s="6">
        <f t="shared" si="0"/>
        <v>2.0420256880733945</v>
      </c>
      <c r="O31">
        <v>130</v>
      </c>
      <c r="R31" s="3">
        <v>1.48</v>
      </c>
      <c r="S31" s="9">
        <v>0.35714285714285715</v>
      </c>
      <c r="T31" s="11"/>
      <c r="U31" s="3">
        <v>1.48</v>
      </c>
      <c r="V31" s="6" t="s">
        <v>60</v>
      </c>
      <c r="W31" s="9"/>
      <c r="X31">
        <v>130</v>
      </c>
      <c r="AA31" s="3">
        <v>4.88</v>
      </c>
      <c r="AB31" s="9">
        <v>0.22686567164179106</v>
      </c>
      <c r="AD31" s="3">
        <v>4.88</v>
      </c>
      <c r="AE31" s="6">
        <f t="shared" si="1"/>
        <v>0.575694328358209</v>
      </c>
      <c r="AG31" s="3" t="s">
        <v>60</v>
      </c>
    </row>
    <row r="32" spans="1:33" x14ac:dyDescent="0.25">
      <c r="A32" t="s">
        <v>46</v>
      </c>
      <c r="B32" t="s">
        <v>0</v>
      </c>
      <c r="C32">
        <v>63</v>
      </c>
      <c r="D32">
        <v>131</v>
      </c>
      <c r="E32" s="2">
        <v>33</v>
      </c>
      <c r="F32" t="s">
        <v>23</v>
      </c>
      <c r="I32" s="6">
        <v>13.12</v>
      </c>
      <c r="J32" s="4">
        <v>0.26605504587155965</v>
      </c>
      <c r="K32" s="10"/>
      <c r="L32" s="6">
        <v>13.12</v>
      </c>
      <c r="M32" s="6">
        <f t="shared" si="0"/>
        <v>1.8151339449541286</v>
      </c>
      <c r="O32">
        <v>131</v>
      </c>
      <c r="R32" s="3">
        <v>2.96</v>
      </c>
      <c r="S32" s="9">
        <v>0.35714285714285715</v>
      </c>
      <c r="T32" s="11"/>
      <c r="U32" s="3">
        <v>2.96</v>
      </c>
      <c r="V32" s="3">
        <f t="shared" si="3"/>
        <v>0.54971428571428571</v>
      </c>
      <c r="W32" s="9"/>
      <c r="X32">
        <v>131</v>
      </c>
      <c r="AA32" s="3">
        <v>3.86</v>
      </c>
      <c r="AB32" s="9">
        <v>0.22686567164179106</v>
      </c>
      <c r="AD32" s="3">
        <v>3.86</v>
      </c>
      <c r="AE32" s="6">
        <f t="shared" si="1"/>
        <v>0.45536477611940301</v>
      </c>
      <c r="AG32" s="3">
        <f t="shared" si="2"/>
        <v>2.8202130067878173</v>
      </c>
    </row>
    <row r="33" spans="1:33" x14ac:dyDescent="0.25">
      <c r="A33" t="s">
        <v>46</v>
      </c>
      <c r="B33" t="s">
        <v>0</v>
      </c>
      <c r="C33">
        <v>63</v>
      </c>
      <c r="D33">
        <v>132</v>
      </c>
      <c r="E33" s="2">
        <v>13</v>
      </c>
      <c r="F33" t="s">
        <v>24</v>
      </c>
      <c r="I33" s="6">
        <v>11.74</v>
      </c>
      <c r="J33" s="4">
        <v>0.26605504587155965</v>
      </c>
      <c r="K33" s="10"/>
      <c r="L33" s="6">
        <v>11.74</v>
      </c>
      <c r="M33" s="6">
        <f t="shared" si="0"/>
        <v>1.6242128440366974</v>
      </c>
      <c r="O33">
        <v>132</v>
      </c>
      <c r="R33" s="3">
        <v>2.7</v>
      </c>
      <c r="S33" s="9">
        <v>0.35714285714285715</v>
      </c>
      <c r="T33" s="11"/>
      <c r="U33" s="3">
        <v>2.7</v>
      </c>
      <c r="V33" s="3">
        <f t="shared" si="3"/>
        <v>0.50142857142857156</v>
      </c>
      <c r="W33" s="9"/>
      <c r="X33">
        <v>132</v>
      </c>
      <c r="AA33" s="3">
        <v>3.5</v>
      </c>
      <c r="AB33" s="9">
        <v>0.22686567164179106</v>
      </c>
      <c r="AD33" s="3">
        <v>3.5</v>
      </c>
      <c r="AE33" s="6">
        <f t="shared" si="1"/>
        <v>0.41289552238805971</v>
      </c>
      <c r="AG33" s="3">
        <f t="shared" si="2"/>
        <v>2.5385369378533289</v>
      </c>
    </row>
    <row r="34" spans="1:33" x14ac:dyDescent="0.25">
      <c r="A34" t="s">
        <v>46</v>
      </c>
      <c r="B34" t="s">
        <v>0</v>
      </c>
      <c r="C34">
        <v>63</v>
      </c>
      <c r="D34">
        <v>133</v>
      </c>
      <c r="E34" s="2">
        <v>1</v>
      </c>
      <c r="F34" t="s">
        <v>6</v>
      </c>
      <c r="G34" s="2">
        <v>990</v>
      </c>
      <c r="H34" s="2">
        <v>283</v>
      </c>
      <c r="I34" s="6">
        <v>13.88</v>
      </c>
      <c r="J34" s="4">
        <v>0.26200417536534448</v>
      </c>
      <c r="K34" s="10"/>
      <c r="L34" s="6">
        <v>13.88</v>
      </c>
      <c r="M34" s="6">
        <f t="shared" si="0"/>
        <v>1.8910413361169105</v>
      </c>
      <c r="O34">
        <v>133</v>
      </c>
      <c r="P34">
        <v>771</v>
      </c>
      <c r="Q34">
        <v>303</v>
      </c>
      <c r="R34" s="3">
        <v>3.42</v>
      </c>
      <c r="S34" s="9">
        <v>0.36671177266576455</v>
      </c>
      <c r="T34" s="11"/>
      <c r="U34" s="3">
        <v>3.42</v>
      </c>
      <c r="V34" s="3">
        <f t="shared" si="3"/>
        <v>0.65216021650879563</v>
      </c>
      <c r="W34" s="9"/>
      <c r="X34">
        <v>133</v>
      </c>
      <c r="Y34">
        <v>675</v>
      </c>
      <c r="Z34">
        <v>179</v>
      </c>
      <c r="AA34" s="3">
        <v>3.78</v>
      </c>
      <c r="AB34" s="9">
        <v>0.2286158631415241</v>
      </c>
      <c r="AD34" s="3">
        <v>3.78</v>
      </c>
      <c r="AE34" s="6">
        <f t="shared" si="1"/>
        <v>0.44936734059097977</v>
      </c>
      <c r="AG34" s="3">
        <f t="shared" si="2"/>
        <v>2.9925688932166858</v>
      </c>
    </row>
    <row r="35" spans="1:33" x14ac:dyDescent="0.25">
      <c r="A35" t="s">
        <v>46</v>
      </c>
      <c r="B35" t="s">
        <v>0</v>
      </c>
      <c r="C35">
        <v>63</v>
      </c>
      <c r="D35">
        <v>134</v>
      </c>
      <c r="E35" s="2">
        <v>14</v>
      </c>
      <c r="F35" t="s">
        <v>25</v>
      </c>
      <c r="I35" s="6">
        <v>12.92</v>
      </c>
      <c r="J35" s="4">
        <v>0.26200417536534448</v>
      </c>
      <c r="K35" s="10"/>
      <c r="L35" s="6">
        <v>12.92</v>
      </c>
      <c r="M35" s="6">
        <f t="shared" si="0"/>
        <v>1.7602488517745305</v>
      </c>
      <c r="O35">
        <v>134</v>
      </c>
      <c r="R35" s="3">
        <v>2.92</v>
      </c>
      <c r="S35" s="9">
        <v>0.36671177266576455</v>
      </c>
      <c r="T35" s="11"/>
      <c r="U35" s="3">
        <v>2.92</v>
      </c>
      <c r="V35" s="3">
        <f t="shared" si="3"/>
        <v>0.55681515561569694</v>
      </c>
      <c r="W35" s="9"/>
      <c r="X35">
        <v>134</v>
      </c>
      <c r="AA35" s="3">
        <v>3.52</v>
      </c>
      <c r="AB35" s="9">
        <v>0.2286158631415241</v>
      </c>
      <c r="AD35" s="3">
        <v>3.52</v>
      </c>
      <c r="AE35" s="6">
        <f t="shared" si="1"/>
        <v>0.41845847589424573</v>
      </c>
      <c r="AG35" s="3">
        <f t="shared" si="2"/>
        <v>2.7355224832844729</v>
      </c>
    </row>
    <row r="36" spans="1:33" x14ac:dyDescent="0.25">
      <c r="A36" t="s">
        <v>46</v>
      </c>
      <c r="B36" t="s">
        <v>0</v>
      </c>
      <c r="C36">
        <v>63</v>
      </c>
      <c r="D36">
        <v>135</v>
      </c>
      <c r="E36" s="2">
        <v>3</v>
      </c>
      <c r="F36" t="s">
        <v>3</v>
      </c>
      <c r="I36" s="6">
        <v>13.78</v>
      </c>
      <c r="J36" s="4">
        <v>0.26200417536534448</v>
      </c>
      <c r="K36" s="10"/>
      <c r="L36" s="6">
        <v>13.78</v>
      </c>
      <c r="M36" s="6">
        <f t="shared" si="0"/>
        <v>1.8774171189979123</v>
      </c>
      <c r="O36">
        <v>135</v>
      </c>
      <c r="R36" s="3">
        <v>3.16</v>
      </c>
      <c r="S36" s="9">
        <v>0.36671177266576455</v>
      </c>
      <c r="T36" s="11"/>
      <c r="U36" s="3">
        <v>3.16</v>
      </c>
      <c r="V36" s="3">
        <f t="shared" si="3"/>
        <v>0.60258078484438438</v>
      </c>
      <c r="W36" s="9"/>
      <c r="X36">
        <v>135</v>
      </c>
      <c r="AA36" s="3">
        <v>3.92</v>
      </c>
      <c r="AB36" s="9">
        <v>0.2286158631415241</v>
      </c>
      <c r="AD36" s="3">
        <v>3.92</v>
      </c>
      <c r="AE36" s="6">
        <f t="shared" si="1"/>
        <v>0.46601057542768271</v>
      </c>
      <c r="AG36" s="3">
        <f t="shared" si="2"/>
        <v>2.9460084792699792</v>
      </c>
    </row>
    <row r="37" spans="1:33" x14ac:dyDescent="0.25">
      <c r="A37" t="s">
        <v>46</v>
      </c>
      <c r="B37" t="s">
        <v>0</v>
      </c>
      <c r="C37">
        <v>63</v>
      </c>
      <c r="D37">
        <v>136</v>
      </c>
      <c r="E37" s="2">
        <v>35</v>
      </c>
      <c r="F37" t="s">
        <v>26</v>
      </c>
      <c r="I37" s="6">
        <v>14.2</v>
      </c>
      <c r="J37" s="4">
        <v>0.26200417536534448</v>
      </c>
      <c r="K37" s="10"/>
      <c r="L37" s="6">
        <v>14.2</v>
      </c>
      <c r="M37" s="6">
        <f t="shared" si="0"/>
        <v>1.9346388308977036</v>
      </c>
      <c r="O37">
        <v>136</v>
      </c>
      <c r="R37" s="3">
        <v>3.4</v>
      </c>
      <c r="S37" s="9">
        <v>0.36671177266576455</v>
      </c>
      <c r="T37" s="11"/>
      <c r="U37" s="3">
        <v>3.4</v>
      </c>
      <c r="V37" s="3">
        <f t="shared" si="3"/>
        <v>0.6483464140730717</v>
      </c>
      <c r="W37" s="9"/>
      <c r="X37">
        <v>136</v>
      </c>
      <c r="AA37" s="3">
        <v>4.62</v>
      </c>
      <c r="AB37" s="9">
        <v>0.2286158631415241</v>
      </c>
      <c r="AD37" s="3">
        <v>4.62</v>
      </c>
      <c r="AE37" s="6">
        <f t="shared" si="1"/>
        <v>0.54922674961119755</v>
      </c>
      <c r="AG37" s="3">
        <f t="shared" si="2"/>
        <v>3.1322119945819726</v>
      </c>
    </row>
    <row r="38" spans="1:33" x14ac:dyDescent="0.25">
      <c r="A38" t="s">
        <v>46</v>
      </c>
      <c r="B38" t="s">
        <v>0</v>
      </c>
      <c r="C38">
        <v>63</v>
      </c>
      <c r="D38">
        <v>137</v>
      </c>
      <c r="E38" s="2">
        <v>36</v>
      </c>
      <c r="F38" t="s">
        <v>27</v>
      </c>
      <c r="G38" s="2">
        <v>818</v>
      </c>
      <c r="H38" s="2">
        <v>249</v>
      </c>
      <c r="I38" s="6">
        <v>14.9</v>
      </c>
      <c r="J38" s="4">
        <v>0.27608142493638677</v>
      </c>
      <c r="K38" s="10"/>
      <c r="L38" s="6">
        <v>14.9</v>
      </c>
      <c r="M38" s="6">
        <f t="shared" si="0"/>
        <v>2.139078880407125</v>
      </c>
      <c r="O38">
        <v>137</v>
      </c>
      <c r="P38">
        <v>807</v>
      </c>
      <c r="Q38">
        <v>320</v>
      </c>
      <c r="R38" s="3">
        <v>3.74</v>
      </c>
      <c r="S38" s="9">
        <v>0.37161290322580648</v>
      </c>
      <c r="T38" s="11"/>
      <c r="U38" s="3">
        <v>3.74</v>
      </c>
      <c r="V38" s="3">
        <f t="shared" si="3"/>
        <v>0.72271277419354851</v>
      </c>
      <c r="W38" s="9"/>
      <c r="X38">
        <v>137</v>
      </c>
      <c r="Y38">
        <v>751</v>
      </c>
      <c r="Z38">
        <v>197</v>
      </c>
      <c r="AA38" s="3">
        <v>4.5199999999999996</v>
      </c>
      <c r="AB38" s="9">
        <v>0.22948539638386647</v>
      </c>
      <c r="AD38" s="3">
        <v>4.5199999999999996</v>
      </c>
      <c r="AE38" s="6">
        <f t="shared" si="1"/>
        <v>0.53938247566063979</v>
      </c>
      <c r="AG38" s="3">
        <f t="shared" si="2"/>
        <v>3.401174130261313</v>
      </c>
    </row>
    <row r="39" spans="1:33" x14ac:dyDescent="0.25">
      <c r="A39" t="s">
        <v>46</v>
      </c>
      <c r="B39" t="s">
        <v>0</v>
      </c>
      <c r="C39">
        <v>63</v>
      </c>
      <c r="D39">
        <v>138</v>
      </c>
      <c r="E39" s="2">
        <v>20</v>
      </c>
      <c r="F39" t="s">
        <v>28</v>
      </c>
      <c r="I39" s="6">
        <v>12.1</v>
      </c>
      <c r="J39" s="4">
        <v>0.27608142493638677</v>
      </c>
      <c r="K39" s="10"/>
      <c r="L39" s="6">
        <v>12.1</v>
      </c>
      <c r="M39" s="6">
        <f t="shared" si="0"/>
        <v>1.7371043256997456</v>
      </c>
      <c r="O39">
        <v>138</v>
      </c>
      <c r="R39" s="3">
        <v>3.6</v>
      </c>
      <c r="S39" s="9">
        <v>0.37161290322580648</v>
      </c>
      <c r="T39" s="11"/>
      <c r="U39" s="3">
        <v>3.6</v>
      </c>
      <c r="V39" s="3">
        <f t="shared" si="3"/>
        <v>0.69565935483870978</v>
      </c>
      <c r="W39" s="9"/>
      <c r="X39">
        <v>138</v>
      </c>
      <c r="AA39" s="3">
        <v>3.9</v>
      </c>
      <c r="AB39" s="9">
        <v>0.22948539638386647</v>
      </c>
      <c r="AD39" s="3">
        <v>3.9</v>
      </c>
      <c r="AE39" s="6">
        <f t="shared" si="1"/>
        <v>0.46539638386648119</v>
      </c>
      <c r="AG39" s="3">
        <f t="shared" si="2"/>
        <v>2.8981600644049363</v>
      </c>
    </row>
    <row r="40" spans="1:33" x14ac:dyDescent="0.25">
      <c r="A40" t="s">
        <v>46</v>
      </c>
      <c r="B40" t="s">
        <v>0</v>
      </c>
      <c r="C40">
        <v>63</v>
      </c>
      <c r="D40">
        <v>139</v>
      </c>
      <c r="E40" s="2">
        <v>31</v>
      </c>
      <c r="F40" t="s">
        <v>29</v>
      </c>
      <c r="I40" s="6">
        <v>12.54</v>
      </c>
      <c r="J40" s="4">
        <v>0.27608142493638677</v>
      </c>
      <c r="K40" s="10"/>
      <c r="L40" s="6">
        <v>12.54</v>
      </c>
      <c r="M40" s="6">
        <f t="shared" si="0"/>
        <v>1.8002717557251908</v>
      </c>
      <c r="O40">
        <v>139</v>
      </c>
      <c r="R40" s="3">
        <v>3.58</v>
      </c>
      <c r="S40" s="9">
        <v>0.37161290322580648</v>
      </c>
      <c r="T40" s="11"/>
      <c r="U40" s="3">
        <v>3.58</v>
      </c>
      <c r="V40" s="3">
        <f t="shared" si="3"/>
        <v>0.69179458064516142</v>
      </c>
      <c r="W40" s="9"/>
      <c r="X40">
        <v>139</v>
      </c>
      <c r="AA40" s="3">
        <v>4.46</v>
      </c>
      <c r="AB40" s="9">
        <v>0.22948539638386647</v>
      </c>
      <c r="AD40" s="3">
        <v>4.46</v>
      </c>
      <c r="AE40" s="6">
        <f t="shared" si="1"/>
        <v>0.53222253129346309</v>
      </c>
      <c r="AG40" s="3">
        <f t="shared" si="2"/>
        <v>3.0242888676638153</v>
      </c>
    </row>
    <row r="41" spans="1:33" x14ac:dyDescent="0.25">
      <c r="A41" t="s">
        <v>46</v>
      </c>
      <c r="B41" t="s">
        <v>0</v>
      </c>
      <c r="C41">
        <v>63</v>
      </c>
      <c r="D41">
        <v>140</v>
      </c>
      <c r="E41" s="2">
        <v>5</v>
      </c>
      <c r="F41" t="s">
        <v>5</v>
      </c>
      <c r="I41" s="6">
        <v>12.15</v>
      </c>
      <c r="J41" s="4">
        <v>0.27608142493638677</v>
      </c>
      <c r="K41" s="10"/>
      <c r="L41" s="6">
        <v>12.15</v>
      </c>
      <c r="M41" s="6">
        <f t="shared" si="0"/>
        <v>1.7442824427480916</v>
      </c>
      <c r="O41">
        <v>140</v>
      </c>
      <c r="R41" s="3">
        <v>3.46</v>
      </c>
      <c r="S41" s="9">
        <v>0.37161290322580648</v>
      </c>
      <c r="T41" s="11"/>
      <c r="U41" s="3">
        <v>3.46</v>
      </c>
      <c r="V41" s="3">
        <f t="shared" si="3"/>
        <v>0.66860593548387104</v>
      </c>
      <c r="W41" s="9"/>
      <c r="X41">
        <v>140</v>
      </c>
      <c r="AA41" s="3">
        <v>4.08</v>
      </c>
      <c r="AB41" s="9">
        <v>0.22948539638386647</v>
      </c>
      <c r="AD41" s="3">
        <v>4.08</v>
      </c>
      <c r="AE41" s="6">
        <f t="shared" si="1"/>
        <v>0.48687621696801109</v>
      </c>
      <c r="AG41" s="3">
        <f t="shared" si="2"/>
        <v>2.899764595199974</v>
      </c>
    </row>
    <row r="42" spans="1:33" x14ac:dyDescent="0.25">
      <c r="A42" t="s">
        <v>46</v>
      </c>
      <c r="B42" t="s">
        <v>0</v>
      </c>
      <c r="C42">
        <v>63</v>
      </c>
      <c r="D42">
        <v>141</v>
      </c>
      <c r="E42" s="2">
        <v>32</v>
      </c>
      <c r="F42" t="s">
        <v>30</v>
      </c>
      <c r="G42" s="2">
        <v>921</v>
      </c>
      <c r="H42" s="2">
        <v>260</v>
      </c>
      <c r="I42" s="6">
        <v>12.12</v>
      </c>
      <c r="J42" s="4">
        <v>0.25646794150731156</v>
      </c>
      <c r="K42" s="10"/>
      <c r="L42" s="6">
        <v>12.12</v>
      </c>
      <c r="M42" s="6">
        <f t="shared" si="0"/>
        <v>1.6163635545556803</v>
      </c>
      <c r="O42">
        <v>141</v>
      </c>
      <c r="P42">
        <v>667</v>
      </c>
      <c r="Q42">
        <v>273</v>
      </c>
      <c r="R42" s="3">
        <v>2.82</v>
      </c>
      <c r="S42" s="9">
        <v>0.37952755905511809</v>
      </c>
      <c r="T42" s="11"/>
      <c r="U42" s="3">
        <v>2.82</v>
      </c>
      <c r="V42" s="3">
        <f t="shared" si="3"/>
        <v>0.5565392125984252</v>
      </c>
      <c r="W42" s="9"/>
      <c r="X42">
        <v>141</v>
      </c>
      <c r="Y42">
        <v>563</v>
      </c>
      <c r="Z42">
        <v>156</v>
      </c>
      <c r="AA42" s="3">
        <v>3.78</v>
      </c>
      <c r="AB42" s="9">
        <v>0.2335216572504708</v>
      </c>
      <c r="AD42" s="3">
        <v>3.78</v>
      </c>
      <c r="AE42" s="6">
        <f t="shared" si="1"/>
        <v>0.4590101694915254</v>
      </c>
      <c r="AG42" s="3">
        <f t="shared" si="2"/>
        <v>2.6319129366456306</v>
      </c>
    </row>
    <row r="43" spans="1:33" x14ac:dyDescent="0.25">
      <c r="A43" t="s">
        <v>46</v>
      </c>
      <c r="B43" t="s">
        <v>0</v>
      </c>
      <c r="C43">
        <v>63</v>
      </c>
      <c r="D43">
        <v>142</v>
      </c>
      <c r="E43" s="2">
        <v>8</v>
      </c>
      <c r="F43" t="s">
        <v>31</v>
      </c>
      <c r="I43" s="6">
        <v>11.94</v>
      </c>
      <c r="J43" s="4">
        <v>0.25646794150731156</v>
      </c>
      <c r="K43" s="10"/>
      <c r="L43" s="6">
        <v>11.94</v>
      </c>
      <c r="M43" s="6">
        <f t="shared" si="0"/>
        <v>1.5923581552305961</v>
      </c>
      <c r="O43">
        <v>142</v>
      </c>
      <c r="R43" s="3">
        <v>2.9</v>
      </c>
      <c r="S43" s="9">
        <v>0.37952755905511809</v>
      </c>
      <c r="T43" s="11"/>
      <c r="U43" s="3">
        <v>2.9</v>
      </c>
      <c r="V43" s="3">
        <f t="shared" si="3"/>
        <v>0.57232755905511812</v>
      </c>
      <c r="W43" s="9"/>
      <c r="X43">
        <v>142</v>
      </c>
      <c r="AA43" s="3">
        <v>4.04</v>
      </c>
      <c r="AB43" s="9">
        <v>0.2335216572504708</v>
      </c>
      <c r="AD43" s="3">
        <v>4.04</v>
      </c>
      <c r="AE43" s="6">
        <f t="shared" si="1"/>
        <v>0.49058229755178911</v>
      </c>
      <c r="AG43" s="3">
        <f t="shared" si="2"/>
        <v>2.6552680118375034</v>
      </c>
    </row>
    <row r="44" spans="1:33" x14ac:dyDescent="0.25">
      <c r="A44" t="s">
        <v>46</v>
      </c>
      <c r="B44" t="s">
        <v>0</v>
      </c>
      <c r="C44">
        <v>63</v>
      </c>
      <c r="D44">
        <v>143</v>
      </c>
      <c r="E44" s="2">
        <v>6</v>
      </c>
      <c r="F44" t="s">
        <v>1</v>
      </c>
      <c r="I44" s="6">
        <v>12.32</v>
      </c>
      <c r="J44" s="4">
        <v>0.25646794150731156</v>
      </c>
      <c r="K44" s="10"/>
      <c r="L44" s="6">
        <v>12.32</v>
      </c>
      <c r="M44" s="6">
        <f t="shared" si="0"/>
        <v>1.6430362204724409</v>
      </c>
      <c r="O44">
        <v>143</v>
      </c>
      <c r="R44" s="3">
        <v>2.72</v>
      </c>
      <c r="S44" s="9">
        <v>0.37952755905511809</v>
      </c>
      <c r="T44" s="11"/>
      <c r="U44" s="3">
        <v>2.72</v>
      </c>
      <c r="V44" s="3">
        <f t="shared" si="3"/>
        <v>0.53680377952755909</v>
      </c>
      <c r="W44" s="9"/>
      <c r="X44">
        <v>143</v>
      </c>
      <c r="AA44" s="3">
        <v>3.88</v>
      </c>
      <c r="AB44" s="9">
        <v>0.2335216572504708</v>
      </c>
      <c r="AD44" s="3">
        <v>3.88</v>
      </c>
      <c r="AE44" s="6">
        <f t="shared" si="1"/>
        <v>0.47115329566854991</v>
      </c>
      <c r="AG44" s="3">
        <f t="shared" si="2"/>
        <v>2.6509932956685498</v>
      </c>
    </row>
    <row r="45" spans="1:33" x14ac:dyDescent="0.25">
      <c r="A45" t="s">
        <v>46</v>
      </c>
      <c r="B45" t="s">
        <v>0</v>
      </c>
      <c r="C45">
        <v>63</v>
      </c>
      <c r="D45">
        <v>144</v>
      </c>
      <c r="E45" s="2">
        <v>24</v>
      </c>
      <c r="F45" t="s">
        <v>32</v>
      </c>
      <c r="I45" s="6">
        <v>14.16</v>
      </c>
      <c r="J45" s="4">
        <v>0.25646794150731156</v>
      </c>
      <c r="K45" s="10"/>
      <c r="L45" s="6">
        <v>14.16</v>
      </c>
      <c r="M45" s="6">
        <f t="shared" si="0"/>
        <v>1.8884247469066364</v>
      </c>
      <c r="O45">
        <v>144</v>
      </c>
      <c r="R45" s="3">
        <v>3.06</v>
      </c>
      <c r="S45" s="9">
        <v>0.37952755905511809</v>
      </c>
      <c r="T45" s="11"/>
      <c r="U45" s="3">
        <v>3.06</v>
      </c>
      <c r="V45" s="3">
        <f t="shared" si="3"/>
        <v>0.60390425196850395</v>
      </c>
      <c r="W45" s="9"/>
      <c r="X45">
        <v>144</v>
      </c>
      <c r="AA45" s="3">
        <v>4.5199999999999996</v>
      </c>
      <c r="AB45" s="9">
        <v>0.2335216572504708</v>
      </c>
      <c r="AD45" s="3">
        <v>4.5199999999999996</v>
      </c>
      <c r="AE45" s="6">
        <f t="shared" si="1"/>
        <v>0.54886930320150651</v>
      </c>
      <c r="AG45" s="3">
        <f t="shared" si="2"/>
        <v>3.0411983020766469</v>
      </c>
    </row>
    <row r="46" spans="1:33" x14ac:dyDescent="0.25">
      <c r="A46" t="s">
        <v>46</v>
      </c>
      <c r="B46" t="s">
        <v>0</v>
      </c>
      <c r="C46">
        <v>63</v>
      </c>
      <c r="D46">
        <v>145</v>
      </c>
      <c r="E46" s="2">
        <v>12</v>
      </c>
      <c r="F46" t="s">
        <v>33</v>
      </c>
      <c r="G46" s="2">
        <v>953</v>
      </c>
      <c r="H46" s="2">
        <v>266</v>
      </c>
      <c r="I46" s="6">
        <v>15.98</v>
      </c>
      <c r="J46" s="4">
        <v>0.25407166123778502</v>
      </c>
      <c r="K46" s="10"/>
      <c r="L46" s="6">
        <v>15.98</v>
      </c>
      <c r="M46" s="6">
        <f t="shared" si="0"/>
        <v>2.1112338762214988</v>
      </c>
      <c r="O46">
        <v>145</v>
      </c>
      <c r="P46">
        <v>641</v>
      </c>
      <c r="Q46">
        <v>263</v>
      </c>
      <c r="R46" s="3">
        <v>3.6</v>
      </c>
      <c r="S46" s="9">
        <v>0.37931034482758619</v>
      </c>
      <c r="T46" s="11"/>
      <c r="U46" s="3">
        <v>3.6</v>
      </c>
      <c r="V46" s="3">
        <f t="shared" si="3"/>
        <v>0.71006896551724141</v>
      </c>
      <c r="W46" s="9"/>
      <c r="X46">
        <v>145</v>
      </c>
      <c r="Y46">
        <v>681</v>
      </c>
      <c r="Z46">
        <v>182</v>
      </c>
      <c r="AA46" s="3">
        <v>4.0199999999999996</v>
      </c>
      <c r="AB46" s="9">
        <v>0.23112480739599384</v>
      </c>
      <c r="AD46" s="3">
        <v>4.0199999999999996</v>
      </c>
      <c r="AE46" s="6">
        <f t="shared" si="1"/>
        <v>0.48314329738058548</v>
      </c>
      <c r="AG46" s="3">
        <f t="shared" si="2"/>
        <v>3.3044461391193258</v>
      </c>
    </row>
    <row r="47" spans="1:33" x14ac:dyDescent="0.25">
      <c r="A47" t="s">
        <v>46</v>
      </c>
      <c r="B47" t="s">
        <v>0</v>
      </c>
      <c r="C47">
        <v>63</v>
      </c>
      <c r="D47">
        <v>146</v>
      </c>
      <c r="E47" s="2">
        <v>34</v>
      </c>
      <c r="F47" t="s">
        <v>34</v>
      </c>
      <c r="I47" s="6">
        <v>17.02</v>
      </c>
      <c r="J47" s="4">
        <v>0.25407166123778502</v>
      </c>
      <c r="K47" s="10"/>
      <c r="L47" s="6">
        <v>17.02</v>
      </c>
      <c r="M47" s="6">
        <f t="shared" si="0"/>
        <v>2.2486358306188925</v>
      </c>
      <c r="O47">
        <v>146</v>
      </c>
      <c r="R47" s="3">
        <v>4.0199999999999996</v>
      </c>
      <c r="S47" s="9">
        <v>0.37931034482758619</v>
      </c>
      <c r="T47" s="11"/>
      <c r="U47" s="3">
        <v>4.0199999999999996</v>
      </c>
      <c r="V47" s="3">
        <f t="shared" si="3"/>
        <v>0.79291034482758604</v>
      </c>
      <c r="W47" s="9"/>
      <c r="X47">
        <v>146</v>
      </c>
      <c r="AA47" s="3">
        <v>4.4800000000000004</v>
      </c>
      <c r="AB47" s="9">
        <v>0.23112480739599384</v>
      </c>
      <c r="AD47" s="3">
        <v>4.4800000000000004</v>
      </c>
      <c r="AE47" s="6">
        <f t="shared" si="1"/>
        <v>0.53842835130970734</v>
      </c>
      <c r="AG47" s="3">
        <f t="shared" si="2"/>
        <v>3.5799745267561858</v>
      </c>
    </row>
    <row r="48" spans="1:33" x14ac:dyDescent="0.25">
      <c r="A48" t="s">
        <v>46</v>
      </c>
      <c r="B48" t="s">
        <v>0</v>
      </c>
      <c r="C48">
        <v>63</v>
      </c>
      <c r="D48">
        <v>147</v>
      </c>
      <c r="E48" s="2">
        <v>10</v>
      </c>
      <c r="F48" t="s">
        <v>35</v>
      </c>
      <c r="I48" s="6">
        <v>14.92</v>
      </c>
      <c r="J48" s="4">
        <v>0.25407166123778502</v>
      </c>
      <c r="K48" s="10"/>
      <c r="L48" s="6">
        <v>14.92</v>
      </c>
      <c r="M48" s="6">
        <f t="shared" si="0"/>
        <v>1.9711895765472314</v>
      </c>
      <c r="O48">
        <v>147</v>
      </c>
      <c r="R48" s="3">
        <v>3.08</v>
      </c>
      <c r="S48" s="9">
        <v>0.37931034482758619</v>
      </c>
      <c r="T48" s="11"/>
      <c r="U48" s="3">
        <v>3.08</v>
      </c>
      <c r="V48" s="3">
        <f t="shared" si="3"/>
        <v>0.60750344827586211</v>
      </c>
      <c r="W48" s="9"/>
      <c r="X48">
        <v>147</v>
      </c>
      <c r="AA48" s="3">
        <v>3.94</v>
      </c>
      <c r="AB48" s="9">
        <v>0.23112480739599384</v>
      </c>
      <c r="AD48" s="3">
        <v>3.94</v>
      </c>
      <c r="AE48" s="6">
        <f t="shared" si="1"/>
        <v>0.47352850539291219</v>
      </c>
      <c r="AG48" s="3">
        <f t="shared" si="2"/>
        <v>3.0522215302160056</v>
      </c>
    </row>
    <row r="49" spans="1:33" x14ac:dyDescent="0.25">
      <c r="A49" t="s">
        <v>46</v>
      </c>
      <c r="B49" t="s">
        <v>0</v>
      </c>
      <c r="C49">
        <v>63</v>
      </c>
      <c r="D49">
        <v>148</v>
      </c>
      <c r="E49" s="2">
        <v>23</v>
      </c>
      <c r="F49" t="s">
        <v>36</v>
      </c>
      <c r="I49" s="6">
        <v>13.16</v>
      </c>
      <c r="J49" s="4">
        <v>0.25407166123778502</v>
      </c>
      <c r="K49" s="10"/>
      <c r="L49" s="6">
        <v>13.16</v>
      </c>
      <c r="M49" s="6">
        <f t="shared" si="0"/>
        <v>1.7386631921824105</v>
      </c>
      <c r="O49">
        <v>148</v>
      </c>
      <c r="R49" s="3">
        <v>2.52</v>
      </c>
      <c r="S49" s="9">
        <v>0.37931034482758619</v>
      </c>
      <c r="T49" s="11"/>
      <c r="U49" s="3">
        <v>2.52</v>
      </c>
      <c r="V49" s="3">
        <f t="shared" si="3"/>
        <v>0.49704827586206896</v>
      </c>
      <c r="W49" s="9"/>
      <c r="X49">
        <v>148</v>
      </c>
      <c r="AA49" s="3">
        <v>3.96</v>
      </c>
      <c r="AB49" s="9">
        <v>0.23112480739599384</v>
      </c>
      <c r="AD49" s="3">
        <v>3.96</v>
      </c>
      <c r="AE49" s="6">
        <f t="shared" si="1"/>
        <v>0.4759322033898305</v>
      </c>
      <c r="AG49" s="3">
        <f t="shared" si="2"/>
        <v>2.71164367143431</v>
      </c>
    </row>
    <row r="50" spans="1:33" x14ac:dyDescent="0.25">
      <c r="A50" t="s">
        <v>46</v>
      </c>
      <c r="B50" t="s">
        <v>0</v>
      </c>
      <c r="C50">
        <v>63</v>
      </c>
      <c r="D50">
        <v>201</v>
      </c>
      <c r="E50" s="2">
        <v>6</v>
      </c>
      <c r="F50" t="s">
        <v>1</v>
      </c>
      <c r="G50" s="2">
        <v>893</v>
      </c>
      <c r="H50" s="2">
        <v>256</v>
      </c>
      <c r="I50" s="6">
        <v>10.56</v>
      </c>
      <c r="J50" s="4">
        <v>0.26016260162601629</v>
      </c>
      <c r="K50" s="10">
        <v>116</v>
      </c>
      <c r="L50" s="6">
        <v>11.2711784140969</v>
      </c>
      <c r="M50" s="6">
        <f t="shared" si="0"/>
        <v>1.5248163317932717</v>
      </c>
      <c r="O50">
        <v>201</v>
      </c>
      <c r="S50" s="9"/>
      <c r="T50" s="11"/>
      <c r="V50" s="11"/>
      <c r="W50" s="9"/>
      <c r="X50">
        <v>201</v>
      </c>
      <c r="Y50">
        <v>869</v>
      </c>
      <c r="Z50">
        <v>170</v>
      </c>
      <c r="AA50" s="3">
        <v>4.9800000000000004</v>
      </c>
      <c r="AB50" s="9">
        <v>0.16487455197132617</v>
      </c>
      <c r="AD50" s="3">
        <v>4.9800000000000004</v>
      </c>
      <c r="AE50" s="6">
        <f t="shared" si="1"/>
        <v>0.42695913978494632</v>
      </c>
      <c r="AG50" s="3"/>
    </row>
    <row r="51" spans="1:33" x14ac:dyDescent="0.25">
      <c r="A51" t="s">
        <v>46</v>
      </c>
      <c r="B51" t="s">
        <v>0</v>
      </c>
      <c r="C51">
        <v>63</v>
      </c>
      <c r="D51">
        <v>202</v>
      </c>
      <c r="E51" s="2">
        <v>5</v>
      </c>
      <c r="F51" t="s">
        <v>5</v>
      </c>
      <c r="I51" s="6">
        <v>10.36</v>
      </c>
      <c r="J51" s="4">
        <v>0.26016260162601629</v>
      </c>
      <c r="K51" s="10">
        <v>72</v>
      </c>
      <c r="L51" s="6">
        <v>10.698656387665197</v>
      </c>
      <c r="M51" s="6">
        <f t="shared" si="0"/>
        <v>1.4473629454532433</v>
      </c>
      <c r="O51">
        <v>202</v>
      </c>
      <c r="S51" s="9"/>
      <c r="T51" s="11"/>
      <c r="V51" s="11"/>
      <c r="W51" s="9"/>
      <c r="X51">
        <v>202</v>
      </c>
      <c r="AA51" s="3">
        <v>5.82</v>
      </c>
      <c r="AB51" s="9">
        <v>0.16487455197132617</v>
      </c>
      <c r="AD51" s="3">
        <v>5.82</v>
      </c>
      <c r="AE51" s="6">
        <f t="shared" si="1"/>
        <v>0.49897634408602154</v>
      </c>
      <c r="AG51" s="3"/>
    </row>
    <row r="52" spans="1:33" x14ac:dyDescent="0.25">
      <c r="A52" t="s">
        <v>46</v>
      </c>
      <c r="B52" t="s">
        <v>0</v>
      </c>
      <c r="C52">
        <v>63</v>
      </c>
      <c r="D52">
        <v>203</v>
      </c>
      <c r="E52" s="2">
        <v>4</v>
      </c>
      <c r="F52" t="s">
        <v>2</v>
      </c>
      <c r="I52" s="6">
        <v>10.28</v>
      </c>
      <c r="J52" s="4">
        <v>0.26016260162601629</v>
      </c>
      <c r="K52" s="10">
        <v>89</v>
      </c>
      <c r="L52" s="6">
        <v>10.762585352422906</v>
      </c>
      <c r="M52" s="6">
        <f t="shared" si="0"/>
        <v>1.4560115468643673</v>
      </c>
      <c r="O52">
        <v>203</v>
      </c>
      <c r="S52" s="9"/>
      <c r="T52" s="11"/>
      <c r="V52" s="11"/>
      <c r="W52" s="9"/>
      <c r="X52">
        <v>203</v>
      </c>
      <c r="AA52" s="3">
        <v>6.2</v>
      </c>
      <c r="AB52" s="9">
        <v>0.16487455197132617</v>
      </c>
      <c r="AD52" s="3">
        <v>6.2</v>
      </c>
      <c r="AE52" s="6">
        <f t="shared" si="1"/>
        <v>0.53155555555555567</v>
      </c>
      <c r="AG52" s="3"/>
    </row>
    <row r="53" spans="1:33" x14ac:dyDescent="0.25">
      <c r="A53" t="s">
        <v>46</v>
      </c>
      <c r="B53" t="s">
        <v>0</v>
      </c>
      <c r="C53">
        <v>63</v>
      </c>
      <c r="D53">
        <v>204</v>
      </c>
      <c r="E53" s="2">
        <v>2</v>
      </c>
      <c r="F53" t="s">
        <v>4</v>
      </c>
      <c r="I53" s="6">
        <v>12.18</v>
      </c>
      <c r="J53" s="4">
        <v>0.26016260162601629</v>
      </c>
      <c r="K53" s="10">
        <v>119</v>
      </c>
      <c r="L53" s="6">
        <v>12.916577643171806</v>
      </c>
      <c r="M53" s="6">
        <f t="shared" si="0"/>
        <v>1.7474134307510478</v>
      </c>
      <c r="O53">
        <v>204</v>
      </c>
      <c r="S53" s="9"/>
      <c r="T53" s="11"/>
      <c r="V53" s="11"/>
      <c r="W53" s="9"/>
      <c r="X53">
        <v>204</v>
      </c>
      <c r="AA53" s="3">
        <v>5.62</v>
      </c>
      <c r="AB53" s="9">
        <v>0.16487455197132617</v>
      </c>
      <c r="AD53" s="3">
        <v>5.62</v>
      </c>
      <c r="AE53" s="6">
        <f t="shared" si="1"/>
        <v>0.48182939068100361</v>
      </c>
      <c r="AG53" s="3"/>
    </row>
    <row r="54" spans="1:33" x14ac:dyDescent="0.25">
      <c r="A54" t="s">
        <v>46</v>
      </c>
      <c r="B54" t="s">
        <v>0</v>
      </c>
      <c r="C54">
        <v>63</v>
      </c>
      <c r="D54">
        <v>205</v>
      </c>
      <c r="E54" s="2">
        <v>1</v>
      </c>
      <c r="F54" t="s">
        <v>6</v>
      </c>
      <c r="G54" s="2">
        <v>739</v>
      </c>
      <c r="H54" s="2">
        <v>213</v>
      </c>
      <c r="I54" s="6">
        <v>11.46</v>
      </c>
      <c r="J54" s="4">
        <v>0.25601131541725602</v>
      </c>
      <c r="K54" s="10">
        <v>108</v>
      </c>
      <c r="L54" s="6">
        <v>12.113880789544138</v>
      </c>
      <c r="M54" s="6">
        <f t="shared" si="0"/>
        <v>1.6126710889842919</v>
      </c>
      <c r="O54">
        <v>205</v>
      </c>
      <c r="S54" s="9"/>
      <c r="T54" s="11"/>
      <c r="V54" s="11"/>
      <c r="W54" s="9"/>
      <c r="X54">
        <v>205</v>
      </c>
      <c r="Y54">
        <v>803</v>
      </c>
      <c r="Z54">
        <v>164</v>
      </c>
      <c r="AA54" s="3">
        <v>5.8</v>
      </c>
      <c r="AB54" s="9">
        <v>0.17120622568093385</v>
      </c>
      <c r="AD54" s="3">
        <v>5.8</v>
      </c>
      <c r="AE54" s="6">
        <f t="shared" si="1"/>
        <v>0.51635797665369654</v>
      </c>
      <c r="AG54" s="3"/>
    </row>
    <row r="55" spans="1:33" x14ac:dyDescent="0.25">
      <c r="A55" t="s">
        <v>46</v>
      </c>
      <c r="B55" t="s">
        <v>0</v>
      </c>
      <c r="C55">
        <v>63</v>
      </c>
      <c r="D55">
        <v>206</v>
      </c>
      <c r="E55" s="2">
        <v>3</v>
      </c>
      <c r="F55" t="s">
        <v>3</v>
      </c>
      <c r="I55" s="6">
        <v>11.1</v>
      </c>
      <c r="J55" s="4">
        <v>0.25601131541725602</v>
      </c>
      <c r="K55" s="10">
        <v>96</v>
      </c>
      <c r="L55" s="6">
        <v>11.650636454352957</v>
      </c>
      <c r="M55" s="6">
        <f t="shared" si="0"/>
        <v>1.5510012773461108</v>
      </c>
      <c r="O55">
        <v>206</v>
      </c>
      <c r="S55" s="9"/>
      <c r="T55" s="11"/>
      <c r="V55" s="11"/>
      <c r="W55" s="9"/>
      <c r="X55">
        <v>206</v>
      </c>
      <c r="AA55" s="3">
        <v>5.28</v>
      </c>
      <c r="AB55" s="9">
        <v>0.17120622568093385</v>
      </c>
      <c r="AD55" s="3">
        <v>5.28</v>
      </c>
      <c r="AE55" s="6">
        <f t="shared" si="1"/>
        <v>0.47006381322957203</v>
      </c>
      <c r="AG55" s="3"/>
    </row>
    <row r="56" spans="1:33" x14ac:dyDescent="0.25">
      <c r="A56" t="s">
        <v>46</v>
      </c>
      <c r="B56" t="s">
        <v>0</v>
      </c>
      <c r="C56">
        <v>63</v>
      </c>
      <c r="D56">
        <v>207</v>
      </c>
      <c r="E56" s="2">
        <v>1</v>
      </c>
      <c r="F56" t="s">
        <v>6</v>
      </c>
      <c r="I56" s="6">
        <v>11.88</v>
      </c>
      <c r="J56" s="4">
        <v>0.25601131541725602</v>
      </c>
      <c r="K56" s="10">
        <v>87</v>
      </c>
      <c r="L56" s="6">
        <v>12.353203202959575</v>
      </c>
      <c r="M56" s="6">
        <f t="shared" si="0"/>
        <v>1.6445310968352975</v>
      </c>
      <c r="O56">
        <v>207</v>
      </c>
      <c r="S56" s="9"/>
      <c r="T56" s="11"/>
      <c r="V56" s="11"/>
      <c r="W56" s="9"/>
      <c r="X56">
        <v>207</v>
      </c>
      <c r="AA56" s="3">
        <v>6.64</v>
      </c>
      <c r="AB56" s="9">
        <v>0.17120622568093385</v>
      </c>
      <c r="AD56" s="3">
        <v>6.64</v>
      </c>
      <c r="AE56" s="6">
        <f t="shared" si="1"/>
        <v>0.59114085603112831</v>
      </c>
      <c r="AG56" s="3"/>
    </row>
    <row r="57" spans="1:33" x14ac:dyDescent="0.25">
      <c r="A57" t="s">
        <v>46</v>
      </c>
      <c r="B57" t="s">
        <v>0</v>
      </c>
      <c r="C57">
        <v>63</v>
      </c>
      <c r="D57">
        <v>208</v>
      </c>
      <c r="E57" s="2">
        <v>5</v>
      </c>
      <c r="F57" t="s">
        <v>5</v>
      </c>
      <c r="I57" s="6">
        <v>12.04</v>
      </c>
      <c r="J57" s="4">
        <v>0.25601131541725602</v>
      </c>
      <c r="K57" s="10">
        <v>108</v>
      </c>
      <c r="L57" s="6">
        <v>12.693880789544137</v>
      </c>
      <c r="M57" s="6">
        <f t="shared" si="0"/>
        <v>1.6898841017141362</v>
      </c>
      <c r="O57">
        <v>208</v>
      </c>
      <c r="S57" s="9"/>
      <c r="T57" s="11"/>
      <c r="V57" s="11"/>
      <c r="W57" s="9"/>
      <c r="X57">
        <v>208</v>
      </c>
      <c r="AA57" s="3">
        <v>6.44</v>
      </c>
      <c r="AB57" s="9">
        <v>0.17120622568093385</v>
      </c>
      <c r="AD57" s="3">
        <v>6.44</v>
      </c>
      <c r="AE57" s="6">
        <f t="shared" si="1"/>
        <v>0.57333540856031129</v>
      </c>
      <c r="AG57" s="3"/>
    </row>
    <row r="58" spans="1:33" x14ac:dyDescent="0.25">
      <c r="A58" t="s">
        <v>46</v>
      </c>
      <c r="B58" t="s">
        <v>0</v>
      </c>
      <c r="C58">
        <v>63</v>
      </c>
      <c r="D58">
        <v>209</v>
      </c>
      <c r="E58" s="2">
        <v>3</v>
      </c>
      <c r="F58" t="s">
        <v>3</v>
      </c>
      <c r="G58" s="2">
        <v>832</v>
      </c>
      <c r="H58" s="2">
        <v>251</v>
      </c>
      <c r="I58" s="6">
        <v>14.02</v>
      </c>
      <c r="J58" s="4">
        <v>0.27374999999999999</v>
      </c>
      <c r="K58" s="10">
        <v>91</v>
      </c>
      <c r="L58" s="6">
        <v>14.494724921046808</v>
      </c>
      <c r="M58" s="6">
        <f t="shared" si="0"/>
        <v>2.0633240925110132</v>
      </c>
      <c r="O58">
        <v>209</v>
      </c>
      <c r="S58" s="9"/>
      <c r="T58" s="11"/>
      <c r="V58" s="11"/>
      <c r="W58" s="9"/>
      <c r="X58">
        <v>209</v>
      </c>
      <c r="Y58">
        <v>836</v>
      </c>
      <c r="Z58">
        <v>163</v>
      </c>
      <c r="AA58" s="3">
        <v>5.92</v>
      </c>
      <c r="AB58" s="9">
        <v>0.16293532338308458</v>
      </c>
      <c r="AD58" s="3">
        <v>5.92</v>
      </c>
      <c r="AE58" s="6">
        <f t="shared" si="1"/>
        <v>0.50158009950248761</v>
      </c>
      <c r="AG58" s="3"/>
    </row>
    <row r="59" spans="1:33" x14ac:dyDescent="0.25">
      <c r="A59" t="s">
        <v>46</v>
      </c>
      <c r="B59" t="s">
        <v>0</v>
      </c>
      <c r="C59">
        <v>63</v>
      </c>
      <c r="D59">
        <v>210</v>
      </c>
      <c r="E59" s="2">
        <v>4</v>
      </c>
      <c r="F59" t="s">
        <v>2</v>
      </c>
      <c r="I59" s="6">
        <v>12.38</v>
      </c>
      <c r="J59" s="4">
        <v>0.27374999999999999</v>
      </c>
      <c r="K59" s="10">
        <v>88</v>
      </c>
      <c r="L59" s="6">
        <v>12.830586365739345</v>
      </c>
      <c r="M59" s="6">
        <f t="shared" si="0"/>
        <v>1.8264339691629958</v>
      </c>
      <c r="O59">
        <v>210</v>
      </c>
      <c r="S59" s="9"/>
      <c r="T59" s="11"/>
      <c r="V59" s="11"/>
      <c r="W59" s="9"/>
      <c r="X59">
        <v>210</v>
      </c>
      <c r="AA59" s="3">
        <v>6.28</v>
      </c>
      <c r="AB59" s="9">
        <v>0.16293532338308458</v>
      </c>
      <c r="AD59" s="3">
        <v>6.28</v>
      </c>
      <c r="AE59" s="6">
        <f t="shared" si="1"/>
        <v>0.53208159203980099</v>
      </c>
      <c r="AG59" s="3"/>
    </row>
    <row r="60" spans="1:33" x14ac:dyDescent="0.25">
      <c r="A60" t="s">
        <v>46</v>
      </c>
      <c r="B60" t="s">
        <v>0</v>
      </c>
      <c r="C60">
        <v>63</v>
      </c>
      <c r="D60">
        <v>211</v>
      </c>
      <c r="E60" s="2">
        <v>6</v>
      </c>
      <c r="F60" t="s">
        <v>1</v>
      </c>
      <c r="I60" s="6">
        <v>12.48</v>
      </c>
      <c r="J60" s="4">
        <v>0.27374999999999999</v>
      </c>
      <c r="K60" s="10">
        <v>114</v>
      </c>
      <c r="L60" s="6">
        <v>13.13978717840404</v>
      </c>
      <c r="M60" s="6">
        <f t="shared" si="0"/>
        <v>1.8704487048458152</v>
      </c>
      <c r="O60">
        <v>211</v>
      </c>
      <c r="S60" s="9"/>
      <c r="T60" s="11"/>
      <c r="V60" s="11"/>
      <c r="W60" s="9"/>
      <c r="X60">
        <v>211</v>
      </c>
      <c r="AA60" s="3">
        <v>5.54</v>
      </c>
      <c r="AB60" s="9">
        <v>0.16293532338308458</v>
      </c>
      <c r="AD60" s="3">
        <v>5.54</v>
      </c>
      <c r="AE60" s="6">
        <f t="shared" si="1"/>
        <v>0.46938407960199008</v>
      </c>
      <c r="AG60" s="3"/>
    </row>
    <row r="61" spans="1:33" x14ac:dyDescent="0.25">
      <c r="A61" t="s">
        <v>46</v>
      </c>
      <c r="B61" t="s">
        <v>0</v>
      </c>
      <c r="C61">
        <v>63</v>
      </c>
      <c r="D61">
        <v>212</v>
      </c>
      <c r="E61" s="2">
        <v>2</v>
      </c>
      <c r="F61" t="s">
        <v>4</v>
      </c>
      <c r="I61" s="6">
        <v>13.44</v>
      </c>
      <c r="J61" s="4">
        <v>0.27374999999999999</v>
      </c>
      <c r="K61" s="10">
        <v>99</v>
      </c>
      <c r="L61" s="6">
        <v>13.979094401866714</v>
      </c>
      <c r="M61" s="6">
        <f t="shared" si="0"/>
        <v>1.9899240881057267</v>
      </c>
      <c r="O61">
        <v>212</v>
      </c>
      <c r="S61" s="9"/>
      <c r="T61" s="11"/>
      <c r="V61" s="11"/>
      <c r="W61" s="9"/>
      <c r="X61">
        <v>212</v>
      </c>
      <c r="AA61" s="3">
        <v>6.58</v>
      </c>
      <c r="AB61" s="9">
        <v>0.16293532338308458</v>
      </c>
      <c r="AD61" s="3">
        <v>6.58</v>
      </c>
      <c r="AE61" s="6">
        <f t="shared" si="1"/>
        <v>0.5574995024875623</v>
      </c>
      <c r="AG61" s="3"/>
    </row>
    <row r="62" spans="1:33" x14ac:dyDescent="0.25">
      <c r="A62" t="s">
        <v>46</v>
      </c>
      <c r="B62" t="s">
        <v>0</v>
      </c>
      <c r="C62">
        <v>63</v>
      </c>
      <c r="D62">
        <v>213</v>
      </c>
      <c r="E62" s="2">
        <v>24</v>
      </c>
      <c r="F62" t="s">
        <v>32</v>
      </c>
      <c r="G62" s="2">
        <v>894</v>
      </c>
      <c r="H62" s="2">
        <v>245</v>
      </c>
      <c r="I62" s="6">
        <v>12.76</v>
      </c>
      <c r="J62" s="4">
        <v>0.24709976798143851</v>
      </c>
      <c r="K62" s="10">
        <v>103</v>
      </c>
      <c r="L62" s="6">
        <v>13.392892804698972</v>
      </c>
      <c r="M62" s="6">
        <f t="shared" si="0"/>
        <v>1.7208779664135245</v>
      </c>
      <c r="O62">
        <v>213</v>
      </c>
      <c r="P62">
        <v>582</v>
      </c>
      <c r="Q62">
        <v>255</v>
      </c>
      <c r="R62" s="3">
        <v>2.86</v>
      </c>
      <c r="S62" s="9">
        <v>0.40545454545454546</v>
      </c>
      <c r="T62" s="11">
        <v>139</v>
      </c>
      <c r="U62" s="3">
        <v>3.4412804962367396</v>
      </c>
      <c r="V62" s="3">
        <f>S62*U62*0.52</f>
        <v>0.72554706607929509</v>
      </c>
      <c r="W62" s="9"/>
      <c r="X62">
        <v>213</v>
      </c>
      <c r="Y62">
        <v>944</v>
      </c>
      <c r="Z62">
        <v>204</v>
      </c>
      <c r="AA62" s="3">
        <v>6.32</v>
      </c>
      <c r="AB62" s="9">
        <v>0.18859649122807018</v>
      </c>
      <c r="AD62" s="3">
        <v>6.32</v>
      </c>
      <c r="AE62" s="6">
        <f t="shared" si="1"/>
        <v>0.61980350877192991</v>
      </c>
      <c r="AG62" s="3">
        <f t="shared" si="2"/>
        <v>3.0662285412647496</v>
      </c>
    </row>
    <row r="63" spans="1:33" x14ac:dyDescent="0.25">
      <c r="A63" t="s">
        <v>46</v>
      </c>
      <c r="B63" t="s">
        <v>0</v>
      </c>
      <c r="C63">
        <v>63</v>
      </c>
      <c r="D63">
        <v>214</v>
      </c>
      <c r="E63" s="2">
        <v>31</v>
      </c>
      <c r="F63" t="s">
        <v>29</v>
      </c>
      <c r="I63" s="6">
        <v>11.64</v>
      </c>
      <c r="J63" s="4">
        <v>0.24709976798143851</v>
      </c>
      <c r="K63" s="10">
        <v>98</v>
      </c>
      <c r="L63" s="6">
        <v>12.228322888875102</v>
      </c>
      <c r="M63" s="6">
        <f t="shared" si="0"/>
        <v>1.571240189294439</v>
      </c>
      <c r="O63">
        <v>214</v>
      </c>
      <c r="R63" s="3">
        <v>3.26</v>
      </c>
      <c r="S63" s="9">
        <v>0.40545454545454546</v>
      </c>
      <c r="T63" s="11">
        <v>105</v>
      </c>
      <c r="U63" s="3">
        <v>3.6565745441615136</v>
      </c>
      <c r="V63" s="3">
        <f t="shared" ref="V63:V97" si="4">S63*U63*0.52</f>
        <v>0.77093888025630752</v>
      </c>
      <c r="W63" s="9"/>
      <c r="X63">
        <v>214</v>
      </c>
      <c r="AA63" s="3">
        <v>7.5</v>
      </c>
      <c r="AB63" s="9">
        <v>0.18859649122807018</v>
      </c>
      <c r="AD63" s="3">
        <v>7.5</v>
      </c>
      <c r="AE63" s="6">
        <f t="shared" si="1"/>
        <v>0.73552631578947369</v>
      </c>
      <c r="AG63" s="3">
        <f t="shared" si="2"/>
        <v>3.0777053853402201</v>
      </c>
    </row>
    <row r="64" spans="1:33" x14ac:dyDescent="0.25">
      <c r="A64" t="s">
        <v>46</v>
      </c>
      <c r="B64" t="s">
        <v>0</v>
      </c>
      <c r="C64">
        <v>63</v>
      </c>
      <c r="D64">
        <v>215</v>
      </c>
      <c r="E64" s="2">
        <v>8</v>
      </c>
      <c r="F64" t="s">
        <v>31</v>
      </c>
      <c r="I64" s="6">
        <v>12.76</v>
      </c>
      <c r="J64" s="4">
        <v>0.24709976798143851</v>
      </c>
      <c r="K64" s="10">
        <v>96</v>
      </c>
      <c r="L64" s="6">
        <v>13.330494922545553</v>
      </c>
      <c r="M64" s="6">
        <f t="shared" si="0"/>
        <v>1.7128603452681501</v>
      </c>
      <c r="O64">
        <v>215</v>
      </c>
      <c r="R64" s="3">
        <v>3.14</v>
      </c>
      <c r="S64" s="9">
        <v>0.40545454545454546</v>
      </c>
      <c r="T64" s="11">
        <v>158</v>
      </c>
      <c r="U64" s="3">
        <v>3.8244985282787778</v>
      </c>
      <c r="V64" s="3">
        <f t="shared" si="4"/>
        <v>0.806343362434922</v>
      </c>
      <c r="W64" s="9"/>
      <c r="X64">
        <v>215</v>
      </c>
      <c r="AA64" s="3">
        <v>5.74</v>
      </c>
      <c r="AB64" s="9">
        <v>0.18859649122807018</v>
      </c>
      <c r="AD64" s="3">
        <v>5.74</v>
      </c>
      <c r="AE64" s="6">
        <f t="shared" si="1"/>
        <v>0.56292280701754382</v>
      </c>
      <c r="AG64" s="3">
        <f t="shared" si="2"/>
        <v>3.0821265147206161</v>
      </c>
    </row>
    <row r="65" spans="1:33" x14ac:dyDescent="0.25">
      <c r="A65" t="s">
        <v>46</v>
      </c>
      <c r="B65" t="s">
        <v>0</v>
      </c>
      <c r="C65">
        <v>63</v>
      </c>
      <c r="D65">
        <v>216</v>
      </c>
      <c r="E65" s="2">
        <v>29</v>
      </c>
      <c r="F65" t="s">
        <v>11</v>
      </c>
      <c r="I65" s="6">
        <v>13.14</v>
      </c>
      <c r="J65" s="4">
        <v>0.24709976798143851</v>
      </c>
      <c r="K65" s="10">
        <v>104</v>
      </c>
      <c r="L65" s="6">
        <v>13.781806787863747</v>
      </c>
      <c r="M65" s="6">
        <f t="shared" si="0"/>
        <v>1.7708502550159961</v>
      </c>
      <c r="O65">
        <v>216</v>
      </c>
      <c r="R65" s="3">
        <v>3.16</v>
      </c>
      <c r="S65" s="9">
        <v>0.40545454545454546</v>
      </c>
      <c r="T65" s="11">
        <v>146</v>
      </c>
      <c r="U65" s="3">
        <v>3.7793081922522274</v>
      </c>
      <c r="V65" s="3">
        <f t="shared" si="4"/>
        <v>0.79681559631557874</v>
      </c>
      <c r="W65" s="9"/>
      <c r="X65">
        <v>216</v>
      </c>
      <c r="AA65" s="3">
        <v>6.1</v>
      </c>
      <c r="AB65" s="9">
        <v>0.18859649122807018</v>
      </c>
      <c r="AD65" s="3">
        <v>6.1</v>
      </c>
      <c r="AE65" s="6">
        <f t="shared" si="1"/>
        <v>0.59822807017543855</v>
      </c>
      <c r="AG65" s="3">
        <f t="shared" si="2"/>
        <v>3.1658939215070134</v>
      </c>
    </row>
    <row r="66" spans="1:33" x14ac:dyDescent="0.25">
      <c r="A66" t="s">
        <v>46</v>
      </c>
      <c r="B66" t="s">
        <v>0</v>
      </c>
      <c r="C66">
        <v>63</v>
      </c>
      <c r="D66">
        <v>217</v>
      </c>
      <c r="E66" s="2">
        <v>26</v>
      </c>
      <c r="F66" t="s">
        <v>21</v>
      </c>
      <c r="G66" s="2">
        <v>859</v>
      </c>
      <c r="H66" s="2">
        <v>240</v>
      </c>
      <c r="I66" s="6">
        <v>14.58</v>
      </c>
      <c r="J66" s="4">
        <v>0.25151148730350664</v>
      </c>
      <c r="K66" s="10">
        <v>114</v>
      </c>
      <c r="L66" s="6">
        <v>15.298125211792613</v>
      </c>
      <c r="M66" s="6">
        <f t="shared" si="0"/>
        <v>2.000780196986081</v>
      </c>
      <c r="O66">
        <v>217</v>
      </c>
      <c r="P66">
        <v>706</v>
      </c>
      <c r="Q66">
        <v>292</v>
      </c>
      <c r="R66" s="3">
        <v>3.1</v>
      </c>
      <c r="S66" s="9">
        <v>0.3857566765578635</v>
      </c>
      <c r="T66" s="11">
        <v>114</v>
      </c>
      <c r="U66" s="3">
        <v>3.5682141646899357</v>
      </c>
      <c r="V66" s="3">
        <f t="shared" si="4"/>
        <v>0.71576046745709099</v>
      </c>
      <c r="W66" s="9"/>
      <c r="X66">
        <v>217</v>
      </c>
      <c r="Y66">
        <v>841</v>
      </c>
      <c r="Z66">
        <v>183</v>
      </c>
      <c r="AA66" s="3">
        <v>6.32</v>
      </c>
      <c r="AB66" s="9">
        <v>0.18665018541409148</v>
      </c>
      <c r="AD66" s="3">
        <v>6.32</v>
      </c>
      <c r="AE66" s="6">
        <f t="shared" si="1"/>
        <v>0.61340716934487027</v>
      </c>
      <c r="AG66" s="3">
        <f t="shared" si="2"/>
        <v>3.3299478337880419</v>
      </c>
    </row>
    <row r="67" spans="1:33" x14ac:dyDescent="0.25">
      <c r="A67" t="s">
        <v>46</v>
      </c>
      <c r="B67" t="s">
        <v>0</v>
      </c>
      <c r="C67">
        <v>63</v>
      </c>
      <c r="D67">
        <v>218</v>
      </c>
      <c r="E67" s="2">
        <v>28</v>
      </c>
      <c r="F67" t="s">
        <v>13</v>
      </c>
      <c r="I67" s="6">
        <v>11.72</v>
      </c>
      <c r="J67" s="4">
        <v>0.25151148730350664</v>
      </c>
      <c r="K67" s="10">
        <v>98</v>
      </c>
      <c r="L67" s="6">
        <v>12.298003219247713</v>
      </c>
      <c r="M67" s="6">
        <f t="shared" ref="M67:M130" si="5">J67*L67*0.52</f>
        <v>1.6084063218788787</v>
      </c>
      <c r="O67">
        <v>218</v>
      </c>
      <c r="R67" s="3">
        <v>3.88</v>
      </c>
      <c r="S67" s="9">
        <v>0.3857566765578635</v>
      </c>
      <c r="T67" s="11">
        <v>170</v>
      </c>
      <c r="U67" s="3">
        <v>4.6679701796001352</v>
      </c>
      <c r="V67" s="3">
        <f t="shared" si="4"/>
        <v>0.93636434463195595</v>
      </c>
      <c r="W67" s="9"/>
      <c r="X67">
        <v>218</v>
      </c>
      <c r="AA67" s="3">
        <v>6.48</v>
      </c>
      <c r="AB67" s="9">
        <v>0.18665018541409148</v>
      </c>
      <c r="AD67" s="3">
        <v>6.48</v>
      </c>
      <c r="AE67" s="6">
        <f t="shared" ref="AE67:AE130" si="6">AB67*AD67*0.52</f>
        <v>0.6289364647713227</v>
      </c>
      <c r="AG67" s="3">
        <f t="shared" ref="AG67:AG130" si="7">M67+V67+AE67</f>
        <v>3.1737071312821574</v>
      </c>
    </row>
    <row r="68" spans="1:33" x14ac:dyDescent="0.25">
      <c r="A68" t="s">
        <v>46</v>
      </c>
      <c r="B68" t="s">
        <v>0</v>
      </c>
      <c r="C68">
        <v>63</v>
      </c>
      <c r="D68">
        <v>219</v>
      </c>
      <c r="E68" s="2">
        <v>9</v>
      </c>
      <c r="F68" t="s">
        <v>19</v>
      </c>
      <c r="I68" s="6">
        <v>11.72</v>
      </c>
      <c r="J68" s="4">
        <v>0.25151148730350664</v>
      </c>
      <c r="K68" s="10">
        <v>109</v>
      </c>
      <c r="L68" s="6">
        <v>12.394337089122333</v>
      </c>
      <c r="M68" s="6">
        <f t="shared" si="5"/>
        <v>1.6210054408216101</v>
      </c>
      <c r="O68">
        <v>219</v>
      </c>
      <c r="R68" s="3">
        <v>4.16</v>
      </c>
      <c r="S68" s="9">
        <v>0.3857566765578635</v>
      </c>
      <c r="T68" s="11">
        <v>136</v>
      </c>
      <c r="U68" s="3">
        <v>4.753832599118943</v>
      </c>
      <c r="V68" s="3">
        <f t="shared" si="4"/>
        <v>0.95358778546124789</v>
      </c>
      <c r="W68" s="9"/>
      <c r="X68">
        <v>219</v>
      </c>
      <c r="AA68" s="3">
        <v>7.04</v>
      </c>
      <c r="AB68" s="9">
        <v>0.18665018541409148</v>
      </c>
      <c r="AD68" s="3">
        <v>7.04</v>
      </c>
      <c r="AE68" s="6">
        <f t="shared" si="6"/>
        <v>0.68328899876390614</v>
      </c>
      <c r="AG68" s="3">
        <f t="shared" si="7"/>
        <v>3.2578822250467638</v>
      </c>
    </row>
    <row r="69" spans="1:33" x14ac:dyDescent="0.25">
      <c r="A69" t="s">
        <v>46</v>
      </c>
      <c r="B69" t="s">
        <v>0</v>
      </c>
      <c r="C69">
        <v>63</v>
      </c>
      <c r="D69">
        <v>220</v>
      </c>
      <c r="E69" s="2">
        <v>18</v>
      </c>
      <c r="F69" t="s">
        <v>18</v>
      </c>
      <c r="I69" s="6">
        <v>10.74</v>
      </c>
      <c r="J69" s="4">
        <v>0.25151148730350664</v>
      </c>
      <c r="K69" s="10">
        <v>95</v>
      </c>
      <c r="L69" s="6">
        <v>11.291730345645544</v>
      </c>
      <c r="M69" s="6">
        <f t="shared" si="5"/>
        <v>1.4767999446009938</v>
      </c>
      <c r="O69">
        <v>220</v>
      </c>
      <c r="R69" s="3">
        <v>3.92</v>
      </c>
      <c r="S69" s="9">
        <v>0.3857566765578635</v>
      </c>
      <c r="T69" s="11">
        <v>153</v>
      </c>
      <c r="U69" s="3">
        <v>4.6109013893595394</v>
      </c>
      <c r="V69" s="3">
        <f t="shared" si="4"/>
        <v>0.92491671786559315</v>
      </c>
      <c r="W69" s="9"/>
      <c r="X69">
        <v>220</v>
      </c>
      <c r="AA69" s="3">
        <v>7.12</v>
      </c>
      <c r="AB69" s="9">
        <v>0.18665018541409148</v>
      </c>
      <c r="AD69" s="3">
        <v>7.12</v>
      </c>
      <c r="AE69" s="6">
        <f t="shared" si="6"/>
        <v>0.6910536464771323</v>
      </c>
      <c r="AG69" s="3">
        <f t="shared" si="7"/>
        <v>3.0927703089437193</v>
      </c>
    </row>
    <row r="70" spans="1:33" x14ac:dyDescent="0.25">
      <c r="A70" t="s">
        <v>46</v>
      </c>
      <c r="B70" t="s">
        <v>0</v>
      </c>
      <c r="C70">
        <v>63</v>
      </c>
      <c r="D70">
        <v>221</v>
      </c>
      <c r="E70" s="2">
        <v>5</v>
      </c>
      <c r="F70" t="s">
        <v>5</v>
      </c>
      <c r="G70" s="2">
        <v>981</v>
      </c>
      <c r="H70" s="2">
        <v>254</v>
      </c>
      <c r="I70" s="6">
        <v>11.24</v>
      </c>
      <c r="J70" s="4">
        <v>0.2339304531085353</v>
      </c>
      <c r="K70" s="10">
        <v>104</v>
      </c>
      <c r="L70" s="6">
        <v>11.917937849744018</v>
      </c>
      <c r="M70" s="6">
        <f t="shared" si="5"/>
        <v>1.4497436726811903</v>
      </c>
      <c r="O70">
        <v>221</v>
      </c>
      <c r="P70">
        <v>740</v>
      </c>
      <c r="Q70">
        <v>286</v>
      </c>
      <c r="R70" s="3">
        <v>5.42</v>
      </c>
      <c r="S70" s="9">
        <v>0.35875706214689268</v>
      </c>
      <c r="T70" s="11">
        <v>124</v>
      </c>
      <c r="U70" s="3">
        <v>5.9848478962156157</v>
      </c>
      <c r="V70" s="3">
        <f t="shared" si="4"/>
        <v>1.1164953532940092</v>
      </c>
      <c r="W70" s="9"/>
      <c r="X70">
        <v>221</v>
      </c>
      <c r="Y70">
        <v>852</v>
      </c>
      <c r="Z70">
        <v>189</v>
      </c>
      <c r="AA70" s="3">
        <v>6.28</v>
      </c>
      <c r="AB70" s="9">
        <v>0.19146341463414634</v>
      </c>
      <c r="AC70">
        <v>95</v>
      </c>
      <c r="AD70" s="3">
        <v>7</v>
      </c>
      <c r="AE70" s="6">
        <f t="shared" si="6"/>
        <v>0.69692682926829275</v>
      </c>
      <c r="AG70" s="3">
        <f t="shared" si="7"/>
        <v>3.2631658552434919</v>
      </c>
    </row>
    <row r="71" spans="1:33" x14ac:dyDescent="0.25">
      <c r="A71" t="s">
        <v>46</v>
      </c>
      <c r="B71" t="s">
        <v>0</v>
      </c>
      <c r="C71">
        <v>63</v>
      </c>
      <c r="D71">
        <v>222</v>
      </c>
      <c r="E71" s="2">
        <v>32</v>
      </c>
      <c r="F71" t="s">
        <v>30</v>
      </c>
      <c r="I71" s="6">
        <v>14.2</v>
      </c>
      <c r="J71" s="4">
        <v>0.2339304531085353</v>
      </c>
      <c r="K71" s="10">
        <v>92</v>
      </c>
      <c r="L71" s="6">
        <v>14.764948208120014</v>
      </c>
      <c r="M71" s="6">
        <f t="shared" si="5"/>
        <v>1.7960649327137772</v>
      </c>
      <c r="O71">
        <v>222</v>
      </c>
      <c r="R71" s="3">
        <v>4.9400000000000004</v>
      </c>
      <c r="S71" s="9">
        <v>0.35875706214689268</v>
      </c>
      <c r="T71" s="11">
        <v>222</v>
      </c>
      <c r="U71" s="3">
        <v>6.1065336987061638</v>
      </c>
      <c r="V71" s="3">
        <f t="shared" si="4"/>
        <v>1.1391962866173873</v>
      </c>
      <c r="W71" s="9"/>
      <c r="X71">
        <v>222</v>
      </c>
      <c r="AA71" s="3">
        <v>6.44</v>
      </c>
      <c r="AB71" s="9">
        <v>0.19146341463414634</v>
      </c>
      <c r="AD71" s="3">
        <v>6.44</v>
      </c>
      <c r="AE71" s="6">
        <f t="shared" si="6"/>
        <v>0.64117268292682938</v>
      </c>
      <c r="AG71" s="3">
        <f t="shared" si="7"/>
        <v>3.5764339022579938</v>
      </c>
    </row>
    <row r="72" spans="1:33" x14ac:dyDescent="0.25">
      <c r="A72" t="s">
        <v>46</v>
      </c>
      <c r="B72" t="s">
        <v>0</v>
      </c>
      <c r="C72">
        <v>63</v>
      </c>
      <c r="D72">
        <v>223</v>
      </c>
      <c r="E72" s="2">
        <v>3</v>
      </c>
      <c r="F72" t="s">
        <v>3</v>
      </c>
      <c r="I72" s="6">
        <v>12.42</v>
      </c>
      <c r="J72" s="4">
        <v>0.2339304531085353</v>
      </c>
      <c r="K72" s="10">
        <v>99</v>
      </c>
      <c r="L72" s="6">
        <v>13.050858832400683</v>
      </c>
      <c r="M72" s="6">
        <f t="shared" si="5"/>
        <v>1.5875565264618914</v>
      </c>
      <c r="O72">
        <v>223</v>
      </c>
      <c r="R72" s="3">
        <v>4.68</v>
      </c>
      <c r="S72" s="9">
        <v>0.35875706214689268</v>
      </c>
      <c r="T72" s="11">
        <v>163</v>
      </c>
      <c r="U72" s="3">
        <v>5.4842942870026707</v>
      </c>
      <c r="V72" s="3">
        <f t="shared" si="4"/>
        <v>1.0231152393041141</v>
      </c>
      <c r="W72" s="9"/>
      <c r="X72">
        <v>223</v>
      </c>
      <c r="AA72" s="3">
        <v>6.16</v>
      </c>
      <c r="AB72" s="9">
        <v>0.19146341463414634</v>
      </c>
      <c r="AC72">
        <v>91</v>
      </c>
      <c r="AD72" s="3">
        <v>6.84</v>
      </c>
      <c r="AE72" s="6">
        <f t="shared" si="6"/>
        <v>0.68099707317073177</v>
      </c>
      <c r="AG72" s="3">
        <f t="shared" si="7"/>
        <v>3.291668838936737</v>
      </c>
    </row>
    <row r="73" spans="1:33" x14ac:dyDescent="0.25">
      <c r="A73" t="s">
        <v>46</v>
      </c>
      <c r="B73" t="s">
        <v>0</v>
      </c>
      <c r="C73">
        <v>63</v>
      </c>
      <c r="D73">
        <v>224</v>
      </c>
      <c r="E73" s="2">
        <v>10</v>
      </c>
      <c r="F73" t="s">
        <v>35</v>
      </c>
      <c r="I73" s="6">
        <v>7.4</v>
      </c>
      <c r="J73" s="4">
        <v>0.2339304531085353</v>
      </c>
      <c r="K73" s="10">
        <v>84</v>
      </c>
      <c r="L73" s="6">
        <v>7.8896217803706792</v>
      </c>
      <c r="M73" s="6">
        <f t="shared" si="5"/>
        <v>0.95972385492728274</v>
      </c>
      <c r="O73">
        <v>224</v>
      </c>
      <c r="R73" s="3">
        <v>3.74</v>
      </c>
      <c r="S73" s="9">
        <v>0.35875706214689268</v>
      </c>
      <c r="T73" s="11">
        <v>108</v>
      </c>
      <c r="U73" s="3">
        <v>4.2066134794824661</v>
      </c>
      <c r="V73" s="3">
        <f t="shared" si="4"/>
        <v>0.78475919261305671</v>
      </c>
      <c r="W73" s="9"/>
      <c r="X73">
        <v>224</v>
      </c>
      <c r="AA73" s="3">
        <v>6.84</v>
      </c>
      <c r="AB73" s="9">
        <v>0.19146341463414634</v>
      </c>
      <c r="AD73" s="3">
        <v>6.84</v>
      </c>
      <c r="AE73" s="6">
        <f t="shared" si="6"/>
        <v>0.68099707317073177</v>
      </c>
      <c r="AG73" s="3">
        <f t="shared" si="7"/>
        <v>2.4254801207110712</v>
      </c>
    </row>
    <row r="74" spans="1:33" x14ac:dyDescent="0.25">
      <c r="A74" t="s">
        <v>46</v>
      </c>
      <c r="B74" t="s">
        <v>0</v>
      </c>
      <c r="C74">
        <v>63</v>
      </c>
      <c r="D74">
        <v>225</v>
      </c>
      <c r="E74" s="2">
        <v>25</v>
      </c>
      <c r="F74" t="s">
        <v>8</v>
      </c>
      <c r="G74" s="2">
        <v>912</v>
      </c>
      <c r="H74" s="2">
        <v>242</v>
      </c>
      <c r="I74" s="6">
        <v>15.78</v>
      </c>
      <c r="J74" s="4">
        <v>0.23863636363636365</v>
      </c>
      <c r="K74" s="10">
        <v>90</v>
      </c>
      <c r="L74" s="6">
        <v>16.315347178518984</v>
      </c>
      <c r="M74" s="6">
        <f t="shared" si="5"/>
        <v>2.0245862635162193</v>
      </c>
      <c r="O74">
        <v>225</v>
      </c>
      <c r="P74">
        <v>620</v>
      </c>
      <c r="Q74">
        <v>245</v>
      </c>
      <c r="R74" s="3">
        <v>3.74</v>
      </c>
      <c r="S74" s="9">
        <v>0.36224489795918369</v>
      </c>
      <c r="T74" s="11">
        <v>115</v>
      </c>
      <c r="U74" s="3">
        <v>4.2446844946329962</v>
      </c>
      <c r="V74" s="3">
        <f t="shared" si="4"/>
        <v>0.79955995684617465</v>
      </c>
      <c r="W74" s="9"/>
      <c r="X74">
        <v>225</v>
      </c>
      <c r="Y74">
        <v>997</v>
      </c>
      <c r="Z74">
        <v>217</v>
      </c>
      <c r="AA74" s="3">
        <v>6.98</v>
      </c>
      <c r="AB74" s="9">
        <v>0.19170984455958548</v>
      </c>
      <c r="AD74" s="3">
        <v>6.98</v>
      </c>
      <c r="AE74" s="6">
        <f t="shared" si="6"/>
        <v>0.69583005181347146</v>
      </c>
      <c r="AG74" s="3">
        <f t="shared" si="7"/>
        <v>3.5199762721758656</v>
      </c>
    </row>
    <row r="75" spans="1:33" x14ac:dyDescent="0.25">
      <c r="A75" t="s">
        <v>46</v>
      </c>
      <c r="B75" t="s">
        <v>0</v>
      </c>
      <c r="C75">
        <v>63</v>
      </c>
      <c r="D75">
        <v>226</v>
      </c>
      <c r="E75" s="2">
        <v>20</v>
      </c>
      <c r="F75" t="s">
        <v>28</v>
      </c>
      <c r="I75" s="6">
        <v>13.12</v>
      </c>
      <c r="J75" s="4">
        <v>0.23863636363636365</v>
      </c>
      <c r="K75" s="10">
        <v>91</v>
      </c>
      <c r="L75" s="6">
        <v>13.664577302286553</v>
      </c>
      <c r="M75" s="6">
        <f t="shared" si="5"/>
        <v>1.6956498197837404</v>
      </c>
      <c r="O75">
        <v>226</v>
      </c>
      <c r="R75" s="3">
        <v>3.1</v>
      </c>
      <c r="S75" s="9">
        <v>0.36224489795918369</v>
      </c>
      <c r="T75" s="11">
        <v>149</v>
      </c>
      <c r="U75" s="3">
        <v>3.8114227213501275</v>
      </c>
      <c r="V75" s="3">
        <f t="shared" si="4"/>
        <v>0.71794758608289133</v>
      </c>
      <c r="W75" s="9"/>
      <c r="X75">
        <v>226</v>
      </c>
      <c r="AA75" s="3">
        <v>5.78</v>
      </c>
      <c r="AB75" s="9">
        <v>0.19170984455958548</v>
      </c>
      <c r="AD75" s="3">
        <v>5.78</v>
      </c>
      <c r="AE75" s="6">
        <f t="shared" si="6"/>
        <v>0.57620310880829007</v>
      </c>
      <c r="AG75" s="3">
        <f t="shared" si="7"/>
        <v>2.9898005146749216</v>
      </c>
    </row>
    <row r="76" spans="1:33" x14ac:dyDescent="0.25">
      <c r="A76" t="s">
        <v>46</v>
      </c>
      <c r="B76" t="s">
        <v>0</v>
      </c>
      <c r="C76">
        <v>63</v>
      </c>
      <c r="D76">
        <v>227</v>
      </c>
      <c r="E76" s="2">
        <v>17</v>
      </c>
      <c r="F76" t="s">
        <v>17</v>
      </c>
      <c r="I76" s="6">
        <v>13.2</v>
      </c>
      <c r="J76" s="4">
        <v>0.23863636363636365</v>
      </c>
      <c r="K76" s="10">
        <v>72</v>
      </c>
      <c r="L76" s="6">
        <v>13.569204950702748</v>
      </c>
      <c r="M76" s="6">
        <f t="shared" si="5"/>
        <v>1.6838149779735685</v>
      </c>
      <c r="O76">
        <v>227</v>
      </c>
      <c r="R76" s="3">
        <v>3.18</v>
      </c>
      <c r="S76" s="9">
        <v>0.36224489795918369</v>
      </c>
      <c r="T76" s="11">
        <v>177</v>
      </c>
      <c r="U76" s="3">
        <v>4.0616777315877641</v>
      </c>
      <c r="V76" s="3">
        <f t="shared" si="4"/>
        <v>0.76508745841949122</v>
      </c>
      <c r="W76" s="9"/>
      <c r="X76">
        <v>227</v>
      </c>
      <c r="AA76" s="3">
        <v>4.9000000000000004</v>
      </c>
      <c r="AB76" s="9">
        <v>0.19170984455958548</v>
      </c>
      <c r="AD76" s="3">
        <v>4.9000000000000004</v>
      </c>
      <c r="AE76" s="6">
        <f t="shared" si="6"/>
        <v>0.48847668393782384</v>
      </c>
      <c r="AG76" s="3">
        <f t="shared" si="7"/>
        <v>2.9373791203308839</v>
      </c>
    </row>
    <row r="77" spans="1:33" x14ac:dyDescent="0.25">
      <c r="A77" t="s">
        <v>46</v>
      </c>
      <c r="B77" t="s">
        <v>0</v>
      </c>
      <c r="C77">
        <v>63</v>
      </c>
      <c r="D77">
        <v>228</v>
      </c>
      <c r="E77" s="2">
        <v>36</v>
      </c>
      <c r="F77" t="s">
        <v>27</v>
      </c>
      <c r="I77" s="6">
        <v>12.84</v>
      </c>
      <c r="J77" s="4">
        <v>0.23863636363636365</v>
      </c>
      <c r="K77" s="10">
        <v>87</v>
      </c>
      <c r="L77" s="6">
        <v>13.347656807216278</v>
      </c>
      <c r="M77" s="6">
        <f t="shared" si="5"/>
        <v>1.6563228674409292</v>
      </c>
      <c r="O77">
        <v>228</v>
      </c>
      <c r="R77" s="3">
        <v>2.36</v>
      </c>
      <c r="S77" s="9">
        <v>0.36224489795918369</v>
      </c>
      <c r="T77" s="11">
        <v>193</v>
      </c>
      <c r="U77" s="3">
        <v>3.3389663088664143</v>
      </c>
      <c r="V77" s="3">
        <f t="shared" si="4"/>
        <v>0.62895222511912263</v>
      </c>
      <c r="W77" s="9"/>
      <c r="X77">
        <v>228</v>
      </c>
      <c r="AA77" s="3">
        <v>5.12</v>
      </c>
      <c r="AB77" s="9">
        <v>0.19170984455958548</v>
      </c>
      <c r="AD77" s="3">
        <v>5.12</v>
      </c>
      <c r="AE77" s="6">
        <f t="shared" si="6"/>
        <v>0.51040829015544043</v>
      </c>
      <c r="AG77" s="3">
        <f t="shared" si="7"/>
        <v>2.7956833827154921</v>
      </c>
    </row>
    <row r="78" spans="1:33" x14ac:dyDescent="0.25">
      <c r="A78" t="s">
        <v>46</v>
      </c>
      <c r="B78" t="s">
        <v>0</v>
      </c>
      <c r="C78">
        <v>63</v>
      </c>
      <c r="D78">
        <v>229</v>
      </c>
      <c r="E78" s="2">
        <v>1</v>
      </c>
      <c r="F78" t="s">
        <v>6</v>
      </c>
      <c r="G78" s="2">
        <v>936</v>
      </c>
      <c r="H78" s="2">
        <v>242</v>
      </c>
      <c r="I78" s="6">
        <v>13.28</v>
      </c>
      <c r="J78" s="4">
        <v>0.23230088495575221</v>
      </c>
      <c r="K78" s="10">
        <v>87</v>
      </c>
      <c r="L78" s="6">
        <v>13.801501992867632</v>
      </c>
      <c r="M78" s="6">
        <f t="shared" si="5"/>
        <v>1.6671725858640989</v>
      </c>
      <c r="O78">
        <v>229</v>
      </c>
      <c r="P78">
        <v>735</v>
      </c>
      <c r="Q78">
        <v>280</v>
      </c>
      <c r="R78" s="3">
        <v>2.46</v>
      </c>
      <c r="S78" s="9">
        <v>0.35277382645803701</v>
      </c>
      <c r="T78" s="11">
        <v>189</v>
      </c>
      <c r="U78" s="3">
        <v>3.4402739093363648</v>
      </c>
      <c r="V78" s="3">
        <f t="shared" si="4"/>
        <v>0.63109206735137646</v>
      </c>
      <c r="W78" s="9"/>
      <c r="X78">
        <v>229</v>
      </c>
      <c r="Y78">
        <v>691</v>
      </c>
      <c r="Z78">
        <v>180</v>
      </c>
      <c r="AA78" s="3">
        <v>4.8</v>
      </c>
      <c r="AB78" s="9">
        <v>0.22458270106221548</v>
      </c>
      <c r="AC78">
        <v>72</v>
      </c>
      <c r="AD78" s="3">
        <v>5.19</v>
      </c>
      <c r="AE78" s="6">
        <f t="shared" si="6"/>
        <v>0.60610379362670719</v>
      </c>
      <c r="AG78" s="3">
        <f t="shared" si="7"/>
        <v>2.9043684468421822</v>
      </c>
    </row>
    <row r="79" spans="1:33" x14ac:dyDescent="0.25">
      <c r="A79" t="s">
        <v>46</v>
      </c>
      <c r="B79" t="s">
        <v>0</v>
      </c>
      <c r="C79">
        <v>63</v>
      </c>
      <c r="D79">
        <v>230</v>
      </c>
      <c r="E79" s="2">
        <v>22</v>
      </c>
      <c r="F79" t="s">
        <v>7</v>
      </c>
      <c r="I79" s="6">
        <v>15.94</v>
      </c>
      <c r="J79" s="4">
        <v>0.23230088495575221</v>
      </c>
      <c r="K79" s="10">
        <v>112</v>
      </c>
      <c r="L79" s="6">
        <v>16.698548353262009</v>
      </c>
      <c r="M79" s="6">
        <f t="shared" si="5"/>
        <v>2.0171255311683756</v>
      </c>
      <c r="O79">
        <v>230</v>
      </c>
      <c r="R79" s="3">
        <v>2.42</v>
      </c>
      <c r="S79" s="9">
        <v>0.35277382645803701</v>
      </c>
      <c r="T79" s="11">
        <v>169</v>
      </c>
      <c r="U79" s="3">
        <v>3.2753982520960636</v>
      </c>
      <c r="V79" s="3">
        <f t="shared" si="4"/>
        <v>0.60084688277426512</v>
      </c>
      <c r="W79" s="9"/>
      <c r="X79">
        <v>230</v>
      </c>
      <c r="AA79" s="3">
        <v>5.42</v>
      </c>
      <c r="AB79" s="9">
        <v>0.22458270106221548</v>
      </c>
      <c r="AD79" s="3">
        <v>5.42</v>
      </c>
      <c r="AE79" s="6">
        <f t="shared" si="6"/>
        <v>0.63296388467374809</v>
      </c>
      <c r="AG79" s="3">
        <f t="shared" si="7"/>
        <v>3.2509362986163888</v>
      </c>
    </row>
    <row r="80" spans="1:33" x14ac:dyDescent="0.25">
      <c r="A80" t="s">
        <v>46</v>
      </c>
      <c r="B80" t="s">
        <v>0</v>
      </c>
      <c r="C80">
        <v>63</v>
      </c>
      <c r="D80">
        <v>231</v>
      </c>
      <c r="E80" s="2">
        <v>35</v>
      </c>
      <c r="F80" t="s">
        <v>26</v>
      </c>
      <c r="I80" s="6">
        <v>13.72</v>
      </c>
      <c r="J80" s="4">
        <v>0.23230088495575221</v>
      </c>
      <c r="K80" s="10">
        <v>114</v>
      </c>
      <c r="L80" s="6">
        <v>14.497512062093561</v>
      </c>
      <c r="M80" s="6">
        <f t="shared" si="5"/>
        <v>1.7512481384741336</v>
      </c>
      <c r="O80">
        <v>231</v>
      </c>
      <c r="R80" s="3">
        <v>5.72</v>
      </c>
      <c r="S80" s="9">
        <v>0.35277382645803701</v>
      </c>
      <c r="T80" s="11">
        <v>124</v>
      </c>
      <c r="U80" s="3">
        <v>6.294428023305386</v>
      </c>
      <c r="V80" s="3">
        <f t="shared" si="4"/>
        <v>1.1546649187559923</v>
      </c>
      <c r="W80" s="9"/>
      <c r="X80">
        <v>231</v>
      </c>
      <c r="AA80" s="3">
        <v>5.68</v>
      </c>
      <c r="AB80" s="9">
        <v>0.22458270106221548</v>
      </c>
      <c r="AD80" s="3">
        <v>5.68</v>
      </c>
      <c r="AE80" s="6">
        <f t="shared" si="6"/>
        <v>0.66332746585735958</v>
      </c>
      <c r="AG80" s="3">
        <f t="shared" si="7"/>
        <v>3.5692405230874855</v>
      </c>
    </row>
    <row r="81" spans="1:33" x14ac:dyDescent="0.25">
      <c r="A81" t="s">
        <v>46</v>
      </c>
      <c r="B81" t="s">
        <v>0</v>
      </c>
      <c r="C81">
        <v>63</v>
      </c>
      <c r="D81">
        <v>232</v>
      </c>
      <c r="E81" s="2">
        <v>27</v>
      </c>
      <c r="F81" t="s">
        <v>14</v>
      </c>
      <c r="I81" s="6">
        <v>10.94</v>
      </c>
      <c r="J81" s="4">
        <v>0.23230088495575221</v>
      </c>
      <c r="K81" s="10">
        <v>60</v>
      </c>
      <c r="L81" s="6">
        <v>11.205491923641702</v>
      </c>
      <c r="M81" s="6">
        <f t="shared" si="5"/>
        <v>1.3535837589177808</v>
      </c>
      <c r="O81">
        <v>232</v>
      </c>
      <c r="R81" s="3">
        <v>4.2</v>
      </c>
      <c r="S81" s="9">
        <v>0.35277382645803701</v>
      </c>
      <c r="T81" s="11">
        <v>110</v>
      </c>
      <c r="U81" s="3">
        <v>4.6870150632371752</v>
      </c>
      <c r="V81" s="3">
        <f t="shared" si="4"/>
        <v>0.85979724403281099</v>
      </c>
      <c r="W81" s="9"/>
      <c r="X81">
        <v>232</v>
      </c>
      <c r="AA81" s="3">
        <v>4.82</v>
      </c>
      <c r="AB81" s="9">
        <v>0.22458270106221548</v>
      </c>
      <c r="AD81" s="3">
        <v>4.82</v>
      </c>
      <c r="AE81" s="6">
        <f t="shared" si="6"/>
        <v>0.56289408194233692</v>
      </c>
      <c r="AG81" s="3">
        <f t="shared" si="7"/>
        <v>2.7762750848929287</v>
      </c>
    </row>
    <row r="82" spans="1:33" x14ac:dyDescent="0.25">
      <c r="A82" t="s">
        <v>46</v>
      </c>
      <c r="B82" t="s">
        <v>0</v>
      </c>
      <c r="C82">
        <v>63</v>
      </c>
      <c r="D82">
        <v>233</v>
      </c>
      <c r="E82" s="2">
        <v>6</v>
      </c>
      <c r="F82" t="s">
        <v>1</v>
      </c>
      <c r="G82" s="2">
        <v>865</v>
      </c>
      <c r="H82" s="2">
        <v>246</v>
      </c>
      <c r="I82" s="6">
        <v>13.94</v>
      </c>
      <c r="J82" s="4">
        <v>0.25690276110444177</v>
      </c>
      <c r="K82" s="10">
        <v>78</v>
      </c>
      <c r="L82" s="6">
        <v>14.334396640454527</v>
      </c>
      <c r="M82" s="6">
        <f t="shared" si="5"/>
        <v>1.914923959363481</v>
      </c>
      <c r="O82">
        <v>233</v>
      </c>
      <c r="P82">
        <v>811</v>
      </c>
      <c r="Q82">
        <v>296</v>
      </c>
      <c r="R82" s="3">
        <v>5.38</v>
      </c>
      <c r="S82" s="9">
        <v>0.33889602053915274</v>
      </c>
      <c r="T82" s="11">
        <v>150</v>
      </c>
      <c r="U82" s="3">
        <v>6.1469369910559335</v>
      </c>
      <c r="V82" s="3">
        <f t="shared" si="4"/>
        <v>1.0832496920823602</v>
      </c>
      <c r="W82" s="9"/>
      <c r="X82">
        <v>233</v>
      </c>
      <c r="Y82">
        <v>734</v>
      </c>
      <c r="Z82">
        <v>191</v>
      </c>
      <c r="AA82" s="3">
        <v>3.9</v>
      </c>
      <c r="AB82" s="9">
        <v>0.2264957264957265</v>
      </c>
      <c r="AC82">
        <v>77</v>
      </c>
      <c r="AD82" s="3">
        <v>4.34</v>
      </c>
      <c r="AE82" s="6">
        <f t="shared" si="6"/>
        <v>0.51115555555555559</v>
      </c>
      <c r="AG82" s="3">
        <f t="shared" si="7"/>
        <v>3.5093292070013966</v>
      </c>
    </row>
    <row r="83" spans="1:33" x14ac:dyDescent="0.25">
      <c r="A83" t="s">
        <v>46</v>
      </c>
      <c r="B83" t="s">
        <v>0</v>
      </c>
      <c r="C83">
        <v>63</v>
      </c>
      <c r="D83">
        <v>234</v>
      </c>
      <c r="E83" s="2">
        <v>4</v>
      </c>
      <c r="F83" t="s">
        <v>2</v>
      </c>
      <c r="I83" s="6">
        <v>9.24</v>
      </c>
      <c r="J83" s="4">
        <v>0.25690276110444177</v>
      </c>
      <c r="K83" s="10">
        <v>76</v>
      </c>
      <c r="L83" s="6">
        <v>9.6172489604347646</v>
      </c>
      <c r="M83" s="6">
        <f t="shared" si="5"/>
        <v>1.2847628623255469</v>
      </c>
      <c r="O83">
        <v>234</v>
      </c>
      <c r="R83" s="3">
        <v>3.94</v>
      </c>
      <c r="S83" s="9">
        <v>0.33889602053915274</v>
      </c>
      <c r="T83" s="11">
        <v>144</v>
      </c>
      <c r="U83" s="3">
        <v>4.667940194900547</v>
      </c>
      <c r="V83" s="3">
        <f t="shared" si="4"/>
        <v>0.82261210520660721</v>
      </c>
      <c r="W83" s="9"/>
      <c r="X83">
        <v>234</v>
      </c>
      <c r="AA83" s="3">
        <v>5.0199999999999996</v>
      </c>
      <c r="AB83" s="9">
        <v>0.2264957264957265</v>
      </c>
      <c r="AC83">
        <v>92</v>
      </c>
      <c r="AD83" s="3">
        <v>5.6</v>
      </c>
      <c r="AE83" s="6">
        <f t="shared" si="6"/>
        <v>0.65955555555555556</v>
      </c>
      <c r="AG83" s="3">
        <f t="shared" si="7"/>
        <v>2.7669305230877095</v>
      </c>
    </row>
    <row r="84" spans="1:33" x14ac:dyDescent="0.25">
      <c r="A84" t="s">
        <v>46</v>
      </c>
      <c r="B84" t="s">
        <v>0</v>
      </c>
      <c r="C84">
        <v>63</v>
      </c>
      <c r="D84">
        <v>235</v>
      </c>
      <c r="E84" s="2">
        <v>12</v>
      </c>
      <c r="F84" t="s">
        <v>33</v>
      </c>
      <c r="I84" s="6">
        <v>14.72</v>
      </c>
      <c r="J84" s="4">
        <v>0.25690276110444177</v>
      </c>
      <c r="K84" s="10">
        <v>98</v>
      </c>
      <c r="L84" s="6">
        <v>15.285873440652148</v>
      </c>
      <c r="M84" s="6">
        <f t="shared" si="5"/>
        <v>2.0420312082542269</v>
      </c>
      <c r="O84">
        <v>235</v>
      </c>
      <c r="R84" s="3">
        <v>6.82</v>
      </c>
      <c r="S84" s="9">
        <v>0.33889602053915274</v>
      </c>
      <c r="T84" s="11">
        <v>132</v>
      </c>
      <c r="U84" s="3">
        <v>7.4699466025897747</v>
      </c>
      <c r="V84" s="3">
        <f t="shared" si="4"/>
        <v>1.3163982921739721</v>
      </c>
      <c r="W84" s="9"/>
      <c r="X84">
        <v>235</v>
      </c>
      <c r="AA84" s="3">
        <v>6.12</v>
      </c>
      <c r="AB84" s="9">
        <v>0.2264957264957265</v>
      </c>
      <c r="AD84" s="3">
        <v>6.12</v>
      </c>
      <c r="AE84" s="6">
        <f t="shared" si="6"/>
        <v>0.7208</v>
      </c>
      <c r="AG84" s="3">
        <f t="shared" si="7"/>
        <v>4.0792295004281991</v>
      </c>
    </row>
    <row r="85" spans="1:33" x14ac:dyDescent="0.25">
      <c r="A85" t="s">
        <v>46</v>
      </c>
      <c r="B85" t="s">
        <v>0</v>
      </c>
      <c r="C85">
        <v>63</v>
      </c>
      <c r="D85">
        <v>236</v>
      </c>
      <c r="E85" s="2">
        <v>19</v>
      </c>
      <c r="F85" t="s">
        <v>10</v>
      </c>
      <c r="I85" s="6">
        <v>15.8</v>
      </c>
      <c r="J85" s="4">
        <v>0.25690276110444177</v>
      </c>
      <c r="K85" s="10">
        <v>89</v>
      </c>
      <c r="L85" s="6">
        <v>16.28870888056322</v>
      </c>
      <c r="M85" s="6">
        <f t="shared" si="5"/>
        <v>2.1759994288464286</v>
      </c>
      <c r="O85">
        <v>236</v>
      </c>
      <c r="R85" s="3">
        <v>6.44</v>
      </c>
      <c r="S85" s="9">
        <v>0.33889602053915274</v>
      </c>
      <c r="T85" s="11">
        <v>192</v>
      </c>
      <c r="U85" s="3">
        <v>7.4799145641436393</v>
      </c>
      <c r="V85" s="3">
        <f t="shared" si="4"/>
        <v>1.318154905475788</v>
      </c>
      <c r="W85" s="9"/>
      <c r="X85">
        <v>236</v>
      </c>
      <c r="AA85" s="3">
        <v>6.2</v>
      </c>
      <c r="AB85" s="9">
        <v>0.2264957264957265</v>
      </c>
      <c r="AD85" s="3">
        <v>6.2</v>
      </c>
      <c r="AE85" s="6">
        <f t="shared" si="6"/>
        <v>0.73022222222222233</v>
      </c>
      <c r="AG85" s="3">
        <f t="shared" si="7"/>
        <v>4.2243765565444384</v>
      </c>
    </row>
    <row r="86" spans="1:33" x14ac:dyDescent="0.25">
      <c r="A86" t="s">
        <v>46</v>
      </c>
      <c r="B86" t="s">
        <v>0</v>
      </c>
      <c r="C86">
        <v>63</v>
      </c>
      <c r="D86">
        <v>237</v>
      </c>
      <c r="E86" s="2">
        <v>7</v>
      </c>
      <c r="F86" t="s">
        <v>16</v>
      </c>
      <c r="G86" s="2">
        <v>811</v>
      </c>
      <c r="H86" s="2">
        <v>224</v>
      </c>
      <c r="I86" s="6">
        <v>11.48</v>
      </c>
      <c r="J86" s="4">
        <v>0.24646983311938384</v>
      </c>
      <c r="K86" s="10">
        <v>94</v>
      </c>
      <c r="L86" s="6">
        <v>12.034079478707783</v>
      </c>
      <c r="M86" s="6">
        <f t="shared" si="5"/>
        <v>1.5423395316485047</v>
      </c>
      <c r="O86">
        <v>237</v>
      </c>
      <c r="P86">
        <v>674</v>
      </c>
      <c r="Q86">
        <v>258</v>
      </c>
      <c r="R86" s="3">
        <v>4.78</v>
      </c>
      <c r="S86" s="9">
        <v>0.35202492211838005</v>
      </c>
      <c r="T86" s="11">
        <v>173</v>
      </c>
      <c r="U86" s="3">
        <v>5.6622463061868933</v>
      </c>
      <c r="V86" s="3">
        <f t="shared" si="4"/>
        <v>1.0364909437742738</v>
      </c>
      <c r="W86" s="9"/>
      <c r="X86">
        <v>237</v>
      </c>
      <c r="Y86">
        <v>543</v>
      </c>
      <c r="Z86">
        <v>144</v>
      </c>
      <c r="AA86" s="3">
        <v>5.0199999999999996</v>
      </c>
      <c r="AB86" s="9">
        <v>0.21917808219178081</v>
      </c>
      <c r="AD86" s="3">
        <v>5.0199999999999996</v>
      </c>
      <c r="AE86" s="6">
        <f t="shared" si="6"/>
        <v>0.57214246575342453</v>
      </c>
      <c r="AG86" s="3">
        <f t="shared" si="7"/>
        <v>3.1509729411762031</v>
      </c>
    </row>
    <row r="87" spans="1:33" x14ac:dyDescent="0.25">
      <c r="A87" t="s">
        <v>46</v>
      </c>
      <c r="B87" t="s">
        <v>0</v>
      </c>
      <c r="C87">
        <v>63</v>
      </c>
      <c r="D87">
        <v>238</v>
      </c>
      <c r="E87" s="2">
        <v>16</v>
      </c>
      <c r="F87" t="s">
        <v>12</v>
      </c>
      <c r="I87" s="6">
        <v>12.14</v>
      </c>
      <c r="J87" s="4">
        <v>0.24646983311938384</v>
      </c>
      <c r="K87" s="10">
        <v>66</v>
      </c>
      <c r="L87" s="6">
        <v>12.443850036710721</v>
      </c>
      <c r="M87" s="6">
        <f t="shared" si="5"/>
        <v>1.5948574937935796</v>
      </c>
      <c r="O87">
        <v>238</v>
      </c>
      <c r="R87" s="3">
        <v>4.34</v>
      </c>
      <c r="S87" s="9">
        <v>0.35202492211838005</v>
      </c>
      <c r="T87" s="11">
        <v>120</v>
      </c>
      <c r="U87" s="3">
        <v>4.8906218081166424</v>
      </c>
      <c r="V87" s="3">
        <f t="shared" si="4"/>
        <v>0.89524279577861032</v>
      </c>
      <c r="W87" s="9"/>
      <c r="X87">
        <v>238</v>
      </c>
      <c r="AA87" s="3">
        <v>4.78</v>
      </c>
      <c r="AB87" s="9">
        <v>0.21917808219178081</v>
      </c>
      <c r="AD87" s="3">
        <v>4.78</v>
      </c>
      <c r="AE87" s="6">
        <f t="shared" si="6"/>
        <v>0.54478904109589044</v>
      </c>
      <c r="AG87" s="3">
        <f t="shared" si="7"/>
        <v>3.0348893306680802</v>
      </c>
    </row>
    <row r="88" spans="1:33" x14ac:dyDescent="0.25">
      <c r="A88" t="s">
        <v>46</v>
      </c>
      <c r="B88" t="s">
        <v>0</v>
      </c>
      <c r="C88">
        <v>63</v>
      </c>
      <c r="D88">
        <v>239</v>
      </c>
      <c r="E88" s="2">
        <v>30</v>
      </c>
      <c r="F88" t="s">
        <v>9</v>
      </c>
      <c r="I88" s="6">
        <v>11.58</v>
      </c>
      <c r="J88" s="4">
        <v>0.24646983311938384</v>
      </c>
      <c r="K88" s="10">
        <v>83</v>
      </c>
      <c r="L88" s="6">
        <v>12.035775055066079</v>
      </c>
      <c r="M88" s="6">
        <f t="shared" si="5"/>
        <v>1.5425568440279813</v>
      </c>
      <c r="O88">
        <v>239</v>
      </c>
      <c r="R88" s="3">
        <v>4.88</v>
      </c>
      <c r="S88" s="9">
        <v>0.35202492211838005</v>
      </c>
      <c r="T88" s="11">
        <v>119</v>
      </c>
      <c r="U88" s="3">
        <v>5.4243647421153174</v>
      </c>
      <c r="V88" s="3">
        <f t="shared" si="4"/>
        <v>0.99294601946011229</v>
      </c>
      <c r="W88" s="9"/>
      <c r="X88">
        <v>239</v>
      </c>
      <c r="AA88" s="3">
        <v>5.0199999999999996</v>
      </c>
      <c r="AB88" s="9">
        <v>0.21917808219178081</v>
      </c>
      <c r="AD88" s="3">
        <v>5.0199999999999996</v>
      </c>
      <c r="AE88" s="6">
        <f t="shared" si="6"/>
        <v>0.57214246575342453</v>
      </c>
      <c r="AG88" s="3">
        <f t="shared" si="7"/>
        <v>3.1076453292415183</v>
      </c>
    </row>
    <row r="89" spans="1:33" x14ac:dyDescent="0.25">
      <c r="A89" t="s">
        <v>46</v>
      </c>
      <c r="B89" t="s">
        <v>0</v>
      </c>
      <c r="C89">
        <v>63</v>
      </c>
      <c r="D89">
        <v>240</v>
      </c>
      <c r="E89" s="2">
        <v>15</v>
      </c>
      <c r="F89" t="s">
        <v>20</v>
      </c>
      <c r="I89" s="6">
        <v>13.38</v>
      </c>
      <c r="J89" s="4">
        <v>0.24646983311938384</v>
      </c>
      <c r="K89" s="10">
        <v>94</v>
      </c>
      <c r="L89" s="6">
        <v>13.934079478707783</v>
      </c>
      <c r="M89" s="6">
        <f t="shared" si="5"/>
        <v>1.7858517267704559</v>
      </c>
      <c r="O89">
        <v>240</v>
      </c>
      <c r="R89" s="3">
        <v>4.82</v>
      </c>
      <c r="S89" s="9">
        <v>0.35202492211838005</v>
      </c>
      <c r="T89" s="11">
        <v>195</v>
      </c>
      <c r="U89" s="3">
        <v>5.8399017582160546</v>
      </c>
      <c r="V89" s="3">
        <f t="shared" si="4"/>
        <v>1.0690113000397987</v>
      </c>
      <c r="W89" s="9"/>
      <c r="X89">
        <v>240</v>
      </c>
      <c r="AA89" s="3">
        <v>4.82</v>
      </c>
      <c r="AB89" s="9">
        <v>0.21917808219178081</v>
      </c>
      <c r="AD89" s="3">
        <v>4.82</v>
      </c>
      <c r="AE89" s="6">
        <f t="shared" si="6"/>
        <v>0.54934794520547947</v>
      </c>
      <c r="AG89" s="3">
        <f t="shared" si="7"/>
        <v>3.4042109720157336</v>
      </c>
    </row>
    <row r="90" spans="1:33" x14ac:dyDescent="0.25">
      <c r="A90" t="s">
        <v>46</v>
      </c>
      <c r="B90" t="s">
        <v>0</v>
      </c>
      <c r="C90">
        <v>63</v>
      </c>
      <c r="D90">
        <v>241</v>
      </c>
      <c r="E90" s="2">
        <v>2</v>
      </c>
      <c r="F90" t="s">
        <v>4</v>
      </c>
      <c r="G90" s="2">
        <v>943</v>
      </c>
      <c r="H90" s="2">
        <v>263</v>
      </c>
      <c r="I90" s="6">
        <v>15.02</v>
      </c>
      <c r="J90" s="4">
        <v>0.25356750823271129</v>
      </c>
      <c r="K90" s="10">
        <v>69</v>
      </c>
      <c r="L90" s="6">
        <v>15.341404733299006</v>
      </c>
      <c r="M90" s="6">
        <f t="shared" si="5"/>
        <v>2.0228425209263192</v>
      </c>
      <c r="O90">
        <v>241</v>
      </c>
      <c r="P90">
        <v>823</v>
      </c>
      <c r="Q90">
        <v>316</v>
      </c>
      <c r="R90" s="3">
        <v>5.26</v>
      </c>
      <c r="S90" s="9">
        <v>0.359039190897598</v>
      </c>
      <c r="T90" s="11">
        <v>184</v>
      </c>
      <c r="U90" s="3">
        <v>6.1924936402556305</v>
      </c>
      <c r="V90" s="3">
        <f t="shared" si="4"/>
        <v>1.1561409112426695</v>
      </c>
      <c r="W90" s="9"/>
      <c r="X90">
        <v>241</v>
      </c>
      <c r="Y90">
        <v>839</v>
      </c>
      <c r="Z90">
        <v>219</v>
      </c>
      <c r="AA90" s="3">
        <v>5.38</v>
      </c>
      <c r="AB90" s="9">
        <v>0.23172242874845106</v>
      </c>
      <c r="AC90">
        <v>94</v>
      </c>
      <c r="AD90" s="3">
        <v>5.97</v>
      </c>
      <c r="AE90" s="6">
        <f t="shared" si="6"/>
        <v>0.71935910780669143</v>
      </c>
      <c r="AG90" s="3">
        <f t="shared" si="7"/>
        <v>3.8983425399756801</v>
      </c>
    </row>
    <row r="91" spans="1:33" x14ac:dyDescent="0.25">
      <c r="A91" t="s">
        <v>46</v>
      </c>
      <c r="B91" t="s">
        <v>0</v>
      </c>
      <c r="C91">
        <v>63</v>
      </c>
      <c r="D91">
        <v>242</v>
      </c>
      <c r="E91" s="2">
        <v>13</v>
      </c>
      <c r="F91" t="s">
        <v>24</v>
      </c>
      <c r="I91" s="6">
        <v>14.68</v>
      </c>
      <c r="J91" s="4">
        <v>0.25356750823271129</v>
      </c>
      <c r="K91" s="10">
        <v>85</v>
      </c>
      <c r="L91" s="6">
        <v>15.140390563914792</v>
      </c>
      <c r="M91" s="6">
        <f t="shared" si="5"/>
        <v>1.9963377766602028</v>
      </c>
      <c r="O91">
        <v>242</v>
      </c>
      <c r="R91" s="3">
        <v>5.72</v>
      </c>
      <c r="S91" s="9">
        <v>0.359039190897598</v>
      </c>
      <c r="T91" s="11">
        <v>145</v>
      </c>
      <c r="U91" s="3">
        <v>6.4132354036110932</v>
      </c>
      <c r="V91" s="3">
        <f t="shared" si="4"/>
        <v>1.1973534821811458</v>
      </c>
      <c r="W91" s="9"/>
      <c r="X91">
        <v>242</v>
      </c>
      <c r="AA91" s="3">
        <v>5.68</v>
      </c>
      <c r="AB91" s="9">
        <v>0.23172242874845106</v>
      </c>
      <c r="AD91" s="3">
        <v>5.68</v>
      </c>
      <c r="AE91" s="6">
        <f t="shared" si="6"/>
        <v>0.68441536555142501</v>
      </c>
      <c r="AG91" s="3">
        <f t="shared" si="7"/>
        <v>3.8781066243927738</v>
      </c>
    </row>
    <row r="92" spans="1:33" x14ac:dyDescent="0.25">
      <c r="A92" t="s">
        <v>46</v>
      </c>
      <c r="B92" t="s">
        <v>0</v>
      </c>
      <c r="C92">
        <v>63</v>
      </c>
      <c r="D92">
        <v>243</v>
      </c>
      <c r="E92" s="2">
        <v>34</v>
      </c>
      <c r="F92" t="s">
        <v>34</v>
      </c>
      <c r="I92" s="6">
        <v>13.98</v>
      </c>
      <c r="J92" s="4">
        <v>0.25356750823271129</v>
      </c>
      <c r="K92" s="10">
        <v>89</v>
      </c>
      <c r="L92" s="6">
        <v>14.47513702156874</v>
      </c>
      <c r="M92" s="6">
        <f t="shared" si="5"/>
        <v>1.9086207014608527</v>
      </c>
      <c r="O92">
        <v>243</v>
      </c>
      <c r="R92" s="3">
        <v>4.6399999999999997</v>
      </c>
      <c r="S92" s="9">
        <v>0.359039190897598</v>
      </c>
      <c r="T92" s="11">
        <v>183</v>
      </c>
      <c r="U92" s="3">
        <v>5.5663588136750013</v>
      </c>
      <c r="V92" s="3">
        <f t="shared" si="4"/>
        <v>1.0392413016479447</v>
      </c>
      <c r="W92" s="9"/>
      <c r="X92">
        <v>243</v>
      </c>
      <c r="AA92" s="3">
        <v>6.74</v>
      </c>
      <c r="AB92" s="9">
        <v>0.23172242874845106</v>
      </c>
      <c r="AD92" s="3">
        <v>6.74</v>
      </c>
      <c r="AE92" s="6">
        <f t="shared" si="6"/>
        <v>0.81214076827757131</v>
      </c>
      <c r="AG92" s="3">
        <f t="shared" si="7"/>
        <v>3.7600027713863686</v>
      </c>
    </row>
    <row r="93" spans="1:33" x14ac:dyDescent="0.25">
      <c r="A93" t="s">
        <v>46</v>
      </c>
      <c r="B93" t="s">
        <v>0</v>
      </c>
      <c r="C93">
        <v>63</v>
      </c>
      <c r="D93">
        <v>244</v>
      </c>
      <c r="E93" s="2">
        <v>11</v>
      </c>
      <c r="F93" t="s">
        <v>15</v>
      </c>
      <c r="I93" s="6">
        <v>11.36</v>
      </c>
      <c r="J93" s="4">
        <v>0.25356750823271129</v>
      </c>
      <c r="K93" s="10">
        <v>70</v>
      </c>
      <c r="L93" s="6">
        <v>11.690091347712492</v>
      </c>
      <c r="M93" s="6">
        <f t="shared" si="5"/>
        <v>1.541398213707162</v>
      </c>
      <c r="O93">
        <v>244</v>
      </c>
      <c r="R93" s="3">
        <v>4.28</v>
      </c>
      <c r="S93" s="9">
        <v>0.359039190897598</v>
      </c>
      <c r="T93" s="11">
        <v>109</v>
      </c>
      <c r="U93" s="3">
        <v>4.7523816467084448</v>
      </c>
      <c r="V93" s="3">
        <f t="shared" si="4"/>
        <v>0.88727145586081324</v>
      </c>
      <c r="W93" s="9"/>
      <c r="X93">
        <v>244</v>
      </c>
      <c r="AA93" s="3">
        <v>6.2</v>
      </c>
      <c r="AB93" s="9">
        <v>0.23172242874845106</v>
      </c>
      <c r="AD93" s="3">
        <v>6.2</v>
      </c>
      <c r="AE93" s="6">
        <f t="shared" si="6"/>
        <v>0.74707311028500623</v>
      </c>
      <c r="AG93" s="3">
        <f t="shared" si="7"/>
        <v>3.1757427798529818</v>
      </c>
    </row>
    <row r="94" spans="1:33" x14ac:dyDescent="0.25">
      <c r="A94" t="s">
        <v>46</v>
      </c>
      <c r="B94" t="s">
        <v>0</v>
      </c>
      <c r="C94">
        <v>63</v>
      </c>
      <c r="D94">
        <v>245</v>
      </c>
      <c r="E94" s="2">
        <v>21</v>
      </c>
      <c r="F94" t="s">
        <v>22</v>
      </c>
      <c r="G94" s="2">
        <v>1043</v>
      </c>
      <c r="H94" s="2">
        <v>273</v>
      </c>
      <c r="I94" s="6">
        <v>9.76</v>
      </c>
      <c r="J94" s="4">
        <v>0.23837784371909002</v>
      </c>
      <c r="K94" s="10">
        <v>77</v>
      </c>
      <c r="L94" s="6">
        <v>10.175806021167309</v>
      </c>
      <c r="M94" s="6">
        <f t="shared" si="5"/>
        <v>1.26135708266339</v>
      </c>
      <c r="O94">
        <v>245</v>
      </c>
      <c r="P94">
        <v>630</v>
      </c>
      <c r="Q94">
        <v>247</v>
      </c>
      <c r="R94" s="3">
        <v>3.94</v>
      </c>
      <c r="S94" s="9">
        <v>0.35953177257525082</v>
      </c>
      <c r="T94" s="11">
        <v>160</v>
      </c>
      <c r="U94" s="3">
        <v>4.7241819485708429</v>
      </c>
      <c r="V94" s="3">
        <f t="shared" si="4"/>
        <v>0.88321662516759247</v>
      </c>
      <c r="W94" s="9"/>
      <c r="X94">
        <v>245</v>
      </c>
      <c r="Y94">
        <v>692</v>
      </c>
      <c r="Z94">
        <v>177</v>
      </c>
      <c r="AA94" s="3">
        <v>6.38</v>
      </c>
      <c r="AB94" s="9">
        <v>0.2196969696969697</v>
      </c>
      <c r="AD94" s="3">
        <v>6.38</v>
      </c>
      <c r="AE94" s="6">
        <f t="shared" si="6"/>
        <v>0.72886666666666666</v>
      </c>
      <c r="AG94" s="3">
        <f t="shared" si="7"/>
        <v>2.8734403744976493</v>
      </c>
    </row>
    <row r="95" spans="1:33" x14ac:dyDescent="0.25">
      <c r="A95" t="s">
        <v>46</v>
      </c>
      <c r="B95" t="s">
        <v>0</v>
      </c>
      <c r="C95">
        <v>63</v>
      </c>
      <c r="D95">
        <v>246</v>
      </c>
      <c r="E95" s="2">
        <v>23</v>
      </c>
      <c r="F95" t="s">
        <v>36</v>
      </c>
      <c r="I95" s="6">
        <v>11.54</v>
      </c>
      <c r="J95" s="4">
        <v>0.23837784371909002</v>
      </c>
      <c r="K95" s="10">
        <v>67</v>
      </c>
      <c r="L95" s="6">
        <v>11.863404683130129</v>
      </c>
      <c r="M95" s="6">
        <f t="shared" si="5"/>
        <v>1.4705458703163878</v>
      </c>
      <c r="O95">
        <v>246</v>
      </c>
      <c r="R95" s="3">
        <v>4.12</v>
      </c>
      <c r="S95" s="9">
        <v>0.35953177257525082</v>
      </c>
      <c r="T95" s="11">
        <v>104</v>
      </c>
      <c r="U95" s="3">
        <v>4.5611023460710998</v>
      </c>
      <c r="V95" s="3">
        <f t="shared" si="4"/>
        <v>0.8527278299176404</v>
      </c>
      <c r="W95" s="9"/>
      <c r="X95">
        <v>246</v>
      </c>
      <c r="AA95" s="3">
        <v>6.7</v>
      </c>
      <c r="AB95" s="9">
        <v>0.2196969696969697</v>
      </c>
      <c r="AD95" s="3">
        <v>6.7</v>
      </c>
      <c r="AE95" s="6">
        <f t="shared" si="6"/>
        <v>0.76542424242424245</v>
      </c>
      <c r="AG95" s="3">
        <f t="shared" si="7"/>
        <v>3.0886979426582708</v>
      </c>
    </row>
    <row r="96" spans="1:33" x14ac:dyDescent="0.25">
      <c r="A96" t="s">
        <v>46</v>
      </c>
      <c r="B96" t="s">
        <v>0</v>
      </c>
      <c r="C96">
        <v>63</v>
      </c>
      <c r="D96">
        <v>247</v>
      </c>
      <c r="E96" s="2">
        <v>14</v>
      </c>
      <c r="F96" t="s">
        <v>25</v>
      </c>
      <c r="I96" s="6">
        <v>15.82</v>
      </c>
      <c r="J96" s="4">
        <v>0.23837784371909002</v>
      </c>
      <c r="K96" s="10">
        <v>68</v>
      </c>
      <c r="L96" s="6">
        <v>16.152644816933847</v>
      </c>
      <c r="M96" s="6">
        <f t="shared" si="5"/>
        <v>2.0022249737469338</v>
      </c>
      <c r="O96">
        <v>247</v>
      </c>
      <c r="R96" s="3">
        <v>3.9</v>
      </c>
      <c r="S96" s="9">
        <v>0.35953177257525082</v>
      </c>
      <c r="T96" s="11">
        <v>114</v>
      </c>
      <c r="U96" s="3">
        <v>4.4023665608031965</v>
      </c>
      <c r="V96" s="3">
        <f t="shared" si="4"/>
        <v>0.82305113962842369</v>
      </c>
      <c r="W96" s="9"/>
      <c r="X96">
        <v>247</v>
      </c>
      <c r="AA96" s="3">
        <v>7.12</v>
      </c>
      <c r="AB96" s="9">
        <v>0.2196969696969697</v>
      </c>
      <c r="AD96" s="3">
        <v>7.12</v>
      </c>
      <c r="AE96" s="6">
        <f t="shared" si="6"/>
        <v>0.81340606060606058</v>
      </c>
      <c r="AG96" s="3">
        <f t="shared" si="7"/>
        <v>3.6386821739814184</v>
      </c>
    </row>
    <row r="97" spans="1:33" x14ac:dyDescent="0.25">
      <c r="A97" t="s">
        <v>46</v>
      </c>
      <c r="B97" t="s">
        <v>0</v>
      </c>
      <c r="C97">
        <v>63</v>
      </c>
      <c r="D97">
        <v>248</v>
      </c>
      <c r="E97" s="2">
        <v>33</v>
      </c>
      <c r="F97" t="s">
        <v>23</v>
      </c>
      <c r="I97" s="6">
        <v>16.7</v>
      </c>
      <c r="J97" s="4">
        <v>0.23837784371909002</v>
      </c>
      <c r="K97" s="10">
        <v>82</v>
      </c>
      <c r="L97" s="6">
        <v>17.162006690185898</v>
      </c>
      <c r="M97" s="6">
        <f t="shared" si="5"/>
        <v>2.1273419173235379</v>
      </c>
      <c r="O97">
        <v>248</v>
      </c>
      <c r="R97" s="3">
        <v>4.0599999999999996</v>
      </c>
      <c r="S97" s="9">
        <v>0.35953177257525082</v>
      </c>
      <c r="T97" s="11">
        <v>149</v>
      </c>
      <c r="U97" s="3">
        <v>4.7767913123655363</v>
      </c>
      <c r="V97" s="3">
        <f t="shared" si="4"/>
        <v>0.89305228883355681</v>
      </c>
      <c r="W97" s="9"/>
      <c r="X97">
        <v>248</v>
      </c>
      <c r="AA97" s="3">
        <v>6.64</v>
      </c>
      <c r="AB97" s="9">
        <v>0.2196969696969697</v>
      </c>
      <c r="AD97" s="3">
        <v>6.64</v>
      </c>
      <c r="AE97" s="6">
        <f t="shared" si="6"/>
        <v>0.758569696969697</v>
      </c>
      <c r="AG97" s="3">
        <f t="shared" si="7"/>
        <v>3.7789639031267916</v>
      </c>
    </row>
    <row r="98" spans="1:33" x14ac:dyDescent="0.25">
      <c r="A98" t="s">
        <v>46</v>
      </c>
      <c r="B98" t="s">
        <v>0</v>
      </c>
      <c r="C98">
        <v>63</v>
      </c>
      <c r="D98">
        <v>301</v>
      </c>
      <c r="E98" s="2">
        <v>1</v>
      </c>
      <c r="F98" t="s">
        <v>6</v>
      </c>
      <c r="G98" s="2">
        <v>715</v>
      </c>
      <c r="H98" s="2">
        <v>211</v>
      </c>
      <c r="I98" s="6">
        <v>11.94</v>
      </c>
      <c r="J98" s="4">
        <v>0.26207906295754024</v>
      </c>
      <c r="K98" s="10">
        <v>108</v>
      </c>
      <c r="L98" s="6">
        <v>12.578741909285556</v>
      </c>
      <c r="M98" s="6">
        <f t="shared" si="5"/>
        <v>1.7142449442405556</v>
      </c>
      <c r="O98">
        <v>301</v>
      </c>
      <c r="R98" s="3"/>
      <c r="S98" s="9"/>
      <c r="T98" s="11"/>
      <c r="U98" s="9"/>
      <c r="V98" s="11"/>
      <c r="W98" s="9"/>
      <c r="X98">
        <v>301</v>
      </c>
      <c r="Y98">
        <v>825</v>
      </c>
      <c r="Z98">
        <v>178</v>
      </c>
      <c r="AA98" s="3">
        <v>4.68</v>
      </c>
      <c r="AB98" s="9">
        <v>0.1841109709962169</v>
      </c>
      <c r="AD98" s="3">
        <v>4.68</v>
      </c>
      <c r="AE98" s="6">
        <f t="shared" si="6"/>
        <v>0.44805245901639346</v>
      </c>
      <c r="AG98" s="3"/>
    </row>
    <row r="99" spans="1:33" x14ac:dyDescent="0.25">
      <c r="A99" t="s">
        <v>46</v>
      </c>
      <c r="B99" t="s">
        <v>0</v>
      </c>
      <c r="C99">
        <v>63</v>
      </c>
      <c r="D99">
        <v>302</v>
      </c>
      <c r="E99" s="2">
        <v>6</v>
      </c>
      <c r="F99" t="s">
        <v>1</v>
      </c>
      <c r="I99" s="6">
        <v>13.04</v>
      </c>
      <c r="J99" s="4">
        <v>0.26207906295754024</v>
      </c>
      <c r="K99" s="10">
        <v>98</v>
      </c>
      <c r="L99" s="6">
        <v>13.594696921221667</v>
      </c>
      <c r="M99" s="6">
        <f t="shared" si="5"/>
        <v>1.8527004237588767</v>
      </c>
      <c r="O99">
        <v>302</v>
      </c>
      <c r="R99" s="3"/>
      <c r="S99" s="9"/>
      <c r="T99" s="11"/>
      <c r="U99" s="9"/>
      <c r="V99" s="11"/>
      <c r="W99" s="9"/>
      <c r="X99">
        <v>302</v>
      </c>
      <c r="AA99" s="3">
        <v>4.5</v>
      </c>
      <c r="AB99" s="9">
        <v>0.1841109709962169</v>
      </c>
      <c r="AD99" s="3">
        <v>4.5</v>
      </c>
      <c r="AE99" s="6">
        <f t="shared" si="6"/>
        <v>0.43081967213114758</v>
      </c>
      <c r="AG99" s="3"/>
    </row>
    <row r="100" spans="1:33" x14ac:dyDescent="0.25">
      <c r="A100" t="s">
        <v>46</v>
      </c>
      <c r="B100" t="s">
        <v>0</v>
      </c>
      <c r="C100">
        <v>63</v>
      </c>
      <c r="D100">
        <v>303</v>
      </c>
      <c r="E100" s="2">
        <v>4</v>
      </c>
      <c r="F100" t="s">
        <v>2</v>
      </c>
      <c r="I100" s="6">
        <v>13.5</v>
      </c>
      <c r="J100" s="4">
        <v>0.26207906295754024</v>
      </c>
      <c r="K100" s="10">
        <v>97</v>
      </c>
      <c r="L100" s="6">
        <v>14.046292422415279</v>
      </c>
      <c r="M100" s="6">
        <f t="shared" si="5"/>
        <v>1.914244361168981</v>
      </c>
      <c r="O100">
        <v>303</v>
      </c>
      <c r="R100" s="3"/>
      <c r="S100" s="9"/>
      <c r="T100" s="11"/>
      <c r="U100" s="9"/>
      <c r="V100" s="11"/>
      <c r="W100" s="9"/>
      <c r="X100">
        <v>303</v>
      </c>
      <c r="AA100" s="3">
        <v>5.52</v>
      </c>
      <c r="AB100" s="9">
        <v>0.1841109709962169</v>
      </c>
      <c r="AD100" s="3">
        <v>5.52</v>
      </c>
      <c r="AE100" s="6">
        <f t="shared" si="6"/>
        <v>0.52847213114754099</v>
      </c>
      <c r="AG100" s="3"/>
    </row>
    <row r="101" spans="1:33" x14ac:dyDescent="0.25">
      <c r="A101" t="s">
        <v>46</v>
      </c>
      <c r="B101" t="s">
        <v>0</v>
      </c>
      <c r="C101">
        <v>63</v>
      </c>
      <c r="D101">
        <v>304</v>
      </c>
      <c r="E101" s="2">
        <v>3</v>
      </c>
      <c r="F101" t="s">
        <v>3</v>
      </c>
      <c r="I101" s="6">
        <v>13.46</v>
      </c>
      <c r="J101" s="4">
        <v>0.26207906295754024</v>
      </c>
      <c r="K101" s="10">
        <v>138</v>
      </c>
      <c r="L101" s="6">
        <v>14.350876873477224</v>
      </c>
      <c r="M101" s="6">
        <f t="shared" si="5"/>
        <v>1.9557534690823719</v>
      </c>
      <c r="O101">
        <v>304</v>
      </c>
      <c r="R101" s="3"/>
      <c r="S101" s="9"/>
      <c r="T101" s="11"/>
      <c r="U101" s="9"/>
      <c r="V101" s="11"/>
      <c r="W101" s="9"/>
      <c r="X101">
        <v>304</v>
      </c>
      <c r="AA101" s="3">
        <v>4.32</v>
      </c>
      <c r="AB101" s="9">
        <v>0.1841109709962169</v>
      </c>
      <c r="AD101" s="3">
        <v>4.32</v>
      </c>
      <c r="AE101" s="6">
        <f t="shared" si="6"/>
        <v>0.41358688524590165</v>
      </c>
      <c r="AG101" s="3"/>
    </row>
    <row r="102" spans="1:33" x14ac:dyDescent="0.25">
      <c r="A102" t="s">
        <v>46</v>
      </c>
      <c r="B102" t="s">
        <v>0</v>
      </c>
      <c r="C102">
        <v>63</v>
      </c>
      <c r="D102">
        <v>305</v>
      </c>
      <c r="E102" s="2">
        <v>2</v>
      </c>
      <c r="F102" t="s">
        <v>4</v>
      </c>
      <c r="G102" s="2">
        <v>920</v>
      </c>
      <c r="H102" s="2">
        <v>264</v>
      </c>
      <c r="I102" s="6">
        <v>12.32</v>
      </c>
      <c r="J102" s="4">
        <v>0.26126126126126126</v>
      </c>
      <c r="K102" s="10">
        <v>77</v>
      </c>
      <c r="L102" s="6">
        <v>12.699386298040407</v>
      </c>
      <c r="M102" s="6">
        <f t="shared" si="5"/>
        <v>1.7252859943644083</v>
      </c>
      <c r="O102">
        <v>305</v>
      </c>
      <c r="R102" s="3"/>
      <c r="S102" s="9"/>
      <c r="T102" s="11"/>
      <c r="U102" s="9"/>
      <c r="V102" s="11"/>
      <c r="W102" s="9"/>
      <c r="X102">
        <v>305</v>
      </c>
      <c r="Y102">
        <v>727</v>
      </c>
      <c r="Z102">
        <v>160</v>
      </c>
      <c r="AA102" s="3">
        <v>3.92</v>
      </c>
      <c r="AB102" s="9">
        <v>0.1841726618705036</v>
      </c>
      <c r="AD102" s="3">
        <v>3.92</v>
      </c>
      <c r="AE102" s="6">
        <f t="shared" si="6"/>
        <v>0.37541755395683457</v>
      </c>
      <c r="AG102" s="3"/>
    </row>
    <row r="103" spans="1:33" x14ac:dyDescent="0.25">
      <c r="A103" t="s">
        <v>46</v>
      </c>
      <c r="B103" t="s">
        <v>0</v>
      </c>
      <c r="C103">
        <v>63</v>
      </c>
      <c r="D103">
        <v>306</v>
      </c>
      <c r="E103" s="2">
        <v>4</v>
      </c>
      <c r="F103" t="s">
        <v>2</v>
      </c>
      <c r="I103" s="6">
        <v>11.92</v>
      </c>
      <c r="J103" s="4">
        <v>0.26126126126126126</v>
      </c>
      <c r="K103" s="10">
        <v>141</v>
      </c>
      <c r="L103" s="6">
        <v>12.838957921920096</v>
      </c>
      <c r="M103" s="6">
        <f t="shared" si="5"/>
        <v>1.7442476167797754</v>
      </c>
      <c r="O103">
        <v>306</v>
      </c>
      <c r="R103" s="3"/>
      <c r="S103" s="9"/>
      <c r="T103" s="11"/>
      <c r="U103" s="9"/>
      <c r="V103" s="11"/>
      <c r="W103" s="9"/>
      <c r="X103">
        <v>306</v>
      </c>
      <c r="AA103" s="3">
        <v>4.38</v>
      </c>
      <c r="AB103" s="9">
        <v>0.1841726618705036</v>
      </c>
      <c r="AD103" s="3">
        <v>4.38</v>
      </c>
      <c r="AE103" s="6">
        <f t="shared" si="6"/>
        <v>0.41947165467625896</v>
      </c>
      <c r="AG103" s="3"/>
    </row>
    <row r="104" spans="1:33" x14ac:dyDescent="0.25">
      <c r="A104" t="s">
        <v>46</v>
      </c>
      <c r="B104" t="s">
        <v>0</v>
      </c>
      <c r="C104">
        <v>63</v>
      </c>
      <c r="D104">
        <v>307</v>
      </c>
      <c r="E104" s="2">
        <v>1</v>
      </c>
      <c r="F104" t="s">
        <v>6</v>
      </c>
      <c r="I104" s="6">
        <v>12.36</v>
      </c>
      <c r="J104" s="4">
        <v>0.26126126126126126</v>
      </c>
      <c r="K104" s="10">
        <v>78</v>
      </c>
      <c r="L104" s="6">
        <v>12.747817104663527</v>
      </c>
      <c r="M104" s="6">
        <f t="shared" si="5"/>
        <v>1.731865603047982</v>
      </c>
      <c r="O104">
        <v>307</v>
      </c>
      <c r="R104" s="3"/>
      <c r="S104" s="9"/>
      <c r="T104" s="11"/>
      <c r="U104" s="9"/>
      <c r="V104" s="11"/>
      <c r="W104" s="9"/>
      <c r="X104">
        <v>307</v>
      </c>
      <c r="AA104" s="3">
        <v>4.9000000000000004</v>
      </c>
      <c r="AB104" s="9">
        <v>0.1841726618705036</v>
      </c>
      <c r="AD104" s="3">
        <v>4.9000000000000004</v>
      </c>
      <c r="AE104" s="6">
        <f t="shared" si="6"/>
        <v>0.46927194244604326</v>
      </c>
      <c r="AG104" s="3"/>
    </row>
    <row r="105" spans="1:33" x14ac:dyDescent="0.25">
      <c r="A105" t="s">
        <v>46</v>
      </c>
      <c r="B105" t="s">
        <v>0</v>
      </c>
      <c r="C105">
        <v>63</v>
      </c>
      <c r="D105">
        <v>308</v>
      </c>
      <c r="E105" s="2">
        <v>5</v>
      </c>
      <c r="F105" t="s">
        <v>5</v>
      </c>
      <c r="I105" s="6">
        <v>12.3</v>
      </c>
      <c r="J105" s="4">
        <v>0.26126126126126126</v>
      </c>
      <c r="K105" s="10">
        <v>121</v>
      </c>
      <c r="L105" s="6">
        <v>13.050341789457695</v>
      </c>
      <c r="M105" s="6">
        <f t="shared" si="5"/>
        <v>1.7729653530182168</v>
      </c>
      <c r="O105">
        <v>308</v>
      </c>
      <c r="R105" s="3"/>
      <c r="S105" s="9"/>
      <c r="T105" s="11"/>
      <c r="U105" s="9"/>
      <c r="V105" s="11"/>
      <c r="W105" s="9"/>
      <c r="X105">
        <v>308</v>
      </c>
      <c r="AA105" s="3">
        <v>5.34</v>
      </c>
      <c r="AB105" s="9">
        <v>0.1841726618705036</v>
      </c>
      <c r="AD105" s="3">
        <v>5.34</v>
      </c>
      <c r="AE105" s="6">
        <f t="shared" si="6"/>
        <v>0.51141064748201448</v>
      </c>
      <c r="AG105" s="3"/>
    </row>
    <row r="106" spans="1:33" x14ac:dyDescent="0.25">
      <c r="A106" t="s">
        <v>46</v>
      </c>
      <c r="B106" t="s">
        <v>0</v>
      </c>
      <c r="C106">
        <v>63</v>
      </c>
      <c r="D106">
        <v>309</v>
      </c>
      <c r="E106" s="2">
        <v>2</v>
      </c>
      <c r="F106" t="s">
        <v>4</v>
      </c>
      <c r="G106" s="2">
        <v>862</v>
      </c>
      <c r="H106" s="2">
        <v>255</v>
      </c>
      <c r="I106" s="6">
        <v>15.02</v>
      </c>
      <c r="J106" s="4">
        <v>0.26867469879518074</v>
      </c>
      <c r="K106" s="10">
        <v>124</v>
      </c>
      <c r="L106" s="6">
        <v>15.774232433179906</v>
      </c>
      <c r="M106" s="6">
        <f t="shared" si="5"/>
        <v>2.2038313168090866</v>
      </c>
      <c r="O106">
        <v>309</v>
      </c>
      <c r="R106" s="3"/>
      <c r="S106" s="9"/>
      <c r="T106" s="11"/>
      <c r="U106" s="9"/>
      <c r="V106" s="11"/>
      <c r="W106" s="9"/>
      <c r="X106">
        <v>309</v>
      </c>
      <c r="Y106">
        <v>631</v>
      </c>
      <c r="Z106">
        <v>137</v>
      </c>
      <c r="AA106" s="3">
        <v>5.42</v>
      </c>
      <c r="AB106" s="9">
        <v>0.17529215358931552</v>
      </c>
      <c r="AD106" s="3">
        <v>5.42</v>
      </c>
      <c r="AE106" s="6">
        <f t="shared" si="6"/>
        <v>0.49404340567612687</v>
      </c>
      <c r="AG106" s="3"/>
    </row>
    <row r="107" spans="1:33" x14ac:dyDescent="0.25">
      <c r="A107" t="s">
        <v>46</v>
      </c>
      <c r="B107" t="s">
        <v>0</v>
      </c>
      <c r="C107">
        <v>63</v>
      </c>
      <c r="D107">
        <v>310</v>
      </c>
      <c r="E107" s="2">
        <v>5</v>
      </c>
      <c r="F107" t="s">
        <v>5</v>
      </c>
      <c r="I107" s="6">
        <v>11.66</v>
      </c>
      <c r="J107" s="4">
        <v>0.26867469879518074</v>
      </c>
      <c r="K107" s="10">
        <v>85</v>
      </c>
      <c r="L107" s="6">
        <v>12.094503466940598</v>
      </c>
      <c r="M107" s="6">
        <f t="shared" si="5"/>
        <v>1.6897332795499178</v>
      </c>
      <c r="O107">
        <v>310</v>
      </c>
      <c r="R107" s="3"/>
      <c r="S107" s="9"/>
      <c r="T107" s="11"/>
      <c r="U107" s="9"/>
      <c r="V107" s="11"/>
      <c r="W107" s="9"/>
      <c r="X107">
        <v>310</v>
      </c>
      <c r="AA107" s="3">
        <v>5.08</v>
      </c>
      <c r="AB107" s="9">
        <v>0.17529215358931552</v>
      </c>
      <c r="AD107" s="3">
        <v>5.08</v>
      </c>
      <c r="AE107" s="6">
        <f t="shared" si="6"/>
        <v>0.46305175292153589</v>
      </c>
      <c r="AG107" s="3"/>
    </row>
    <row r="108" spans="1:33" x14ac:dyDescent="0.25">
      <c r="A108" t="s">
        <v>46</v>
      </c>
      <c r="B108" t="s">
        <v>0</v>
      </c>
      <c r="C108">
        <v>63</v>
      </c>
      <c r="D108">
        <v>311</v>
      </c>
      <c r="E108" s="2">
        <v>3</v>
      </c>
      <c r="F108" t="s">
        <v>3</v>
      </c>
      <c r="I108" s="6">
        <v>12.2</v>
      </c>
      <c r="J108" s="4">
        <v>0.26867469879518074</v>
      </c>
      <c r="K108" s="10">
        <v>124</v>
      </c>
      <c r="L108" s="6">
        <v>12.954232433179905</v>
      </c>
      <c r="M108" s="6">
        <f t="shared" si="5"/>
        <v>1.8098467384958339</v>
      </c>
      <c r="O108">
        <v>311</v>
      </c>
      <c r="R108" s="3"/>
      <c r="S108" s="9"/>
      <c r="T108" s="11"/>
      <c r="U108" s="9"/>
      <c r="V108" s="11"/>
      <c r="W108" s="9"/>
      <c r="X108">
        <v>311</v>
      </c>
      <c r="AA108" s="3">
        <v>4.22</v>
      </c>
      <c r="AB108" s="9">
        <v>0.17529215358931552</v>
      </c>
      <c r="AD108" s="3">
        <v>4.22</v>
      </c>
      <c r="AE108" s="6">
        <f t="shared" si="6"/>
        <v>0.38466110183639396</v>
      </c>
      <c r="AG108" s="3"/>
    </row>
    <row r="109" spans="1:33" x14ac:dyDescent="0.25">
      <c r="A109" t="s">
        <v>46</v>
      </c>
      <c r="B109" t="s">
        <v>0</v>
      </c>
      <c r="C109">
        <v>63</v>
      </c>
      <c r="D109">
        <v>312</v>
      </c>
      <c r="E109" s="2">
        <v>6</v>
      </c>
      <c r="F109" t="s">
        <v>1</v>
      </c>
      <c r="I109" s="6">
        <v>11.52</v>
      </c>
      <c r="J109" s="4">
        <v>0.26867469879518074</v>
      </c>
      <c r="K109" s="10">
        <v>74</v>
      </c>
      <c r="L109" s="6">
        <v>11.86432350210387</v>
      </c>
      <c r="M109" s="6">
        <f t="shared" si="5"/>
        <v>1.6575746425348976</v>
      </c>
      <c r="O109">
        <v>312</v>
      </c>
      <c r="R109" s="3"/>
      <c r="S109" s="9"/>
      <c r="T109" s="11"/>
      <c r="U109" s="9"/>
      <c r="V109" s="11"/>
      <c r="W109" s="9"/>
      <c r="X109">
        <v>312</v>
      </c>
      <c r="AA109" s="3">
        <v>3.68</v>
      </c>
      <c r="AB109" s="9">
        <v>0.17529215358931552</v>
      </c>
      <c r="AD109" s="3">
        <v>3.68</v>
      </c>
      <c r="AE109" s="6">
        <f t="shared" si="6"/>
        <v>0.33543906510851423</v>
      </c>
      <c r="AG109" s="3"/>
    </row>
    <row r="110" spans="1:33" x14ac:dyDescent="0.25">
      <c r="A110" t="s">
        <v>46</v>
      </c>
      <c r="B110" t="s">
        <v>0</v>
      </c>
      <c r="C110">
        <v>63</v>
      </c>
      <c r="D110">
        <v>313</v>
      </c>
      <c r="E110" s="2">
        <v>19</v>
      </c>
      <c r="F110" t="s">
        <v>10</v>
      </c>
      <c r="G110" s="2">
        <v>887</v>
      </c>
      <c r="H110" s="2">
        <v>244</v>
      </c>
      <c r="I110" s="6">
        <v>16.14</v>
      </c>
      <c r="J110" s="4">
        <v>0.24795321637426901</v>
      </c>
      <c r="K110" s="10">
        <v>134</v>
      </c>
      <c r="L110" s="6">
        <v>17.04609675006234</v>
      </c>
      <c r="M110" s="6">
        <f t="shared" si="5"/>
        <v>2.1978499482185643</v>
      </c>
      <c r="O110">
        <v>313</v>
      </c>
      <c r="P110">
        <v>764</v>
      </c>
      <c r="Q110">
        <v>294</v>
      </c>
      <c r="R110" s="3">
        <v>3.94</v>
      </c>
      <c r="S110" s="9">
        <v>0.35792349726775957</v>
      </c>
      <c r="T110" s="11">
        <v>166</v>
      </c>
      <c r="U110" s="3">
        <v>4.7646292497561955</v>
      </c>
      <c r="V110" s="3">
        <f>S110*U110*0.52</f>
        <v>0.88679383741363949</v>
      </c>
      <c r="W110" s="9"/>
      <c r="X110">
        <v>313</v>
      </c>
      <c r="Y110">
        <v>742</v>
      </c>
      <c r="Z110">
        <v>184</v>
      </c>
      <c r="AA110" s="3">
        <v>4.6399999999999997</v>
      </c>
      <c r="AB110" s="9">
        <v>0.21408450704225351</v>
      </c>
      <c r="AD110" s="3">
        <v>4.6399999999999997</v>
      </c>
      <c r="AE110" s="6">
        <f t="shared" si="6"/>
        <v>0.51654309859154923</v>
      </c>
      <c r="AG110" s="3">
        <f t="shared" si="7"/>
        <v>3.6011868842237527</v>
      </c>
    </row>
    <row r="111" spans="1:33" x14ac:dyDescent="0.25">
      <c r="A111" t="s">
        <v>46</v>
      </c>
      <c r="B111" t="s">
        <v>0</v>
      </c>
      <c r="C111">
        <v>63</v>
      </c>
      <c r="D111">
        <v>314</v>
      </c>
      <c r="E111" s="2">
        <v>13</v>
      </c>
      <c r="F111" t="s">
        <v>24</v>
      </c>
      <c r="I111" s="6">
        <v>15.02</v>
      </c>
      <c r="J111" s="4">
        <v>0.24795321637426901</v>
      </c>
      <c r="K111" s="10">
        <v>93</v>
      </c>
      <c r="L111" s="6">
        <v>15.561881389743164</v>
      </c>
      <c r="M111" s="6">
        <f t="shared" si="5"/>
        <v>2.0064816425792826</v>
      </c>
      <c r="O111">
        <v>314</v>
      </c>
      <c r="R111" s="3">
        <v>4.76</v>
      </c>
      <c r="S111" s="9">
        <v>0.35792349726775957</v>
      </c>
      <c r="T111" s="11">
        <v>129</v>
      </c>
      <c r="U111" s="3">
        <v>5.3569331136294851</v>
      </c>
      <c r="V111" s="3">
        <f t="shared" ref="V111:V145" si="8">S111*U111*0.52</f>
        <v>0.99703356202306159</v>
      </c>
      <c r="W111" s="9"/>
      <c r="X111">
        <v>314</v>
      </c>
      <c r="AA111" s="3">
        <v>4.1399999999999997</v>
      </c>
      <c r="AB111" s="9">
        <v>0.21408450704225351</v>
      </c>
      <c r="AD111" s="3">
        <v>4.1399999999999997</v>
      </c>
      <c r="AE111" s="6">
        <f t="shared" si="6"/>
        <v>0.46088112676056331</v>
      </c>
      <c r="AG111" s="3">
        <f t="shared" si="7"/>
        <v>3.4643963313629076</v>
      </c>
    </row>
    <row r="112" spans="1:33" x14ac:dyDescent="0.25">
      <c r="A112" t="s">
        <v>46</v>
      </c>
      <c r="B112" t="s">
        <v>0</v>
      </c>
      <c r="C112">
        <v>63</v>
      </c>
      <c r="D112">
        <v>315</v>
      </c>
      <c r="E112" s="2">
        <v>23</v>
      </c>
      <c r="F112" t="s">
        <v>36</v>
      </c>
      <c r="I112" s="6">
        <v>14.98</v>
      </c>
      <c r="J112" s="4">
        <v>0.24795321637426901</v>
      </c>
      <c r="K112" s="10">
        <v>108</v>
      </c>
      <c r="L112" s="6">
        <v>15.655130911811154</v>
      </c>
      <c r="M112" s="6">
        <f t="shared" si="5"/>
        <v>2.0185048324187855</v>
      </c>
      <c r="O112">
        <v>315</v>
      </c>
      <c r="R112" s="3">
        <v>4.4400000000000004</v>
      </c>
      <c r="S112" s="9">
        <v>0.35792349726775957</v>
      </c>
      <c r="T112" s="11">
        <v>172</v>
      </c>
      <c r="U112" s="3">
        <v>5.3015529475064742</v>
      </c>
      <c r="V112" s="3">
        <f t="shared" si="8"/>
        <v>0.98672619339929246</v>
      </c>
      <c r="W112" s="9"/>
      <c r="X112">
        <v>315</v>
      </c>
      <c r="AA112" s="3">
        <v>4.62</v>
      </c>
      <c r="AB112" s="9">
        <v>0.21408450704225351</v>
      </c>
      <c r="AD112" s="3">
        <v>4.62</v>
      </c>
      <c r="AE112" s="6">
        <f t="shared" si="6"/>
        <v>0.51431661971830989</v>
      </c>
      <c r="AG112" s="3">
        <f t="shared" si="7"/>
        <v>3.5195476455363881</v>
      </c>
    </row>
    <row r="113" spans="1:33" x14ac:dyDescent="0.25">
      <c r="A113" t="s">
        <v>46</v>
      </c>
      <c r="B113" t="s">
        <v>0</v>
      </c>
      <c r="C113">
        <v>63</v>
      </c>
      <c r="D113">
        <v>316</v>
      </c>
      <c r="E113" s="2">
        <v>6</v>
      </c>
      <c r="F113" t="s">
        <v>1</v>
      </c>
      <c r="I113" s="6">
        <v>14.58</v>
      </c>
      <c r="J113" s="4">
        <v>0.24795321637426901</v>
      </c>
      <c r="K113" s="10">
        <v>108</v>
      </c>
      <c r="L113" s="6">
        <v>15.255130911811154</v>
      </c>
      <c r="M113" s="6">
        <f t="shared" si="5"/>
        <v>1.9669305634129375</v>
      </c>
      <c r="O113">
        <v>316</v>
      </c>
      <c r="R113" s="3">
        <v>3.24</v>
      </c>
      <c r="S113" s="9">
        <v>0.35792349726775957</v>
      </c>
      <c r="T113" s="11">
        <v>131</v>
      </c>
      <c r="U113" s="3">
        <v>3.849241012879578</v>
      </c>
      <c r="V113" s="3">
        <f t="shared" si="8"/>
        <v>0.71642157868130285</v>
      </c>
      <c r="W113" s="9"/>
      <c r="X113">
        <v>316</v>
      </c>
      <c r="AA113" s="3">
        <v>3.88</v>
      </c>
      <c r="AB113" s="9">
        <v>0.21408450704225351</v>
      </c>
      <c r="AC113">
        <v>80</v>
      </c>
      <c r="AD113" s="3">
        <v>4.37</v>
      </c>
      <c r="AE113" s="6">
        <f t="shared" si="6"/>
        <v>0.4864856338028169</v>
      </c>
      <c r="AG113" s="3">
        <f t="shared" si="7"/>
        <v>3.1698377758970575</v>
      </c>
    </row>
    <row r="114" spans="1:33" x14ac:dyDescent="0.25">
      <c r="A114" t="s">
        <v>46</v>
      </c>
      <c r="B114" t="s">
        <v>0</v>
      </c>
      <c r="C114">
        <v>63</v>
      </c>
      <c r="D114">
        <v>317</v>
      </c>
      <c r="E114" s="2">
        <v>20</v>
      </c>
      <c r="F114" t="s">
        <v>28</v>
      </c>
      <c r="G114" s="2">
        <v>850</v>
      </c>
      <c r="H114" s="2">
        <v>236</v>
      </c>
      <c r="I114" s="6">
        <v>12.6</v>
      </c>
      <c r="J114" s="4">
        <v>0.24938875305623473</v>
      </c>
      <c r="K114" s="10">
        <v>73</v>
      </c>
      <c r="L114" s="6">
        <v>12.962118856353113</v>
      </c>
      <c r="M114" s="6">
        <f t="shared" si="5"/>
        <v>1.6809554624473575</v>
      </c>
      <c r="O114">
        <v>317</v>
      </c>
      <c r="P114">
        <v>564</v>
      </c>
      <c r="Q114">
        <v>251</v>
      </c>
      <c r="R114" s="3">
        <v>3.14</v>
      </c>
      <c r="S114" s="9">
        <v>0.41165413533834588</v>
      </c>
      <c r="T114" s="11">
        <v>118</v>
      </c>
      <c r="U114" s="3">
        <v>3.600161326011305</v>
      </c>
      <c r="V114" s="3">
        <f t="shared" si="8"/>
        <v>0.77065107482362305</v>
      </c>
      <c r="W114" s="9"/>
      <c r="X114">
        <v>317</v>
      </c>
      <c r="Y114">
        <v>795</v>
      </c>
      <c r="Z114">
        <v>180</v>
      </c>
      <c r="AA114" s="3">
        <v>4.46</v>
      </c>
      <c r="AB114" s="9">
        <v>0.19397116644823068</v>
      </c>
      <c r="AD114" s="3">
        <v>4.46</v>
      </c>
      <c r="AE114" s="6">
        <f t="shared" si="6"/>
        <v>0.44985792922673656</v>
      </c>
      <c r="AG114" s="3">
        <f t="shared" si="7"/>
        <v>2.9014644664977172</v>
      </c>
    </row>
    <row r="115" spans="1:33" x14ac:dyDescent="0.25">
      <c r="A115" t="s">
        <v>46</v>
      </c>
      <c r="B115" t="s">
        <v>0</v>
      </c>
      <c r="C115">
        <v>63</v>
      </c>
      <c r="D115">
        <v>318</v>
      </c>
      <c r="E115" s="2">
        <v>36</v>
      </c>
      <c r="F115" t="s">
        <v>27</v>
      </c>
      <c r="I115" s="6">
        <v>15.7</v>
      </c>
      <c r="J115" s="4">
        <v>0.24938875305623473</v>
      </c>
      <c r="K115" s="10">
        <v>117</v>
      </c>
      <c r="L115" s="6">
        <v>16.4507342143906</v>
      </c>
      <c r="M115" s="6">
        <f t="shared" si="5"/>
        <v>2.1333666081449327</v>
      </c>
      <c r="O115">
        <v>318</v>
      </c>
      <c r="R115" s="3">
        <v>2.98</v>
      </c>
      <c r="S115" s="9">
        <v>0.41165413533834588</v>
      </c>
      <c r="T115" s="11">
        <v>170</v>
      </c>
      <c r="U115" s="3">
        <v>3.7183984068553495</v>
      </c>
      <c r="V115" s="3">
        <f t="shared" si="8"/>
        <v>0.7959609221291114</v>
      </c>
      <c r="W115" s="9"/>
      <c r="X115">
        <v>318</v>
      </c>
      <c r="AA115" s="3">
        <v>4.84</v>
      </c>
      <c r="AB115" s="9">
        <v>0.19397116644823068</v>
      </c>
      <c r="AD115" s="3">
        <v>4.84</v>
      </c>
      <c r="AE115" s="6">
        <f t="shared" si="6"/>
        <v>0.48818663171690696</v>
      </c>
      <c r="AG115" s="3">
        <f t="shared" si="7"/>
        <v>3.417514161990951</v>
      </c>
    </row>
    <row r="116" spans="1:33" x14ac:dyDescent="0.25">
      <c r="A116" t="s">
        <v>46</v>
      </c>
      <c r="B116" t="s">
        <v>0</v>
      </c>
      <c r="C116">
        <v>63</v>
      </c>
      <c r="D116">
        <v>319</v>
      </c>
      <c r="E116" s="2">
        <v>3</v>
      </c>
      <c r="F116" t="s">
        <v>3</v>
      </c>
      <c r="I116" s="6">
        <v>14.88</v>
      </c>
      <c r="J116" s="4">
        <v>0.24938875305623473</v>
      </c>
      <c r="K116" s="10">
        <v>77</v>
      </c>
      <c r="L116" s="6">
        <v>15.277447525265613</v>
      </c>
      <c r="M116" s="6">
        <f t="shared" si="5"/>
        <v>1.9812122658681863</v>
      </c>
      <c r="O116">
        <v>319</v>
      </c>
      <c r="R116" s="3">
        <v>2.7</v>
      </c>
      <c r="S116" s="9">
        <v>0.41165413533834588</v>
      </c>
      <c r="T116" s="11">
        <v>173</v>
      </c>
      <c r="U116" s="3">
        <v>3.4544505461348143</v>
      </c>
      <c r="V116" s="3">
        <f t="shared" si="8"/>
        <v>0.73946020337186602</v>
      </c>
      <c r="W116" s="9"/>
      <c r="X116">
        <v>319</v>
      </c>
      <c r="AA116" s="3">
        <v>4.26</v>
      </c>
      <c r="AB116" s="9">
        <v>0.19397116644823068</v>
      </c>
      <c r="AC116">
        <v>80</v>
      </c>
      <c r="AD116" s="3">
        <v>4.8099999999999996</v>
      </c>
      <c r="AE116" s="6">
        <f t="shared" si="6"/>
        <v>0.48516068152031455</v>
      </c>
      <c r="AG116" s="3">
        <f t="shared" si="7"/>
        <v>3.205833150760367</v>
      </c>
    </row>
    <row r="117" spans="1:33" x14ac:dyDescent="0.25">
      <c r="A117" t="s">
        <v>46</v>
      </c>
      <c r="B117" t="s">
        <v>0</v>
      </c>
      <c r="C117">
        <v>63</v>
      </c>
      <c r="D117">
        <v>320</v>
      </c>
      <c r="E117" s="2">
        <v>33</v>
      </c>
      <c r="F117" t="s">
        <v>23</v>
      </c>
      <c r="I117" s="6">
        <v>15.8</v>
      </c>
      <c r="J117" s="4">
        <v>0.24938875305623473</v>
      </c>
      <c r="K117" s="10">
        <v>137</v>
      </c>
      <c r="L117" s="6">
        <v>16.727377558953098</v>
      </c>
      <c r="M117" s="6">
        <f t="shared" si="5"/>
        <v>2.1692423122906415</v>
      </c>
      <c r="O117">
        <v>320</v>
      </c>
      <c r="R117" s="3">
        <v>3.5</v>
      </c>
      <c r="S117" s="9">
        <v>0.41165413533834588</v>
      </c>
      <c r="T117" s="11">
        <v>120</v>
      </c>
      <c r="U117" s="3">
        <v>3.9708627521976143</v>
      </c>
      <c r="V117" s="3">
        <f t="shared" si="8"/>
        <v>0.85000347785763974</v>
      </c>
      <c r="W117" s="9"/>
      <c r="X117">
        <v>320</v>
      </c>
      <c r="AA117" s="3">
        <v>5.22</v>
      </c>
      <c r="AB117" s="9">
        <v>0.19397116644823068</v>
      </c>
      <c r="AD117" s="3">
        <v>5.22</v>
      </c>
      <c r="AE117" s="6">
        <f t="shared" si="6"/>
        <v>0.5265153342070773</v>
      </c>
      <c r="AG117" s="3">
        <f t="shared" si="7"/>
        <v>3.5457611243553586</v>
      </c>
    </row>
    <row r="118" spans="1:33" x14ac:dyDescent="0.25">
      <c r="A118" t="s">
        <v>46</v>
      </c>
      <c r="B118" t="s">
        <v>0</v>
      </c>
      <c r="C118">
        <v>63</v>
      </c>
      <c r="D118">
        <v>321</v>
      </c>
      <c r="E118" s="2">
        <v>22</v>
      </c>
      <c r="F118" t="s">
        <v>7</v>
      </c>
      <c r="G118" s="2">
        <v>972</v>
      </c>
      <c r="H118" s="2">
        <v>256</v>
      </c>
      <c r="I118" s="6">
        <v>15.78</v>
      </c>
      <c r="J118" s="4">
        <v>0.23829787234042554</v>
      </c>
      <c r="K118" s="10">
        <v>136</v>
      </c>
      <c r="L118" s="6">
        <v>16.741296412838263</v>
      </c>
      <c r="M118" s="6">
        <f t="shared" si="5"/>
        <v>2.0744959640078737</v>
      </c>
      <c r="O118">
        <v>321</v>
      </c>
      <c r="P118">
        <v>662</v>
      </c>
      <c r="Q118">
        <v>277</v>
      </c>
      <c r="R118" s="3">
        <v>3.92</v>
      </c>
      <c r="S118" s="9">
        <v>0.3888888888888889</v>
      </c>
      <c r="T118" s="11">
        <v>141</v>
      </c>
      <c r="U118" s="3">
        <v>4.5373694147262427</v>
      </c>
      <c r="V118" s="3">
        <f t="shared" si="8"/>
        <v>0.91755692608908468</v>
      </c>
      <c r="W118" s="9"/>
      <c r="X118">
        <v>321</v>
      </c>
      <c r="Y118">
        <v>829</v>
      </c>
      <c r="Z118">
        <v>205</v>
      </c>
      <c r="AA118" s="3">
        <v>4.4400000000000004</v>
      </c>
      <c r="AB118" s="9">
        <v>0.21706398996235884</v>
      </c>
      <c r="AD118" s="3">
        <v>4.4400000000000004</v>
      </c>
      <c r="AE118" s="6">
        <f t="shared" si="6"/>
        <v>0.50115734002509416</v>
      </c>
      <c r="AG118" s="3">
        <f t="shared" si="7"/>
        <v>3.4932102301220525</v>
      </c>
    </row>
    <row r="119" spans="1:33" x14ac:dyDescent="0.25">
      <c r="A119" t="s">
        <v>46</v>
      </c>
      <c r="B119" t="s">
        <v>0</v>
      </c>
      <c r="C119">
        <v>63</v>
      </c>
      <c r="D119">
        <v>322</v>
      </c>
      <c r="E119" s="2">
        <v>1</v>
      </c>
      <c r="F119" t="s">
        <v>6</v>
      </c>
      <c r="I119" s="6">
        <v>16.48</v>
      </c>
      <c r="J119" s="4">
        <v>0.23829787234042554</v>
      </c>
      <c r="K119" s="10">
        <v>92</v>
      </c>
      <c r="L119" s="6">
        <v>17.034594084329768</v>
      </c>
      <c r="M119" s="6">
        <f t="shared" si="5"/>
        <v>2.1108399137688632</v>
      </c>
      <c r="O119">
        <v>322</v>
      </c>
      <c r="R119" s="3">
        <v>4.04</v>
      </c>
      <c r="S119" s="9">
        <v>0.3888888888888889</v>
      </c>
      <c r="T119" s="11">
        <v>160</v>
      </c>
      <c r="U119" s="3">
        <v>4.7649842668344871</v>
      </c>
      <c r="V119" s="3">
        <f t="shared" si="8"/>
        <v>0.96358570729319626</v>
      </c>
      <c r="W119" s="9"/>
      <c r="X119">
        <v>322</v>
      </c>
      <c r="AA119" s="3">
        <v>4.42</v>
      </c>
      <c r="AB119" s="9">
        <v>0.21706398996235884</v>
      </c>
      <c r="AC119">
        <v>79</v>
      </c>
      <c r="AD119" s="3">
        <v>4.9000000000000004</v>
      </c>
      <c r="AE119" s="6">
        <f t="shared" si="6"/>
        <v>0.55307904642409045</v>
      </c>
      <c r="AG119" s="3">
        <f t="shared" si="7"/>
        <v>3.62750466748615</v>
      </c>
    </row>
    <row r="120" spans="1:33" x14ac:dyDescent="0.25">
      <c r="A120" t="s">
        <v>46</v>
      </c>
      <c r="B120" t="s">
        <v>0</v>
      </c>
      <c r="C120">
        <v>63</v>
      </c>
      <c r="D120">
        <v>323</v>
      </c>
      <c r="E120" s="2">
        <v>15</v>
      </c>
      <c r="F120" t="s">
        <v>20</v>
      </c>
      <c r="I120" s="6">
        <v>16.2</v>
      </c>
      <c r="J120" s="4">
        <v>0.23829787234042554</v>
      </c>
      <c r="K120" s="10">
        <v>93</v>
      </c>
      <c r="L120" s="6">
        <v>16.763837319068596</v>
      </c>
      <c r="M120" s="6">
        <f t="shared" si="5"/>
        <v>2.0772891180054365</v>
      </c>
      <c r="O120">
        <v>323</v>
      </c>
      <c r="R120" s="3">
        <v>3.92</v>
      </c>
      <c r="S120" s="9">
        <v>0.3888888888888889</v>
      </c>
      <c r="T120" s="11">
        <v>217</v>
      </c>
      <c r="U120" s="3">
        <v>4.9678288231592198</v>
      </c>
      <c r="V120" s="3">
        <f t="shared" si="8"/>
        <v>1.0046053842388645</v>
      </c>
      <c r="W120" s="9"/>
      <c r="X120">
        <v>323</v>
      </c>
      <c r="AA120" s="3">
        <v>4.58</v>
      </c>
      <c r="AB120" s="9">
        <v>0.21706398996235884</v>
      </c>
      <c r="AD120" s="3">
        <v>4.58</v>
      </c>
      <c r="AE120" s="6">
        <f t="shared" si="6"/>
        <v>0.51695959849435391</v>
      </c>
      <c r="AG120" s="3">
        <f t="shared" si="7"/>
        <v>3.598854100738655</v>
      </c>
    </row>
    <row r="121" spans="1:33" x14ac:dyDescent="0.25">
      <c r="A121" t="s">
        <v>46</v>
      </c>
      <c r="B121" t="s">
        <v>0</v>
      </c>
      <c r="C121">
        <v>63</v>
      </c>
      <c r="D121">
        <v>324</v>
      </c>
      <c r="E121" s="2">
        <v>4</v>
      </c>
      <c r="F121" t="s">
        <v>2</v>
      </c>
      <c r="I121" s="6">
        <v>15.38</v>
      </c>
      <c r="J121" s="4">
        <v>0.23829787234042554</v>
      </c>
      <c r="K121" s="10">
        <v>131</v>
      </c>
      <c r="L121" s="6">
        <v>16.295080239144117</v>
      </c>
      <c r="M121" s="6">
        <f t="shared" si="5"/>
        <v>2.019203134314369</v>
      </c>
      <c r="O121">
        <v>324</v>
      </c>
      <c r="R121" s="3">
        <v>2.88</v>
      </c>
      <c r="S121" s="9">
        <v>0.3888888888888889</v>
      </c>
      <c r="T121" s="11">
        <v>125</v>
      </c>
      <c r="U121" s="3">
        <v>3.4067463813719319</v>
      </c>
      <c r="V121" s="3">
        <f t="shared" si="8"/>
        <v>0.68891982378854633</v>
      </c>
      <c r="W121" s="9"/>
      <c r="X121">
        <v>324</v>
      </c>
      <c r="AA121" s="3">
        <v>4.58</v>
      </c>
      <c r="AB121" s="9">
        <v>0.21706398996235884</v>
      </c>
      <c r="AC121">
        <v>91</v>
      </c>
      <c r="AD121" s="3">
        <v>5.18</v>
      </c>
      <c r="AE121" s="6">
        <f t="shared" si="6"/>
        <v>0.58468356336260974</v>
      </c>
      <c r="AG121" s="3">
        <f t="shared" si="7"/>
        <v>3.2928065214655255</v>
      </c>
    </row>
    <row r="122" spans="1:33" x14ac:dyDescent="0.25">
      <c r="A122" t="s">
        <v>46</v>
      </c>
      <c r="B122" t="s">
        <v>0</v>
      </c>
      <c r="C122">
        <v>63</v>
      </c>
      <c r="D122">
        <v>325</v>
      </c>
      <c r="E122" s="2">
        <v>12</v>
      </c>
      <c r="F122" t="s">
        <v>33</v>
      </c>
      <c r="G122" s="2">
        <v>815</v>
      </c>
      <c r="H122" s="2">
        <v>226</v>
      </c>
      <c r="I122" s="6">
        <v>17.84</v>
      </c>
      <c r="J122" s="4">
        <v>0.24776500638569604</v>
      </c>
      <c r="K122" s="10">
        <v>94</v>
      </c>
      <c r="L122" s="6">
        <v>18.391183069167536</v>
      </c>
      <c r="M122" s="6">
        <f t="shared" si="5"/>
        <v>2.369479627097856</v>
      </c>
      <c r="O122">
        <v>325</v>
      </c>
      <c r="P122">
        <v>562</v>
      </c>
      <c r="Q122">
        <v>227</v>
      </c>
      <c r="R122" s="3">
        <v>3.24</v>
      </c>
      <c r="S122" s="9">
        <v>0.36792452830188677</v>
      </c>
      <c r="T122" s="11">
        <v>120</v>
      </c>
      <c r="U122" s="3">
        <v>3.7668270642719985</v>
      </c>
      <c r="V122" s="3">
        <f t="shared" si="8"/>
        <v>0.72067219682486905</v>
      </c>
      <c r="W122" s="9"/>
      <c r="X122">
        <v>325</v>
      </c>
      <c r="Y122">
        <v>852</v>
      </c>
      <c r="Z122">
        <v>214</v>
      </c>
      <c r="AA122" s="3">
        <v>4.72</v>
      </c>
      <c r="AB122" s="9">
        <v>0.22195121951219512</v>
      </c>
      <c r="AD122" s="3">
        <v>4.72</v>
      </c>
      <c r="AE122" s="6">
        <f t="shared" si="6"/>
        <v>0.54475707317073174</v>
      </c>
      <c r="AG122" s="3">
        <f t="shared" si="7"/>
        <v>3.6349088970934571</v>
      </c>
    </row>
    <row r="123" spans="1:33" x14ac:dyDescent="0.25">
      <c r="A123" t="s">
        <v>46</v>
      </c>
      <c r="B123" t="s">
        <v>0</v>
      </c>
      <c r="C123">
        <v>63</v>
      </c>
      <c r="D123">
        <v>326</v>
      </c>
      <c r="E123" s="2">
        <v>24</v>
      </c>
      <c r="F123" t="s">
        <v>32</v>
      </c>
      <c r="I123" s="6">
        <v>16.48</v>
      </c>
      <c r="J123" s="4">
        <v>0.24776500638569604</v>
      </c>
      <c r="K123" s="10">
        <v>139</v>
      </c>
      <c r="L123" s="6">
        <v>17.431235296789136</v>
      </c>
      <c r="M123" s="6">
        <f t="shared" si="5"/>
        <v>2.2458020648021564</v>
      </c>
      <c r="O123">
        <v>326</v>
      </c>
      <c r="R123" s="3">
        <v>2.84</v>
      </c>
      <c r="S123" s="9">
        <v>0.36792452830188677</v>
      </c>
      <c r="T123" s="11">
        <v>171</v>
      </c>
      <c r="U123" s="3">
        <v>3.6721472947023606</v>
      </c>
      <c r="V123" s="3">
        <f t="shared" si="8"/>
        <v>0.70255799185437617</v>
      </c>
      <c r="W123" s="9"/>
      <c r="X123">
        <v>326</v>
      </c>
      <c r="AA123" s="3">
        <v>4.22</v>
      </c>
      <c r="AB123" s="9">
        <v>0.22195121951219512</v>
      </c>
      <c r="AD123" s="3">
        <v>4.22</v>
      </c>
      <c r="AE123" s="6">
        <f t="shared" si="6"/>
        <v>0.48704975609756096</v>
      </c>
      <c r="AG123" s="3">
        <f t="shared" si="7"/>
        <v>3.4354098127540933</v>
      </c>
    </row>
    <row r="124" spans="1:33" x14ac:dyDescent="0.25">
      <c r="A124" t="s">
        <v>46</v>
      </c>
      <c r="B124" t="s">
        <v>0</v>
      </c>
      <c r="C124">
        <v>63</v>
      </c>
      <c r="D124">
        <v>327</v>
      </c>
      <c r="E124" s="2">
        <v>21</v>
      </c>
      <c r="F124" t="s">
        <v>22</v>
      </c>
      <c r="I124" s="6">
        <v>12.54</v>
      </c>
      <c r="J124" s="4">
        <v>0.24776500638569604</v>
      </c>
      <c r="K124" s="10">
        <v>148</v>
      </c>
      <c r="L124" s="6">
        <v>13.571245742313456</v>
      </c>
      <c r="M124" s="6">
        <f t="shared" si="5"/>
        <v>1.7484894897631948</v>
      </c>
      <c r="O124">
        <v>327</v>
      </c>
      <c r="R124" s="3">
        <v>2.2999999999999998</v>
      </c>
      <c r="S124" s="9">
        <v>0.36792452830188677</v>
      </c>
      <c r="T124" s="11">
        <v>108</v>
      </c>
      <c r="U124" s="3">
        <v>2.7549870100530893</v>
      </c>
      <c r="V124" s="6" t="s">
        <v>60</v>
      </c>
      <c r="W124" s="9"/>
      <c r="X124">
        <v>327</v>
      </c>
      <c r="AA124" s="3">
        <v>3.72</v>
      </c>
      <c r="AB124" s="9">
        <v>0.22195121951219512</v>
      </c>
      <c r="AD124" s="3">
        <v>3.72</v>
      </c>
      <c r="AE124" s="6">
        <f t="shared" si="6"/>
        <v>0.42934243902439029</v>
      </c>
      <c r="AG124" s="3" t="s">
        <v>60</v>
      </c>
    </row>
    <row r="125" spans="1:33" x14ac:dyDescent="0.25">
      <c r="A125" t="s">
        <v>46</v>
      </c>
      <c r="B125" t="s">
        <v>0</v>
      </c>
      <c r="C125">
        <v>63</v>
      </c>
      <c r="D125">
        <v>328</v>
      </c>
      <c r="E125" s="2">
        <v>2</v>
      </c>
      <c r="F125" t="s">
        <v>4</v>
      </c>
      <c r="I125" s="6">
        <v>14.5</v>
      </c>
      <c r="J125" s="4">
        <v>0.24776500638569604</v>
      </c>
      <c r="K125" s="10">
        <v>102</v>
      </c>
      <c r="L125" s="6">
        <v>15.122303465189155</v>
      </c>
      <c r="M125" s="6">
        <f t="shared" si="5"/>
        <v>1.9483243596018927</v>
      </c>
      <c r="O125">
        <v>328</v>
      </c>
      <c r="R125" s="3">
        <v>2.2000000000000002</v>
      </c>
      <c r="S125" s="9">
        <v>0.36792452830188677</v>
      </c>
      <c r="T125" s="11">
        <v>151</v>
      </c>
      <c r="U125" s="3">
        <v>2.9124138710041798</v>
      </c>
      <c r="V125" s="6" t="s">
        <v>60</v>
      </c>
      <c r="W125" s="9"/>
      <c r="X125">
        <v>328</v>
      </c>
      <c r="AA125" s="3">
        <v>3.62</v>
      </c>
      <c r="AB125" s="9">
        <v>0.22195121951219512</v>
      </c>
      <c r="AC125">
        <v>84</v>
      </c>
      <c r="AD125" s="3">
        <v>4.1399999999999997</v>
      </c>
      <c r="AE125" s="6">
        <f t="shared" si="6"/>
        <v>0.47781658536585364</v>
      </c>
      <c r="AG125" s="3" t="s">
        <v>60</v>
      </c>
    </row>
    <row r="126" spans="1:33" x14ac:dyDescent="0.25">
      <c r="A126" t="s">
        <v>46</v>
      </c>
      <c r="B126" t="s">
        <v>0</v>
      </c>
      <c r="C126">
        <v>63</v>
      </c>
      <c r="D126">
        <v>329</v>
      </c>
      <c r="E126" s="2">
        <v>30</v>
      </c>
      <c r="F126" t="s">
        <v>9</v>
      </c>
      <c r="G126" s="2">
        <v>778</v>
      </c>
      <c r="H126" s="2">
        <v>198</v>
      </c>
      <c r="I126" s="6">
        <v>14.36</v>
      </c>
      <c r="J126" s="4">
        <v>0.22252010723860591</v>
      </c>
      <c r="K126" s="10">
        <v>88</v>
      </c>
      <c r="L126" s="6">
        <v>14.914323018948039</v>
      </c>
      <c r="M126" s="6">
        <f t="shared" si="5"/>
        <v>1.7257431139351138</v>
      </c>
      <c r="O126">
        <v>329</v>
      </c>
      <c r="P126">
        <v>624</v>
      </c>
      <c r="Q126">
        <v>247</v>
      </c>
      <c r="R126" s="3">
        <v>1.7</v>
      </c>
      <c r="S126" s="9">
        <v>0.36317567567567566</v>
      </c>
      <c r="T126" s="11">
        <v>162</v>
      </c>
      <c r="U126" s="3">
        <v>2.488443806986989</v>
      </c>
      <c r="V126" s="6" t="s">
        <v>60</v>
      </c>
      <c r="W126" s="9"/>
      <c r="X126">
        <v>329</v>
      </c>
      <c r="Y126">
        <v>635</v>
      </c>
      <c r="Z126">
        <v>157</v>
      </c>
      <c r="AA126" s="3">
        <v>4.38</v>
      </c>
      <c r="AB126" s="9">
        <v>0.20729684908789386</v>
      </c>
      <c r="AD126" s="3">
        <v>4.38</v>
      </c>
      <c r="AE126" s="6">
        <f t="shared" si="6"/>
        <v>0.47213930348258709</v>
      </c>
      <c r="AG126" s="3" t="s">
        <v>60</v>
      </c>
    </row>
    <row r="127" spans="1:33" x14ac:dyDescent="0.25">
      <c r="A127" t="s">
        <v>46</v>
      </c>
      <c r="B127" t="s">
        <v>0</v>
      </c>
      <c r="C127">
        <v>63</v>
      </c>
      <c r="D127">
        <v>330</v>
      </c>
      <c r="E127" s="2">
        <v>8</v>
      </c>
      <c r="F127" t="s">
        <v>31</v>
      </c>
      <c r="I127" s="6">
        <v>15.04</v>
      </c>
      <c r="J127" s="4">
        <v>0.22252010723860591</v>
      </c>
      <c r="K127" s="10">
        <v>84</v>
      </c>
      <c r="L127" s="6">
        <v>15.554728517594606</v>
      </c>
      <c r="M127" s="6">
        <f t="shared" si="5"/>
        <v>1.7998447260573278</v>
      </c>
      <c r="O127">
        <v>330</v>
      </c>
      <c r="R127" s="3">
        <v>11.3</v>
      </c>
      <c r="S127" s="9">
        <v>0.36317567567567566</v>
      </c>
      <c r="T127" s="11">
        <v>111</v>
      </c>
      <c r="U127" s="3">
        <v>11.779131236553633</v>
      </c>
      <c r="V127" s="6" t="s">
        <v>60</v>
      </c>
      <c r="W127" s="9"/>
      <c r="X127">
        <v>330</v>
      </c>
      <c r="AA127" s="3">
        <v>4.68</v>
      </c>
      <c r="AB127" s="9">
        <v>0.20729684908789386</v>
      </c>
      <c r="AD127" s="3">
        <v>4.68</v>
      </c>
      <c r="AE127" s="6">
        <f t="shared" si="6"/>
        <v>0.5044776119402985</v>
      </c>
      <c r="AG127" s="3" t="s">
        <v>60</v>
      </c>
    </row>
    <row r="128" spans="1:33" x14ac:dyDescent="0.25">
      <c r="A128" t="s">
        <v>46</v>
      </c>
      <c r="B128" t="s">
        <v>0</v>
      </c>
      <c r="C128">
        <v>63</v>
      </c>
      <c r="D128">
        <v>331</v>
      </c>
      <c r="E128" s="2">
        <v>17</v>
      </c>
      <c r="F128" t="s">
        <v>17</v>
      </c>
      <c r="I128" s="6">
        <v>15.36</v>
      </c>
      <c r="J128" s="4">
        <v>0.22252010723860591</v>
      </c>
      <c r="K128" s="10">
        <v>93</v>
      </c>
      <c r="L128" s="6">
        <v>15.963816145639827</v>
      </c>
      <c r="M128" s="6">
        <f t="shared" si="5"/>
        <v>1.8471804419458846</v>
      </c>
      <c r="O128">
        <v>331</v>
      </c>
      <c r="R128" s="3">
        <v>4.38</v>
      </c>
      <c r="S128" s="9">
        <v>0.36317567567567566</v>
      </c>
      <c r="T128" s="11">
        <v>106</v>
      </c>
      <c r="U128" s="3">
        <v>4.8288064747464396</v>
      </c>
      <c r="V128" s="3">
        <f t="shared" si="8"/>
        <v>0.91192662817002013</v>
      </c>
      <c r="W128" s="9"/>
      <c r="X128">
        <v>331</v>
      </c>
      <c r="AA128" s="3">
        <v>4.4000000000000004</v>
      </c>
      <c r="AB128" s="9">
        <v>0.20729684908789386</v>
      </c>
      <c r="AD128" s="3">
        <v>4.4000000000000004</v>
      </c>
      <c r="AE128" s="6">
        <f t="shared" si="6"/>
        <v>0.47429519071310122</v>
      </c>
      <c r="AG128" s="3">
        <f t="shared" si="7"/>
        <v>3.2334022608290063</v>
      </c>
    </row>
    <row r="129" spans="1:33" x14ac:dyDescent="0.25">
      <c r="A129" t="s">
        <v>46</v>
      </c>
      <c r="B129" t="s">
        <v>0</v>
      </c>
      <c r="C129">
        <v>63</v>
      </c>
      <c r="D129">
        <v>332</v>
      </c>
      <c r="E129" s="2">
        <v>34</v>
      </c>
      <c r="F129" t="s">
        <v>34</v>
      </c>
      <c r="I129" s="6">
        <v>15.22</v>
      </c>
      <c r="J129" s="4">
        <v>0.22252010723860591</v>
      </c>
      <c r="K129" s="10">
        <v>80</v>
      </c>
      <c r="L129" s="6">
        <v>15.695134016241177</v>
      </c>
      <c r="M129" s="6">
        <f t="shared" si="5"/>
        <v>1.8160911102975046</v>
      </c>
      <c r="O129">
        <v>332</v>
      </c>
      <c r="R129" s="3">
        <v>3.94</v>
      </c>
      <c r="S129" s="9">
        <v>0.36317567567567566</v>
      </c>
      <c r="T129" s="11">
        <v>165</v>
      </c>
      <c r="U129" s="3">
        <v>4.7466386640713045</v>
      </c>
      <c r="V129" s="3">
        <f t="shared" si="8"/>
        <v>0.89640912608643897</v>
      </c>
      <c r="W129" s="9"/>
      <c r="X129">
        <v>332</v>
      </c>
      <c r="AA129" s="3">
        <v>4.62</v>
      </c>
      <c r="AB129" s="9">
        <v>0.20729684908789386</v>
      </c>
      <c r="AD129" s="3">
        <v>4.62</v>
      </c>
      <c r="AE129" s="6">
        <f t="shared" si="6"/>
        <v>0.49800995024875627</v>
      </c>
      <c r="AG129" s="3">
        <f t="shared" si="7"/>
        <v>3.2105101866326997</v>
      </c>
    </row>
    <row r="130" spans="1:33" x14ac:dyDescent="0.25">
      <c r="A130" t="s">
        <v>46</v>
      </c>
      <c r="B130" t="s">
        <v>0</v>
      </c>
      <c r="C130">
        <v>63</v>
      </c>
      <c r="D130">
        <v>333</v>
      </c>
      <c r="E130" s="2">
        <v>14</v>
      </c>
      <c r="F130" t="s">
        <v>25</v>
      </c>
      <c r="G130" s="2">
        <v>894</v>
      </c>
      <c r="H130" s="2">
        <v>246</v>
      </c>
      <c r="I130" s="6">
        <v>13.86</v>
      </c>
      <c r="J130" s="4">
        <v>0.24825986078886311</v>
      </c>
      <c r="K130" s="10">
        <v>71</v>
      </c>
      <c r="L130" s="6">
        <v>14.206020832475605</v>
      </c>
      <c r="M130" s="6">
        <f t="shared" si="5"/>
        <v>1.8339280722017233</v>
      </c>
      <c r="O130">
        <v>333</v>
      </c>
      <c r="P130">
        <v>784</v>
      </c>
      <c r="Q130">
        <v>307</v>
      </c>
      <c r="R130" s="3">
        <v>3.32</v>
      </c>
      <c r="S130" s="9">
        <v>0.36569148936170215</v>
      </c>
      <c r="T130" s="11">
        <v>129</v>
      </c>
      <c r="U130" s="3">
        <v>3.9042531037244692</v>
      </c>
      <c r="V130" s="3">
        <f t="shared" si="8"/>
        <v>0.74243110881994567</v>
      </c>
      <c r="W130" s="9"/>
      <c r="X130">
        <v>333</v>
      </c>
      <c r="Y130">
        <v>847</v>
      </c>
      <c r="Z130">
        <v>216</v>
      </c>
      <c r="AA130" s="3">
        <v>3.9</v>
      </c>
      <c r="AB130" s="9">
        <v>0.22576687116564417</v>
      </c>
      <c r="AD130" s="3">
        <v>3.9</v>
      </c>
      <c r="AE130" s="6">
        <f t="shared" si="6"/>
        <v>0.45785521472392637</v>
      </c>
      <c r="AG130" s="3">
        <f t="shared" si="7"/>
        <v>3.0342143957455954</v>
      </c>
    </row>
    <row r="131" spans="1:33" x14ac:dyDescent="0.25">
      <c r="A131" t="s">
        <v>46</v>
      </c>
      <c r="B131" t="s">
        <v>0</v>
      </c>
      <c r="C131">
        <v>63</v>
      </c>
      <c r="D131">
        <v>334</v>
      </c>
      <c r="E131" s="2">
        <v>7</v>
      </c>
      <c r="F131" t="s">
        <v>16</v>
      </c>
      <c r="I131" s="6">
        <v>13.96</v>
      </c>
      <c r="J131" s="4">
        <v>0.24825986078886311</v>
      </c>
      <c r="K131" s="10">
        <v>74</v>
      </c>
      <c r="L131" s="6">
        <v>14.332637819589115</v>
      </c>
      <c r="M131" s="6">
        <f t="shared" ref="M131:M194" si="9">J131*L131*0.52</f>
        <v>1.8502737083107621</v>
      </c>
      <c r="O131">
        <v>334</v>
      </c>
      <c r="R131" s="3">
        <v>3.3</v>
      </c>
      <c r="S131" s="9">
        <v>0.36569148936170215</v>
      </c>
      <c r="T131" s="11">
        <v>167</v>
      </c>
      <c r="U131" s="3">
        <v>4.1131357629154985</v>
      </c>
      <c r="V131" s="3">
        <f t="shared" si="8"/>
        <v>0.78215214640547392</v>
      </c>
      <c r="W131" s="9"/>
      <c r="X131">
        <v>334</v>
      </c>
      <c r="AA131" s="3">
        <v>3.7</v>
      </c>
      <c r="AB131" s="9">
        <v>0.22576687116564417</v>
      </c>
      <c r="AD131" s="3">
        <v>3.7</v>
      </c>
      <c r="AE131" s="6">
        <f t="shared" ref="AE131:AE194" si="10">AB131*AD131*0.52</f>
        <v>0.43437546012269945</v>
      </c>
      <c r="AG131" s="3">
        <f t="shared" ref="AG131:AG193" si="11">M131+V131+AE131</f>
        <v>3.0668013148389353</v>
      </c>
    </row>
    <row r="132" spans="1:33" x14ac:dyDescent="0.25">
      <c r="A132" t="s">
        <v>46</v>
      </c>
      <c r="B132" t="s">
        <v>0</v>
      </c>
      <c r="C132">
        <v>63</v>
      </c>
      <c r="D132">
        <v>335</v>
      </c>
      <c r="E132" s="2">
        <v>9</v>
      </c>
      <c r="F132" t="s">
        <v>19</v>
      </c>
      <c r="I132" s="6">
        <v>14.56</v>
      </c>
      <c r="J132" s="4">
        <v>0.24825986078886311</v>
      </c>
      <c r="K132" s="10">
        <v>77</v>
      </c>
      <c r="L132" s="6">
        <v>14.959254806702623</v>
      </c>
      <c r="M132" s="6">
        <f t="shared" si="9"/>
        <v>1.9311669082249048</v>
      </c>
      <c r="O132">
        <v>335</v>
      </c>
      <c r="R132" s="3">
        <v>3.5</v>
      </c>
      <c r="S132" s="9">
        <v>0.36569148936170215</v>
      </c>
      <c r="T132" s="11">
        <v>168</v>
      </c>
      <c r="U132" s="3">
        <v>4.3191589907889467</v>
      </c>
      <c r="V132" s="3">
        <f t="shared" si="8"/>
        <v>0.82132943574843009</v>
      </c>
      <c r="W132" s="9"/>
      <c r="X132">
        <v>335</v>
      </c>
      <c r="AA132" s="3">
        <v>4.5199999999999996</v>
      </c>
      <c r="AB132" s="9">
        <v>0.22576687116564417</v>
      </c>
      <c r="AD132" s="3">
        <v>4.5199999999999996</v>
      </c>
      <c r="AE132" s="6">
        <f t="shared" si="10"/>
        <v>0.53064245398773002</v>
      </c>
      <c r="AG132" s="3">
        <f t="shared" si="11"/>
        <v>3.2831387979610649</v>
      </c>
    </row>
    <row r="133" spans="1:33" x14ac:dyDescent="0.25">
      <c r="A133" t="s">
        <v>46</v>
      </c>
      <c r="B133" t="s">
        <v>0</v>
      </c>
      <c r="C133">
        <v>63</v>
      </c>
      <c r="D133">
        <v>336</v>
      </c>
      <c r="E133" s="2">
        <v>11</v>
      </c>
      <c r="F133" t="s">
        <v>15</v>
      </c>
      <c r="I133" s="6">
        <v>17.079999999999998</v>
      </c>
      <c r="J133" s="4">
        <v>0.24825986078886311</v>
      </c>
      <c r="K133" s="10">
        <v>73</v>
      </c>
      <c r="L133" s="6">
        <v>17.443765490551275</v>
      </c>
      <c r="M133" s="6">
        <f t="shared" si="9"/>
        <v>2.2519051320052736</v>
      </c>
      <c r="O133">
        <v>336</v>
      </c>
      <c r="R133" s="3">
        <v>5.36</v>
      </c>
      <c r="S133" s="9">
        <v>0.36569148936170215</v>
      </c>
      <c r="T133" s="11">
        <v>125</v>
      </c>
      <c r="U133" s="3">
        <v>5.9201601922306768</v>
      </c>
      <c r="V133" s="3">
        <f t="shared" si="8"/>
        <v>1.1257751429374827</v>
      </c>
      <c r="W133" s="9"/>
      <c r="X133">
        <v>336</v>
      </c>
      <c r="AA133" s="3">
        <v>5.16</v>
      </c>
      <c r="AB133" s="9">
        <v>0.22576687116564417</v>
      </c>
      <c r="AD133" s="3">
        <v>5.16</v>
      </c>
      <c r="AE133" s="6">
        <f t="shared" si="10"/>
        <v>0.6057776687116565</v>
      </c>
      <c r="AG133" s="3">
        <f t="shared" si="11"/>
        <v>3.9834579436544129</v>
      </c>
    </row>
    <row r="134" spans="1:33" x14ac:dyDescent="0.25">
      <c r="A134" t="s">
        <v>46</v>
      </c>
      <c r="B134" t="s">
        <v>0</v>
      </c>
      <c r="C134">
        <v>63</v>
      </c>
      <c r="D134">
        <v>337</v>
      </c>
      <c r="E134" s="2">
        <v>29</v>
      </c>
      <c r="F134" t="s">
        <v>11</v>
      </c>
      <c r="G134" s="2">
        <v>809</v>
      </c>
      <c r="H134" s="2">
        <v>219</v>
      </c>
      <c r="I134" s="6">
        <v>16</v>
      </c>
      <c r="J134" s="4">
        <v>0.24066924066924067</v>
      </c>
      <c r="K134" s="10">
        <v>84</v>
      </c>
      <c r="L134" s="6">
        <v>16.475912271196023</v>
      </c>
      <c r="M134" s="6">
        <f t="shared" si="9"/>
        <v>2.0619275537337214</v>
      </c>
      <c r="O134">
        <v>337</v>
      </c>
      <c r="P134">
        <v>849</v>
      </c>
      <c r="Q134">
        <v>333</v>
      </c>
      <c r="R134" s="3">
        <v>5.2</v>
      </c>
      <c r="S134" s="9">
        <v>0.36842105263157893</v>
      </c>
      <c r="T134" s="11">
        <v>121</v>
      </c>
      <c r="U134" s="3">
        <v>5.7320956576463189</v>
      </c>
      <c r="V134" s="3">
        <f t="shared" si="8"/>
        <v>1.0981488523069791</v>
      </c>
      <c r="W134" s="9"/>
      <c r="X134">
        <v>337</v>
      </c>
      <c r="Y134">
        <v>752</v>
      </c>
      <c r="Z134">
        <v>185</v>
      </c>
      <c r="AA134" s="3">
        <v>5.08</v>
      </c>
      <c r="AB134" s="9">
        <v>0.21249999999999999</v>
      </c>
      <c r="AD134" s="3">
        <v>5.08</v>
      </c>
      <c r="AE134" s="6">
        <f t="shared" si="10"/>
        <v>0.56133999999999995</v>
      </c>
      <c r="AG134" s="3">
        <f t="shared" si="11"/>
        <v>3.7214164060407007</v>
      </c>
    </row>
    <row r="135" spans="1:33" x14ac:dyDescent="0.25">
      <c r="A135" t="s">
        <v>46</v>
      </c>
      <c r="B135" t="s">
        <v>0</v>
      </c>
      <c r="C135">
        <v>63</v>
      </c>
      <c r="D135">
        <v>338</v>
      </c>
      <c r="E135" s="2">
        <v>26</v>
      </c>
      <c r="F135" t="s">
        <v>21</v>
      </c>
      <c r="I135" s="6">
        <v>16.78</v>
      </c>
      <c r="J135" s="4">
        <v>0.24066924066924067</v>
      </c>
      <c r="K135" s="10">
        <v>81</v>
      </c>
      <c r="L135" s="6">
        <v>17.228455794011637</v>
      </c>
      <c r="M135" s="6">
        <f t="shared" si="9"/>
        <v>2.1561068744011478</v>
      </c>
      <c r="O135">
        <v>338</v>
      </c>
      <c r="R135" s="3">
        <v>3.8</v>
      </c>
      <c r="S135" s="9">
        <v>0.36842105263157893</v>
      </c>
      <c r="T135" s="11">
        <v>140</v>
      </c>
      <c r="U135" s="3">
        <v>4.4456891126494646</v>
      </c>
      <c r="V135" s="3">
        <f t="shared" si="8"/>
        <v>0.85170044052863425</v>
      </c>
      <c r="W135" s="9"/>
      <c r="X135">
        <v>338</v>
      </c>
      <c r="AA135" s="3">
        <v>5.22</v>
      </c>
      <c r="AB135" s="9">
        <v>0.21249999999999999</v>
      </c>
      <c r="AD135" s="3">
        <v>5.22</v>
      </c>
      <c r="AE135" s="6">
        <f t="shared" si="10"/>
        <v>0.57680999999999993</v>
      </c>
      <c r="AG135" s="3">
        <f t="shared" si="11"/>
        <v>3.584617314929782</v>
      </c>
    </row>
    <row r="136" spans="1:33" x14ac:dyDescent="0.25">
      <c r="A136" t="s">
        <v>46</v>
      </c>
      <c r="B136" t="s">
        <v>0</v>
      </c>
      <c r="C136">
        <v>63</v>
      </c>
      <c r="D136">
        <v>339</v>
      </c>
      <c r="E136" s="2">
        <v>28</v>
      </c>
      <c r="F136" t="s">
        <v>13</v>
      </c>
      <c r="I136" s="6">
        <v>16.440000000000001</v>
      </c>
      <c r="J136" s="4">
        <v>0.24066924066924067</v>
      </c>
      <c r="K136" s="10">
        <v>85</v>
      </c>
      <c r="L136" s="6">
        <v>16.925064430257486</v>
      </c>
      <c r="M136" s="6">
        <f t="shared" si="9"/>
        <v>2.1181380504481826</v>
      </c>
      <c r="O136">
        <v>339</v>
      </c>
      <c r="R136" s="3">
        <v>3.8</v>
      </c>
      <c r="S136" s="9">
        <v>0.36842105263157893</v>
      </c>
      <c r="T136" s="11">
        <v>107</v>
      </c>
      <c r="U136" s="3">
        <v>4.2483952171176842</v>
      </c>
      <c r="V136" s="3">
        <f t="shared" si="8"/>
        <v>0.81390308370044051</v>
      </c>
      <c r="W136" s="9"/>
      <c r="X136">
        <v>339</v>
      </c>
      <c r="AA136" s="3">
        <v>4.84</v>
      </c>
      <c r="AB136" s="9">
        <v>0.21249999999999999</v>
      </c>
      <c r="AD136" s="3">
        <v>4.84</v>
      </c>
      <c r="AE136" s="6">
        <f t="shared" si="10"/>
        <v>0.53481999999999996</v>
      </c>
      <c r="AG136" s="3">
        <f t="shared" si="11"/>
        <v>3.4668611341486231</v>
      </c>
    </row>
    <row r="137" spans="1:33" x14ac:dyDescent="0.25">
      <c r="A137" t="s">
        <v>46</v>
      </c>
      <c r="B137" t="s">
        <v>0</v>
      </c>
      <c r="C137">
        <v>63</v>
      </c>
      <c r="D137">
        <v>340</v>
      </c>
      <c r="E137" s="2">
        <v>31</v>
      </c>
      <c r="F137" t="s">
        <v>29</v>
      </c>
      <c r="I137" s="6">
        <v>15.5</v>
      </c>
      <c r="J137" s="4">
        <v>0.24066924066924067</v>
      </c>
      <c r="K137" s="10">
        <v>89</v>
      </c>
      <c r="L137" s="6">
        <v>16.021673066503332</v>
      </c>
      <c r="M137" s="6">
        <f t="shared" si="9"/>
        <v>2.0050804234064143</v>
      </c>
      <c r="O137">
        <v>340</v>
      </c>
      <c r="R137" s="3">
        <v>3.34</v>
      </c>
      <c r="S137" s="9">
        <v>0.36842105263157893</v>
      </c>
      <c r="T137" s="11">
        <v>171</v>
      </c>
      <c r="U137" s="3">
        <v>4.1710258023914406</v>
      </c>
      <c r="V137" s="3">
        <f t="shared" si="8"/>
        <v>0.79908073266867596</v>
      </c>
      <c r="W137" s="9"/>
      <c r="X137">
        <v>340</v>
      </c>
      <c r="AA137" s="3">
        <v>5.42</v>
      </c>
      <c r="AB137" s="9">
        <v>0.21249999999999999</v>
      </c>
      <c r="AD137" s="3">
        <v>5.42</v>
      </c>
      <c r="AE137" s="6">
        <f t="shared" si="10"/>
        <v>0.59891000000000005</v>
      </c>
      <c r="AG137" s="3">
        <f t="shared" si="11"/>
        <v>3.4030711560750904</v>
      </c>
    </row>
    <row r="138" spans="1:33" x14ac:dyDescent="0.25">
      <c r="A138" t="s">
        <v>46</v>
      </c>
      <c r="B138" t="s">
        <v>0</v>
      </c>
      <c r="C138">
        <v>63</v>
      </c>
      <c r="D138">
        <v>341</v>
      </c>
      <c r="E138" s="2">
        <v>10</v>
      </c>
      <c r="F138" t="s">
        <v>35</v>
      </c>
      <c r="G138" s="2">
        <v>942</v>
      </c>
      <c r="H138" s="2">
        <v>249</v>
      </c>
      <c r="I138" s="6">
        <v>14.5</v>
      </c>
      <c r="J138" s="4">
        <v>0.23846153846153847</v>
      </c>
      <c r="K138" s="10">
        <v>81</v>
      </c>
      <c r="L138" s="6">
        <v>14.952607645303397</v>
      </c>
      <c r="M138" s="6">
        <f t="shared" si="9"/>
        <v>1.8541233480176214</v>
      </c>
      <c r="O138">
        <v>341</v>
      </c>
      <c r="P138">
        <v>642</v>
      </c>
      <c r="Q138">
        <v>267</v>
      </c>
      <c r="R138" s="3">
        <v>3.12</v>
      </c>
      <c r="S138" s="9">
        <v>0.38524590163934425</v>
      </c>
      <c r="T138" s="11">
        <v>105</v>
      </c>
      <c r="U138" s="3">
        <v>3.5373774486831007</v>
      </c>
      <c r="V138" s="3">
        <f t="shared" si="8"/>
        <v>0.7086352856214343</v>
      </c>
      <c r="W138" s="9"/>
      <c r="X138">
        <v>341</v>
      </c>
      <c r="Y138">
        <v>878</v>
      </c>
      <c r="Z138">
        <v>208</v>
      </c>
      <c r="AA138" s="3">
        <v>5.19</v>
      </c>
      <c r="AB138" s="9">
        <v>0.20803782505910165</v>
      </c>
      <c r="AD138" s="3">
        <v>5.19</v>
      </c>
      <c r="AE138" s="6">
        <f t="shared" si="10"/>
        <v>0.56145248226950362</v>
      </c>
      <c r="AG138" s="3">
        <f t="shared" si="11"/>
        <v>3.124211115908559</v>
      </c>
    </row>
    <row r="139" spans="1:33" x14ac:dyDescent="0.25">
      <c r="A139" t="s">
        <v>46</v>
      </c>
      <c r="B139" t="s">
        <v>0</v>
      </c>
      <c r="C139">
        <v>63</v>
      </c>
      <c r="D139">
        <v>342</v>
      </c>
      <c r="E139" s="2">
        <v>35</v>
      </c>
      <c r="F139" t="s">
        <v>26</v>
      </c>
      <c r="I139" s="6">
        <v>16.04</v>
      </c>
      <c r="J139" s="4">
        <v>0.23846153846153847</v>
      </c>
      <c r="K139" s="10">
        <v>91</v>
      </c>
      <c r="L139" s="6">
        <v>16.58497655250817</v>
      </c>
      <c r="M139" s="6">
        <f t="shared" si="9"/>
        <v>2.0565370925110136</v>
      </c>
      <c r="O139">
        <v>342</v>
      </c>
      <c r="R139" s="3">
        <v>3.5</v>
      </c>
      <c r="S139" s="9">
        <v>0.38524590163934425</v>
      </c>
      <c r="T139" s="11">
        <v>159</v>
      </c>
      <c r="U139" s="3">
        <v>4.2261224107226543</v>
      </c>
      <c r="V139" s="3">
        <f t="shared" si="8"/>
        <v>0.84661009604968585</v>
      </c>
      <c r="W139" s="9"/>
      <c r="X139">
        <v>342</v>
      </c>
      <c r="AA139" s="3">
        <v>5.9</v>
      </c>
      <c r="AB139" s="9">
        <v>0.20803782505910165</v>
      </c>
      <c r="AD139" s="3">
        <v>5.9</v>
      </c>
      <c r="AE139" s="6">
        <f t="shared" si="10"/>
        <v>0.63826004728132391</v>
      </c>
      <c r="AG139" s="3">
        <f t="shared" si="11"/>
        <v>3.5414072358420232</v>
      </c>
    </row>
    <row r="140" spans="1:33" x14ac:dyDescent="0.25">
      <c r="A140" t="s">
        <v>46</v>
      </c>
      <c r="B140" t="s">
        <v>0</v>
      </c>
      <c r="C140">
        <v>63</v>
      </c>
      <c r="D140">
        <v>343</v>
      </c>
      <c r="E140" s="2">
        <v>27</v>
      </c>
      <c r="F140" t="s">
        <v>14</v>
      </c>
      <c r="I140" s="6">
        <v>13.36</v>
      </c>
      <c r="J140" s="4">
        <v>0.23846153846153847</v>
      </c>
      <c r="K140" s="10">
        <v>85</v>
      </c>
      <c r="L140" s="6">
        <v>13.849555208185306</v>
      </c>
      <c r="M140" s="6">
        <f t="shared" si="9"/>
        <v>1.7173448458149783</v>
      </c>
      <c r="O140">
        <v>343</v>
      </c>
      <c r="R140" s="3">
        <v>3.26</v>
      </c>
      <c r="S140" s="9">
        <v>0.38524590163934425</v>
      </c>
      <c r="T140" s="11">
        <v>127</v>
      </c>
      <c r="U140" s="3">
        <v>3.8031624332177332</v>
      </c>
      <c r="V140" s="3">
        <f t="shared" si="8"/>
        <v>0.76187942514624096</v>
      </c>
      <c r="W140" s="9"/>
      <c r="X140">
        <v>343</v>
      </c>
      <c r="AA140" s="3">
        <v>5.2</v>
      </c>
      <c r="AB140" s="9">
        <v>0.20803782505910165</v>
      </c>
      <c r="AD140" s="3">
        <v>5.2</v>
      </c>
      <c r="AE140" s="6">
        <f t="shared" si="10"/>
        <v>0.5625342789598109</v>
      </c>
      <c r="AG140" s="3">
        <f t="shared" si="11"/>
        <v>3.0417585499210302</v>
      </c>
    </row>
    <row r="141" spans="1:33" x14ac:dyDescent="0.25">
      <c r="A141" t="s">
        <v>46</v>
      </c>
      <c r="B141" t="s">
        <v>0</v>
      </c>
      <c r="C141">
        <v>63</v>
      </c>
      <c r="D141">
        <v>344</v>
      </c>
      <c r="E141" s="2">
        <v>18</v>
      </c>
      <c r="F141" t="s">
        <v>18</v>
      </c>
      <c r="I141" s="6">
        <v>13.16</v>
      </c>
      <c r="J141" s="4">
        <v>0.23846153846153847</v>
      </c>
      <c r="K141" s="10">
        <v>79</v>
      </c>
      <c r="L141" s="6">
        <v>13.594133863862442</v>
      </c>
      <c r="M141" s="6">
        <f t="shared" si="9"/>
        <v>1.685672599118943</v>
      </c>
      <c r="O141">
        <v>344</v>
      </c>
      <c r="R141" s="3">
        <v>3.08</v>
      </c>
      <c r="S141" s="9">
        <v>0.38524590163934425</v>
      </c>
      <c r="T141" s="11">
        <v>141</v>
      </c>
      <c r="U141" s="3">
        <v>3.7032074233761367</v>
      </c>
      <c r="V141" s="3">
        <f t="shared" si="8"/>
        <v>0.74185565104354745</v>
      </c>
      <c r="W141" s="9"/>
      <c r="X141">
        <v>344</v>
      </c>
      <c r="AA141" s="3">
        <v>5.3</v>
      </c>
      <c r="AB141" s="9">
        <v>0.20803782505910165</v>
      </c>
      <c r="AD141" s="3">
        <v>5.3</v>
      </c>
      <c r="AE141" s="6">
        <f t="shared" si="10"/>
        <v>0.57335224586288425</v>
      </c>
      <c r="AG141" s="3">
        <f t="shared" si="11"/>
        <v>3.0008804960253745</v>
      </c>
    </row>
    <row r="142" spans="1:33" x14ac:dyDescent="0.25">
      <c r="A142" t="s">
        <v>46</v>
      </c>
      <c r="B142" t="s">
        <v>0</v>
      </c>
      <c r="C142">
        <v>63</v>
      </c>
      <c r="D142">
        <v>345</v>
      </c>
      <c r="E142" s="2">
        <v>16</v>
      </c>
      <c r="F142" t="s">
        <v>12</v>
      </c>
      <c r="G142" s="2">
        <v>944</v>
      </c>
      <c r="H142" s="2">
        <v>260</v>
      </c>
      <c r="I142" s="6">
        <v>13.22</v>
      </c>
      <c r="J142" s="4">
        <v>0.25</v>
      </c>
      <c r="K142" s="10">
        <v>82</v>
      </c>
      <c r="L142" s="6">
        <v>13.660528634361235</v>
      </c>
      <c r="M142" s="6">
        <f t="shared" si="9"/>
        <v>1.7758687224669607</v>
      </c>
      <c r="O142">
        <v>345</v>
      </c>
      <c r="P142">
        <v>344</v>
      </c>
      <c r="Q142">
        <v>161</v>
      </c>
      <c r="R142" s="3">
        <v>3.14</v>
      </c>
      <c r="S142" s="9">
        <v>0.41346153846153844</v>
      </c>
      <c r="T142" s="11">
        <v>151</v>
      </c>
      <c r="U142" s="3">
        <v>3.7739514394017006</v>
      </c>
      <c r="V142" s="3">
        <f t="shared" si="8"/>
        <v>0.81139955947136566</v>
      </c>
      <c r="W142" s="9"/>
      <c r="X142">
        <v>345</v>
      </c>
      <c r="Y142">
        <v>772</v>
      </c>
      <c r="Z142">
        <v>190</v>
      </c>
      <c r="AA142" s="3">
        <v>4.54</v>
      </c>
      <c r="AB142" s="9">
        <v>0.21351351351351353</v>
      </c>
      <c r="AD142" s="3">
        <v>4.54</v>
      </c>
      <c r="AE142" s="6">
        <f t="shared" si="10"/>
        <v>0.5040627027027027</v>
      </c>
      <c r="AG142" s="3">
        <f t="shared" si="11"/>
        <v>3.0913309846410293</v>
      </c>
    </row>
    <row r="143" spans="1:33" x14ac:dyDescent="0.25">
      <c r="A143" t="s">
        <v>46</v>
      </c>
      <c r="B143" t="s">
        <v>0</v>
      </c>
      <c r="C143">
        <v>63</v>
      </c>
      <c r="D143">
        <v>346</v>
      </c>
      <c r="E143" s="2">
        <v>32</v>
      </c>
      <c r="F143" t="s">
        <v>30</v>
      </c>
      <c r="I143" s="6">
        <v>16.420000000000002</v>
      </c>
      <c r="J143" s="4">
        <v>0.25</v>
      </c>
      <c r="K143" s="10">
        <v>83</v>
      </c>
      <c r="L143" s="6">
        <v>16.869339207048458</v>
      </c>
      <c r="M143" s="6">
        <f t="shared" si="9"/>
        <v>2.1930140969162997</v>
      </c>
      <c r="O143">
        <v>346</v>
      </c>
      <c r="R143" s="3">
        <v>3.1</v>
      </c>
      <c r="S143" s="9">
        <v>0.41346153846153844</v>
      </c>
      <c r="T143" s="11">
        <v>147</v>
      </c>
      <c r="U143" s="3">
        <v>3.7126421473209712</v>
      </c>
      <c r="V143" s="3">
        <f t="shared" si="8"/>
        <v>0.79821806167400877</v>
      </c>
      <c r="W143" s="9"/>
      <c r="X143">
        <v>346</v>
      </c>
      <c r="AA143" s="3">
        <v>4.92</v>
      </c>
      <c r="AB143" s="9">
        <v>0.21351351351351353</v>
      </c>
      <c r="AD143" s="3">
        <v>4.92</v>
      </c>
      <c r="AE143" s="6">
        <f t="shared" si="10"/>
        <v>0.54625297297297293</v>
      </c>
      <c r="AG143" s="3">
        <f t="shared" si="11"/>
        <v>3.5374851315632814</v>
      </c>
    </row>
    <row r="144" spans="1:33" x14ac:dyDescent="0.25">
      <c r="A144" t="s">
        <v>46</v>
      </c>
      <c r="B144" t="s">
        <v>0</v>
      </c>
      <c r="C144">
        <v>63</v>
      </c>
      <c r="D144">
        <v>347</v>
      </c>
      <c r="E144" s="2">
        <v>25</v>
      </c>
      <c r="F144" t="s">
        <v>8</v>
      </c>
      <c r="I144" s="6">
        <v>16.52</v>
      </c>
      <c r="J144" s="4">
        <v>0.25</v>
      </c>
      <c r="K144" s="10">
        <v>85</v>
      </c>
      <c r="L144" s="6">
        <v>16.986960352422908</v>
      </c>
      <c r="M144" s="6">
        <f t="shared" si="9"/>
        <v>2.2083048458149781</v>
      </c>
      <c r="O144">
        <v>347</v>
      </c>
      <c r="R144" s="3">
        <v>3.42</v>
      </c>
      <c r="S144" s="9">
        <v>0.41346153846153844</v>
      </c>
      <c r="T144" s="11">
        <v>149</v>
      </c>
      <c r="U144" s="3">
        <v>4.0432967933613355</v>
      </c>
      <c r="V144" s="3">
        <f t="shared" si="8"/>
        <v>0.86930881057268705</v>
      </c>
      <c r="W144" s="9"/>
      <c r="X144">
        <v>347</v>
      </c>
      <c r="AA144" s="3">
        <v>5.5</v>
      </c>
      <c r="AB144" s="9">
        <v>0.21351351351351353</v>
      </c>
      <c r="AD144" s="3">
        <v>5.5</v>
      </c>
      <c r="AE144" s="6">
        <f t="shared" si="10"/>
        <v>0.61064864864864876</v>
      </c>
      <c r="AG144" s="3">
        <f t="shared" si="11"/>
        <v>3.6882623050363139</v>
      </c>
    </row>
    <row r="145" spans="1:33" x14ac:dyDescent="0.25">
      <c r="A145" t="s">
        <v>46</v>
      </c>
      <c r="B145" t="s">
        <v>0</v>
      </c>
      <c r="C145">
        <v>63</v>
      </c>
      <c r="D145">
        <v>348</v>
      </c>
      <c r="E145" s="2">
        <v>5</v>
      </c>
      <c r="F145" t="s">
        <v>5</v>
      </c>
      <c r="I145" s="6">
        <v>14.28</v>
      </c>
      <c r="J145" s="4">
        <v>0.25</v>
      </c>
      <c r="K145" s="10">
        <v>83</v>
      </c>
      <c r="L145" s="6">
        <v>14.729339207048458</v>
      </c>
      <c r="M145" s="6">
        <f t="shared" si="9"/>
        <v>1.9148140969162997</v>
      </c>
      <c r="O145">
        <v>348</v>
      </c>
      <c r="R145" s="3">
        <v>3.12</v>
      </c>
      <c r="S145" s="9">
        <v>0.41346153846153844</v>
      </c>
      <c r="T145" s="11">
        <v>167</v>
      </c>
      <c r="U145" s="3">
        <v>3.8391886077246182</v>
      </c>
      <c r="V145" s="3">
        <f t="shared" si="8"/>
        <v>0.82542555066079282</v>
      </c>
      <c r="W145" s="9"/>
      <c r="X145">
        <v>348</v>
      </c>
      <c r="AA145" s="3">
        <v>4.66</v>
      </c>
      <c r="AB145" s="9">
        <v>0.21351351351351353</v>
      </c>
      <c r="AC145">
        <v>70</v>
      </c>
      <c r="AD145" s="3">
        <v>5.05</v>
      </c>
      <c r="AE145" s="6">
        <f t="shared" si="10"/>
        <v>0.56068648648648645</v>
      </c>
      <c r="AG145" s="3">
        <f t="shared" si="11"/>
        <v>3.3009261340635785</v>
      </c>
    </row>
    <row r="146" spans="1:33" x14ac:dyDescent="0.25">
      <c r="A146" t="s">
        <v>46</v>
      </c>
      <c r="B146" t="s">
        <v>0</v>
      </c>
      <c r="C146">
        <v>63</v>
      </c>
      <c r="D146">
        <v>401</v>
      </c>
      <c r="E146" s="2">
        <v>4</v>
      </c>
      <c r="F146" t="s">
        <v>2</v>
      </c>
      <c r="G146" s="2">
        <v>817</v>
      </c>
      <c r="H146" s="2">
        <v>261</v>
      </c>
      <c r="I146" s="6">
        <v>8.82</v>
      </c>
      <c r="J146" s="4">
        <v>0.29171974522292993</v>
      </c>
      <c r="K146" s="10"/>
      <c r="L146" s="6">
        <v>8.82</v>
      </c>
      <c r="M146" s="6">
        <f t="shared" si="9"/>
        <v>1.3379434394904459</v>
      </c>
      <c r="O146">
        <v>401</v>
      </c>
      <c r="S146" s="9"/>
      <c r="T146" s="11"/>
      <c r="U146" s="9"/>
      <c r="V146" s="11"/>
      <c r="W146" s="9"/>
      <c r="X146">
        <v>401</v>
      </c>
      <c r="Y146">
        <v>750</v>
      </c>
      <c r="Z146">
        <v>170</v>
      </c>
      <c r="AA146" s="3">
        <v>4.24</v>
      </c>
      <c r="AB146" s="9">
        <v>0.19220055710306408</v>
      </c>
      <c r="AD146" s="3">
        <v>4.24</v>
      </c>
      <c r="AE146" s="6">
        <f t="shared" si="10"/>
        <v>0.42376378830083572</v>
      </c>
      <c r="AG146" s="3"/>
    </row>
    <row r="147" spans="1:33" x14ac:dyDescent="0.25">
      <c r="A147" t="s">
        <v>46</v>
      </c>
      <c r="B147" t="s">
        <v>0</v>
      </c>
      <c r="C147">
        <v>63</v>
      </c>
      <c r="D147">
        <v>402</v>
      </c>
      <c r="E147" s="2">
        <v>5</v>
      </c>
      <c r="F147" t="s">
        <v>5</v>
      </c>
      <c r="I147" s="6">
        <v>8.82</v>
      </c>
      <c r="J147" s="4">
        <v>0.29171974522292993</v>
      </c>
      <c r="K147" s="10"/>
      <c r="L147" s="6">
        <v>8.82</v>
      </c>
      <c r="M147" s="6">
        <f t="shared" si="9"/>
        <v>1.3379434394904459</v>
      </c>
      <c r="O147">
        <v>402</v>
      </c>
      <c r="S147" s="9"/>
      <c r="T147" s="11"/>
      <c r="U147" s="9"/>
      <c r="V147" s="11"/>
      <c r="W147" s="9"/>
      <c r="X147">
        <v>402</v>
      </c>
      <c r="AA147" s="3">
        <v>4.5</v>
      </c>
      <c r="AB147" s="9">
        <v>0.19220055710306408</v>
      </c>
      <c r="AD147" s="3">
        <v>4.5</v>
      </c>
      <c r="AE147" s="6">
        <f t="shared" si="10"/>
        <v>0.44974930362116994</v>
      </c>
      <c r="AG147" s="3"/>
    </row>
    <row r="148" spans="1:33" x14ac:dyDescent="0.25">
      <c r="A148" t="s">
        <v>46</v>
      </c>
      <c r="B148" t="s">
        <v>0</v>
      </c>
      <c r="C148">
        <v>63</v>
      </c>
      <c r="D148">
        <v>403</v>
      </c>
      <c r="E148" s="2">
        <v>3</v>
      </c>
      <c r="F148" t="s">
        <v>3</v>
      </c>
      <c r="I148" s="6">
        <v>10.64</v>
      </c>
      <c r="J148" s="4">
        <v>0.29171974522292993</v>
      </c>
      <c r="K148" s="10"/>
      <c r="L148" s="6">
        <v>10.64</v>
      </c>
      <c r="M148" s="6">
        <f t="shared" si="9"/>
        <v>1.6140270063694269</v>
      </c>
      <c r="O148">
        <v>403</v>
      </c>
      <c r="S148" s="9"/>
      <c r="T148" s="11"/>
      <c r="U148" s="9"/>
      <c r="V148" s="11"/>
      <c r="W148" s="9"/>
      <c r="X148">
        <v>403</v>
      </c>
      <c r="AA148" s="3">
        <v>4.62</v>
      </c>
      <c r="AB148" s="9">
        <v>0.19220055710306408</v>
      </c>
      <c r="AD148" s="3">
        <v>4.62</v>
      </c>
      <c r="AE148" s="6">
        <f t="shared" si="10"/>
        <v>0.46174261838440117</v>
      </c>
      <c r="AG148" s="3"/>
    </row>
    <row r="149" spans="1:33" x14ac:dyDescent="0.25">
      <c r="A149" t="s">
        <v>46</v>
      </c>
      <c r="B149" t="s">
        <v>0</v>
      </c>
      <c r="C149">
        <v>63</v>
      </c>
      <c r="D149">
        <v>404</v>
      </c>
      <c r="E149" s="2">
        <v>2</v>
      </c>
      <c r="F149" t="s">
        <v>4</v>
      </c>
      <c r="I149" s="6">
        <v>10.82</v>
      </c>
      <c r="J149" s="4">
        <v>0.29171974522292993</v>
      </c>
      <c r="K149" s="10"/>
      <c r="L149" s="6">
        <v>10.82</v>
      </c>
      <c r="M149" s="6">
        <f t="shared" si="9"/>
        <v>1.6413319745222932</v>
      </c>
      <c r="O149">
        <v>404</v>
      </c>
      <c r="S149" s="9"/>
      <c r="T149" s="11"/>
      <c r="U149" s="9"/>
      <c r="V149" s="11"/>
      <c r="W149" s="9"/>
      <c r="X149">
        <v>404</v>
      </c>
      <c r="AA149" s="3">
        <v>5.26</v>
      </c>
      <c r="AB149" s="9">
        <v>0.19220055710306408</v>
      </c>
      <c r="AD149" s="3">
        <v>5.26</v>
      </c>
      <c r="AE149" s="6">
        <f t="shared" si="10"/>
        <v>0.52570696378830084</v>
      </c>
      <c r="AG149" s="3"/>
    </row>
    <row r="150" spans="1:33" x14ac:dyDescent="0.25">
      <c r="A150" t="s">
        <v>46</v>
      </c>
      <c r="B150" t="s">
        <v>0</v>
      </c>
      <c r="C150">
        <v>63</v>
      </c>
      <c r="D150">
        <v>405</v>
      </c>
      <c r="E150" s="2">
        <v>4</v>
      </c>
      <c r="F150" t="s">
        <v>2</v>
      </c>
      <c r="G150" s="2">
        <v>672</v>
      </c>
      <c r="H150" s="2">
        <v>212</v>
      </c>
      <c r="I150" s="6">
        <v>10.08</v>
      </c>
      <c r="J150" s="4">
        <v>0.28125</v>
      </c>
      <c r="K150" s="10"/>
      <c r="L150" s="6">
        <v>10.08</v>
      </c>
      <c r="M150" s="6">
        <f t="shared" si="9"/>
        <v>1.4742</v>
      </c>
      <c r="O150">
        <v>405</v>
      </c>
      <c r="S150" s="9"/>
      <c r="T150" s="11"/>
      <c r="U150" s="9"/>
      <c r="V150" s="11"/>
      <c r="W150" s="9"/>
      <c r="X150">
        <v>405</v>
      </c>
      <c r="Y150">
        <v>897</v>
      </c>
      <c r="Z150">
        <v>194</v>
      </c>
      <c r="AA150" s="3">
        <v>4.5</v>
      </c>
      <c r="AB150" s="9">
        <v>0.18728323699421964</v>
      </c>
      <c r="AD150" s="3">
        <v>4.5</v>
      </c>
      <c r="AE150" s="6">
        <f t="shared" si="10"/>
        <v>0.43824277456647398</v>
      </c>
      <c r="AG150" s="3"/>
    </row>
    <row r="151" spans="1:33" x14ac:dyDescent="0.25">
      <c r="A151" t="s">
        <v>46</v>
      </c>
      <c r="B151" t="s">
        <v>0</v>
      </c>
      <c r="C151">
        <v>63</v>
      </c>
      <c r="D151">
        <v>406</v>
      </c>
      <c r="E151" s="2">
        <v>2</v>
      </c>
      <c r="F151" t="s">
        <v>4</v>
      </c>
      <c r="I151" s="6">
        <v>11.5</v>
      </c>
      <c r="J151" s="4">
        <v>0.28125</v>
      </c>
      <c r="K151" s="10"/>
      <c r="L151" s="6">
        <v>11.5</v>
      </c>
      <c r="M151" s="6">
        <f t="shared" si="9"/>
        <v>1.681875</v>
      </c>
      <c r="O151">
        <v>406</v>
      </c>
      <c r="S151" s="9"/>
      <c r="T151" s="11"/>
      <c r="U151" s="9"/>
      <c r="V151" s="11"/>
      <c r="W151" s="9"/>
      <c r="X151">
        <v>406</v>
      </c>
      <c r="AA151" s="3">
        <v>5</v>
      </c>
      <c r="AB151" s="9">
        <v>0.18728323699421964</v>
      </c>
      <c r="AD151" s="3">
        <v>5</v>
      </c>
      <c r="AE151" s="6">
        <f t="shared" si="10"/>
        <v>0.48693641618497108</v>
      </c>
      <c r="AG151" s="3"/>
    </row>
    <row r="152" spans="1:33" x14ac:dyDescent="0.25">
      <c r="A152" t="s">
        <v>46</v>
      </c>
      <c r="B152" t="s">
        <v>0</v>
      </c>
      <c r="C152">
        <v>63</v>
      </c>
      <c r="D152">
        <v>407</v>
      </c>
      <c r="E152" s="2">
        <v>5</v>
      </c>
      <c r="F152" t="s">
        <v>5</v>
      </c>
      <c r="I152" s="6">
        <v>8.9600000000000009</v>
      </c>
      <c r="J152" s="4">
        <v>0.28125</v>
      </c>
      <c r="K152" s="10"/>
      <c r="L152" s="6">
        <v>8.9600000000000009</v>
      </c>
      <c r="M152" s="6">
        <f t="shared" si="9"/>
        <v>1.3104000000000002</v>
      </c>
      <c r="O152">
        <v>407</v>
      </c>
      <c r="S152" s="9"/>
      <c r="T152" s="11"/>
      <c r="U152" s="9"/>
      <c r="V152" s="11"/>
      <c r="W152" s="9"/>
      <c r="X152">
        <v>407</v>
      </c>
      <c r="AA152" s="3">
        <v>3.86</v>
      </c>
      <c r="AB152" s="9">
        <v>0.18728323699421964</v>
      </c>
      <c r="AD152" s="3">
        <v>3.86</v>
      </c>
      <c r="AE152" s="6">
        <f t="shared" si="10"/>
        <v>0.3759149132947977</v>
      </c>
      <c r="AG152" s="3"/>
    </row>
    <row r="153" spans="1:33" x14ac:dyDescent="0.25">
      <c r="A153" t="s">
        <v>46</v>
      </c>
      <c r="B153" t="s">
        <v>0</v>
      </c>
      <c r="C153">
        <v>63</v>
      </c>
      <c r="D153">
        <v>408</v>
      </c>
      <c r="E153" s="2">
        <v>6</v>
      </c>
      <c r="F153" t="s">
        <v>1</v>
      </c>
      <c r="I153" s="6">
        <v>8.44</v>
      </c>
      <c r="J153" s="4">
        <v>0.28125</v>
      </c>
      <c r="K153" s="10"/>
      <c r="L153" s="6">
        <v>8.44</v>
      </c>
      <c r="M153" s="6">
        <f t="shared" si="9"/>
        <v>1.2343499999999998</v>
      </c>
      <c r="O153">
        <v>408</v>
      </c>
      <c r="S153" s="9"/>
      <c r="T153" s="11"/>
      <c r="U153" s="9"/>
      <c r="V153" s="11"/>
      <c r="W153" s="9"/>
      <c r="X153">
        <v>408</v>
      </c>
      <c r="AA153" s="3">
        <v>3.56</v>
      </c>
      <c r="AB153" s="9">
        <v>0.18728323699421964</v>
      </c>
      <c r="AD153" s="3">
        <v>3.56</v>
      </c>
      <c r="AE153" s="6">
        <f t="shared" si="10"/>
        <v>0.34669872832369941</v>
      </c>
      <c r="AG153" s="3"/>
    </row>
    <row r="154" spans="1:33" x14ac:dyDescent="0.25">
      <c r="A154" t="s">
        <v>46</v>
      </c>
      <c r="B154" t="s">
        <v>0</v>
      </c>
      <c r="C154">
        <v>63</v>
      </c>
      <c r="D154">
        <v>409</v>
      </c>
      <c r="E154" s="2">
        <v>1</v>
      </c>
      <c r="F154" t="s">
        <v>6</v>
      </c>
      <c r="G154" s="2">
        <v>753</v>
      </c>
      <c r="H154" s="2">
        <v>238</v>
      </c>
      <c r="I154" s="6">
        <v>10.3</v>
      </c>
      <c r="J154" s="4">
        <v>0.2857142857142857</v>
      </c>
      <c r="K154" s="10"/>
      <c r="L154" s="6">
        <v>10.3</v>
      </c>
      <c r="M154" s="6">
        <f t="shared" si="9"/>
        <v>1.5302857142857145</v>
      </c>
      <c r="O154">
        <v>409</v>
      </c>
      <c r="S154" s="9"/>
      <c r="T154" s="11"/>
      <c r="U154" s="9"/>
      <c r="V154" s="11"/>
      <c r="W154" s="9"/>
      <c r="X154">
        <v>409</v>
      </c>
      <c r="Y154">
        <v>828</v>
      </c>
      <c r="Z154">
        <v>191</v>
      </c>
      <c r="AA154" s="3">
        <v>5.0199999999999996</v>
      </c>
      <c r="AB154" s="9">
        <v>0.19974874371859297</v>
      </c>
      <c r="AD154" s="3">
        <v>5.0199999999999996</v>
      </c>
      <c r="AE154" s="6">
        <f t="shared" si="10"/>
        <v>0.52142412060301502</v>
      </c>
      <c r="AG154" s="3"/>
    </row>
    <row r="155" spans="1:33" x14ac:dyDescent="0.25">
      <c r="A155" t="s">
        <v>46</v>
      </c>
      <c r="B155" t="s">
        <v>0</v>
      </c>
      <c r="C155">
        <v>63</v>
      </c>
      <c r="D155">
        <v>410</v>
      </c>
      <c r="E155" s="2">
        <v>3</v>
      </c>
      <c r="F155" t="s">
        <v>3</v>
      </c>
      <c r="I155" s="6">
        <v>10.82</v>
      </c>
      <c r="J155" s="4">
        <v>0.2857142857142857</v>
      </c>
      <c r="K155" s="10"/>
      <c r="L155" s="6">
        <v>10.82</v>
      </c>
      <c r="M155" s="6">
        <f t="shared" si="9"/>
        <v>1.6075428571428572</v>
      </c>
      <c r="O155">
        <v>410</v>
      </c>
      <c r="S155" s="9"/>
      <c r="T155" s="11"/>
      <c r="U155" s="9"/>
      <c r="V155" s="11"/>
      <c r="W155" s="9"/>
      <c r="X155">
        <v>410</v>
      </c>
      <c r="AA155" s="3">
        <v>4.4800000000000004</v>
      </c>
      <c r="AB155" s="9">
        <v>0.19974874371859297</v>
      </c>
      <c r="AD155" s="3">
        <v>4.4800000000000004</v>
      </c>
      <c r="AE155" s="6">
        <f t="shared" si="10"/>
        <v>0.46533467336683426</v>
      </c>
      <c r="AG155" s="3"/>
    </row>
    <row r="156" spans="1:33" x14ac:dyDescent="0.25">
      <c r="A156" t="s">
        <v>46</v>
      </c>
      <c r="B156" t="s">
        <v>0</v>
      </c>
      <c r="C156">
        <v>63</v>
      </c>
      <c r="D156">
        <v>411</v>
      </c>
      <c r="E156" s="2">
        <v>6</v>
      </c>
      <c r="F156" t="s">
        <v>1</v>
      </c>
      <c r="I156" s="6">
        <v>8.6999999999999993</v>
      </c>
      <c r="J156" s="4">
        <v>0.2857142857142857</v>
      </c>
      <c r="K156" s="10"/>
      <c r="L156" s="6">
        <v>8.6999999999999993</v>
      </c>
      <c r="M156" s="6">
        <f t="shared" si="9"/>
        <v>1.2925714285714285</v>
      </c>
      <c r="O156">
        <v>411</v>
      </c>
      <c r="S156" s="9"/>
      <c r="T156" s="11"/>
      <c r="U156" s="9"/>
      <c r="V156" s="11"/>
      <c r="W156" s="9"/>
      <c r="X156">
        <v>411</v>
      </c>
      <c r="AA156" s="3">
        <v>3.5</v>
      </c>
      <c r="AB156" s="9">
        <v>0.19974874371859297</v>
      </c>
      <c r="AD156" s="3">
        <v>3.5</v>
      </c>
      <c r="AE156" s="6">
        <f t="shared" si="10"/>
        <v>0.36354271356783924</v>
      </c>
      <c r="AG156" s="3"/>
    </row>
    <row r="157" spans="1:33" x14ac:dyDescent="0.25">
      <c r="A157" t="s">
        <v>46</v>
      </c>
      <c r="B157" t="s">
        <v>0</v>
      </c>
      <c r="C157">
        <v>63</v>
      </c>
      <c r="D157">
        <v>412</v>
      </c>
      <c r="E157" s="2">
        <v>1</v>
      </c>
      <c r="F157" t="s">
        <v>6</v>
      </c>
      <c r="I157" s="6">
        <v>10.34</v>
      </c>
      <c r="J157" s="4">
        <v>0.2857142857142857</v>
      </c>
      <c r="K157" s="10"/>
      <c r="L157" s="6">
        <v>10.34</v>
      </c>
      <c r="M157" s="6">
        <f t="shared" si="9"/>
        <v>1.5362285714285715</v>
      </c>
      <c r="O157">
        <v>412</v>
      </c>
      <c r="S157" s="9"/>
      <c r="T157" s="11"/>
      <c r="U157" s="9"/>
      <c r="V157" s="11"/>
      <c r="W157" s="9"/>
      <c r="X157">
        <v>412</v>
      </c>
      <c r="AA157" s="3">
        <v>3.76</v>
      </c>
      <c r="AB157" s="9">
        <v>0.19974874371859297</v>
      </c>
      <c r="AD157" s="3">
        <v>3.76</v>
      </c>
      <c r="AE157" s="6">
        <f t="shared" si="10"/>
        <v>0.39054874371859294</v>
      </c>
      <c r="AG157" s="3"/>
    </row>
    <row r="158" spans="1:33" x14ac:dyDescent="0.25">
      <c r="A158" t="s">
        <v>46</v>
      </c>
      <c r="B158" t="s">
        <v>0</v>
      </c>
      <c r="C158">
        <v>63</v>
      </c>
      <c r="D158">
        <v>413</v>
      </c>
      <c r="E158" s="2">
        <v>6</v>
      </c>
      <c r="F158" t="s">
        <v>1</v>
      </c>
      <c r="G158" s="2">
        <v>841</v>
      </c>
      <c r="H158" s="2">
        <v>245</v>
      </c>
      <c r="I158" s="6">
        <v>10.1</v>
      </c>
      <c r="J158" s="4">
        <v>0.26328800988875156</v>
      </c>
      <c r="K158" s="10"/>
      <c r="L158" s="6">
        <v>10.1</v>
      </c>
      <c r="M158" s="6">
        <f t="shared" si="9"/>
        <v>1.3827886279357233</v>
      </c>
      <c r="O158">
        <v>413</v>
      </c>
      <c r="P158">
        <v>527</v>
      </c>
      <c r="Q158">
        <v>233</v>
      </c>
      <c r="R158" s="3">
        <v>2.1800000000000002</v>
      </c>
      <c r="S158" s="9">
        <v>0.40606060606060607</v>
      </c>
      <c r="T158" s="11"/>
      <c r="U158" s="3">
        <v>2.1800000000000002</v>
      </c>
      <c r="V158" s="3">
        <f>S158*U158*0.52</f>
        <v>0.46031030303030313</v>
      </c>
      <c r="W158" s="9"/>
      <c r="X158">
        <v>413</v>
      </c>
      <c r="Y158">
        <v>904</v>
      </c>
      <c r="Z158">
        <v>212</v>
      </c>
      <c r="AA158" s="3">
        <v>3.4</v>
      </c>
      <c r="AB158" s="9">
        <v>0.20642201834862386</v>
      </c>
      <c r="AD158" s="3">
        <v>3.4</v>
      </c>
      <c r="AE158" s="6">
        <f t="shared" si="10"/>
        <v>0.36495412844036701</v>
      </c>
      <c r="AG158" s="3">
        <f t="shared" si="11"/>
        <v>2.2080530594063932</v>
      </c>
    </row>
    <row r="159" spans="1:33" x14ac:dyDescent="0.25">
      <c r="A159" t="s">
        <v>46</v>
      </c>
      <c r="B159" t="s">
        <v>0</v>
      </c>
      <c r="C159">
        <v>63</v>
      </c>
      <c r="D159">
        <v>414</v>
      </c>
      <c r="E159" s="2">
        <v>29</v>
      </c>
      <c r="F159" t="s">
        <v>11</v>
      </c>
      <c r="I159" s="6">
        <v>9.42</v>
      </c>
      <c r="J159" s="4">
        <v>0.26328800988875156</v>
      </c>
      <c r="K159" s="10"/>
      <c r="L159" s="6">
        <v>9.42</v>
      </c>
      <c r="M159" s="6">
        <f t="shared" si="9"/>
        <v>1.2896899876390608</v>
      </c>
      <c r="O159">
        <v>414</v>
      </c>
      <c r="R159" s="3">
        <v>2.1</v>
      </c>
      <c r="S159" s="9">
        <v>0.40606060606060607</v>
      </c>
      <c r="T159" s="11"/>
      <c r="U159" s="3">
        <v>2.1</v>
      </c>
      <c r="V159" s="3">
        <f t="shared" ref="V159:V193" si="12">S159*U159*0.52</f>
        <v>0.44341818181818188</v>
      </c>
      <c r="W159" s="9"/>
      <c r="X159">
        <v>414</v>
      </c>
      <c r="AA159" s="3">
        <v>3.42</v>
      </c>
      <c r="AB159" s="9">
        <v>0.20642201834862386</v>
      </c>
      <c r="AD159" s="3">
        <v>3.42</v>
      </c>
      <c r="AE159" s="6">
        <f t="shared" si="10"/>
        <v>0.36710091743119266</v>
      </c>
      <c r="AG159" s="3">
        <f t="shared" si="11"/>
        <v>2.1002090868884356</v>
      </c>
    </row>
    <row r="160" spans="1:33" x14ac:dyDescent="0.25">
      <c r="A160" t="s">
        <v>46</v>
      </c>
      <c r="B160" t="s">
        <v>0</v>
      </c>
      <c r="C160">
        <v>63</v>
      </c>
      <c r="D160">
        <v>415</v>
      </c>
      <c r="E160" s="2">
        <v>5</v>
      </c>
      <c r="F160" t="s">
        <v>5</v>
      </c>
      <c r="I160" s="6">
        <v>9.6</v>
      </c>
      <c r="J160" s="4">
        <v>0.26328800988875156</v>
      </c>
      <c r="K160" s="10"/>
      <c r="L160" s="6">
        <v>9.6</v>
      </c>
      <c r="M160" s="6">
        <f t="shared" si="9"/>
        <v>1.314333745364648</v>
      </c>
      <c r="O160">
        <v>415</v>
      </c>
      <c r="R160" s="3">
        <v>2.42</v>
      </c>
      <c r="S160" s="9">
        <v>0.40606060606060607</v>
      </c>
      <c r="T160" s="11"/>
      <c r="U160" s="3">
        <v>2.42</v>
      </c>
      <c r="V160" s="3">
        <f t="shared" si="12"/>
        <v>0.5109866666666667</v>
      </c>
      <c r="W160" s="9"/>
      <c r="X160">
        <v>415</v>
      </c>
      <c r="AA160" s="3">
        <v>3.84</v>
      </c>
      <c r="AB160" s="9">
        <v>0.20642201834862386</v>
      </c>
      <c r="AD160" s="3">
        <v>3.84</v>
      </c>
      <c r="AE160" s="6">
        <f t="shared" si="10"/>
        <v>0.41218348623853213</v>
      </c>
      <c r="AG160" s="3">
        <f t="shared" si="11"/>
        <v>2.2375038982698467</v>
      </c>
    </row>
    <row r="161" spans="1:33" x14ac:dyDescent="0.25">
      <c r="A161" t="s">
        <v>46</v>
      </c>
      <c r="B161" t="s">
        <v>0</v>
      </c>
      <c r="C161">
        <v>63</v>
      </c>
      <c r="D161">
        <v>416</v>
      </c>
      <c r="E161" s="2">
        <v>17</v>
      </c>
      <c r="F161" t="s">
        <v>17</v>
      </c>
      <c r="I161" s="6">
        <v>9.14</v>
      </c>
      <c r="J161" s="4">
        <v>0.26328800988875156</v>
      </c>
      <c r="K161" s="10"/>
      <c r="L161" s="6">
        <v>9.14</v>
      </c>
      <c r="M161" s="6">
        <f t="shared" si="9"/>
        <v>1.2513552533992585</v>
      </c>
      <c r="O161">
        <v>416</v>
      </c>
      <c r="R161" s="3">
        <v>2.16</v>
      </c>
      <c r="S161" s="9">
        <v>0.40606060606060607</v>
      </c>
      <c r="T161" s="11"/>
      <c r="U161" s="3">
        <v>2.16</v>
      </c>
      <c r="V161" s="3">
        <f t="shared" si="12"/>
        <v>0.45608727272727279</v>
      </c>
      <c r="W161" s="9"/>
      <c r="X161">
        <v>416</v>
      </c>
      <c r="AA161" s="3">
        <v>3.22</v>
      </c>
      <c r="AB161" s="9">
        <v>0.20642201834862386</v>
      </c>
      <c r="AD161" s="3">
        <v>3.22</v>
      </c>
      <c r="AE161" s="6">
        <f t="shared" si="10"/>
        <v>0.34563302752293579</v>
      </c>
      <c r="AG161" s="3">
        <f t="shared" si="11"/>
        <v>2.0530755536494669</v>
      </c>
    </row>
    <row r="162" spans="1:33" x14ac:dyDescent="0.25">
      <c r="A162" t="s">
        <v>46</v>
      </c>
      <c r="B162" t="s">
        <v>0</v>
      </c>
      <c r="C162">
        <v>63</v>
      </c>
      <c r="D162">
        <v>417</v>
      </c>
      <c r="E162" s="2">
        <v>24</v>
      </c>
      <c r="F162" t="s">
        <v>32</v>
      </c>
      <c r="G162" s="2">
        <v>875</v>
      </c>
      <c r="H162" s="2">
        <v>278</v>
      </c>
      <c r="I162" s="6">
        <v>9.9</v>
      </c>
      <c r="J162" s="4">
        <v>0.29181494661921709</v>
      </c>
      <c r="K162" s="10"/>
      <c r="L162" s="6">
        <v>9.9</v>
      </c>
      <c r="M162" s="6">
        <f t="shared" si="9"/>
        <v>1.5022633451957297</v>
      </c>
      <c r="O162">
        <v>417</v>
      </c>
      <c r="P162">
        <v>608</v>
      </c>
      <c r="Q162">
        <v>271</v>
      </c>
      <c r="R162" s="3">
        <v>2.06</v>
      </c>
      <c r="S162" s="9">
        <v>0.41493055555555558</v>
      </c>
      <c r="T162" s="11"/>
      <c r="U162" s="3">
        <v>2.06</v>
      </c>
      <c r="V162" s="3">
        <f t="shared" si="12"/>
        <v>0.44447361111111117</v>
      </c>
      <c r="W162" s="9"/>
      <c r="X162">
        <v>417</v>
      </c>
      <c r="Y162">
        <v>791</v>
      </c>
      <c r="Z162">
        <v>190</v>
      </c>
      <c r="AA162" s="3">
        <v>3.84</v>
      </c>
      <c r="AB162" s="9">
        <v>0.20816864295125165</v>
      </c>
      <c r="AD162" s="3">
        <v>3.84</v>
      </c>
      <c r="AE162" s="6">
        <f t="shared" si="10"/>
        <v>0.4156711462450593</v>
      </c>
      <c r="AG162" s="3">
        <f t="shared" si="11"/>
        <v>2.3624081025519001</v>
      </c>
    </row>
    <row r="163" spans="1:33" x14ac:dyDescent="0.25">
      <c r="A163" t="s">
        <v>46</v>
      </c>
      <c r="B163" t="s">
        <v>0</v>
      </c>
      <c r="C163">
        <v>63</v>
      </c>
      <c r="D163">
        <v>418</v>
      </c>
      <c r="E163" s="2">
        <v>27</v>
      </c>
      <c r="F163" t="s">
        <v>14</v>
      </c>
      <c r="I163" s="6">
        <v>8.3800000000000008</v>
      </c>
      <c r="J163" s="4">
        <v>0.29181494661921709</v>
      </c>
      <c r="K163" s="10"/>
      <c r="L163" s="6">
        <v>8.3800000000000008</v>
      </c>
      <c r="M163" s="6">
        <f t="shared" si="9"/>
        <v>1.2716128113879004</v>
      </c>
      <c r="O163">
        <v>418</v>
      </c>
      <c r="R163" s="3">
        <v>1.84</v>
      </c>
      <c r="S163" s="9">
        <v>0.41493055555555558</v>
      </c>
      <c r="T163" s="11"/>
      <c r="U163" s="3">
        <v>1.84</v>
      </c>
      <c r="V163" s="3">
        <f t="shared" si="12"/>
        <v>0.39700555555555561</v>
      </c>
      <c r="W163" s="9"/>
      <c r="X163">
        <v>418</v>
      </c>
      <c r="AA163" s="3">
        <v>3.78</v>
      </c>
      <c r="AB163" s="9">
        <v>0.20816864295125165</v>
      </c>
      <c r="AD163" s="3">
        <v>3.78</v>
      </c>
      <c r="AE163" s="6">
        <f t="shared" si="10"/>
        <v>0.40917628458498023</v>
      </c>
      <c r="AG163" s="3">
        <f t="shared" si="11"/>
        <v>2.0777946515284365</v>
      </c>
    </row>
    <row r="164" spans="1:33" x14ac:dyDescent="0.25">
      <c r="A164" t="s">
        <v>46</v>
      </c>
      <c r="B164" t="s">
        <v>0</v>
      </c>
      <c r="C164">
        <v>63</v>
      </c>
      <c r="D164">
        <v>419</v>
      </c>
      <c r="E164" s="2">
        <v>7</v>
      </c>
      <c r="F164" t="s">
        <v>16</v>
      </c>
      <c r="I164" s="6">
        <v>11.04</v>
      </c>
      <c r="J164" s="4">
        <v>0.29181494661921709</v>
      </c>
      <c r="K164" s="10"/>
      <c r="L164" s="6">
        <v>11.04</v>
      </c>
      <c r="M164" s="6">
        <f t="shared" si="9"/>
        <v>1.6752512455516013</v>
      </c>
      <c r="O164">
        <v>419</v>
      </c>
      <c r="R164" s="3">
        <v>2.44</v>
      </c>
      <c r="S164" s="9">
        <v>0.41493055555555558</v>
      </c>
      <c r="T164" s="11"/>
      <c r="U164" s="3">
        <v>2.44</v>
      </c>
      <c r="V164" s="3">
        <f t="shared" si="12"/>
        <v>0.52646388888888884</v>
      </c>
      <c r="W164" s="9"/>
      <c r="X164">
        <v>419</v>
      </c>
      <c r="AA164" s="3">
        <v>3.44</v>
      </c>
      <c r="AB164" s="9">
        <v>0.20816864295125165</v>
      </c>
      <c r="AD164" s="3">
        <v>3.44</v>
      </c>
      <c r="AE164" s="6">
        <f t="shared" si="10"/>
        <v>0.37237206851119897</v>
      </c>
      <c r="AG164" s="3">
        <f t="shared" si="11"/>
        <v>2.5740872029516888</v>
      </c>
    </row>
    <row r="165" spans="1:33" x14ac:dyDescent="0.25">
      <c r="A165" t="s">
        <v>46</v>
      </c>
      <c r="B165" t="s">
        <v>0</v>
      </c>
      <c r="C165">
        <v>63</v>
      </c>
      <c r="D165">
        <v>420</v>
      </c>
      <c r="E165" s="2">
        <v>18</v>
      </c>
      <c r="F165" t="s">
        <v>18</v>
      </c>
      <c r="I165" s="6">
        <v>11.16</v>
      </c>
      <c r="J165" s="4">
        <v>0.29181494661921709</v>
      </c>
      <c r="K165" s="10"/>
      <c r="L165" s="6">
        <v>11.16</v>
      </c>
      <c r="M165" s="6">
        <f t="shared" si="9"/>
        <v>1.6934604982206407</v>
      </c>
      <c r="O165">
        <v>420</v>
      </c>
      <c r="R165" s="3">
        <v>2.36</v>
      </c>
      <c r="S165" s="9">
        <v>0.41493055555555558</v>
      </c>
      <c r="T165" s="11"/>
      <c r="U165" s="3">
        <v>2.36</v>
      </c>
      <c r="V165" s="3">
        <f t="shared" si="12"/>
        <v>0.50920277777777778</v>
      </c>
      <c r="W165" s="9"/>
      <c r="X165">
        <v>420</v>
      </c>
      <c r="AA165" s="3">
        <v>4.4400000000000004</v>
      </c>
      <c r="AB165" s="9">
        <v>0.20816864295125165</v>
      </c>
      <c r="AD165" s="3">
        <v>4.4400000000000004</v>
      </c>
      <c r="AE165" s="6">
        <f t="shared" si="10"/>
        <v>0.48061976284584984</v>
      </c>
      <c r="AG165" s="3">
        <f t="shared" si="11"/>
        <v>2.6832830388442686</v>
      </c>
    </row>
    <row r="166" spans="1:33" x14ac:dyDescent="0.25">
      <c r="A166" t="s">
        <v>46</v>
      </c>
      <c r="B166" t="s">
        <v>0</v>
      </c>
      <c r="C166">
        <v>63</v>
      </c>
      <c r="D166">
        <v>421</v>
      </c>
      <c r="E166" s="2">
        <v>34</v>
      </c>
      <c r="F166" t="s">
        <v>34</v>
      </c>
      <c r="G166" s="2">
        <v>754</v>
      </c>
      <c r="H166" s="2">
        <v>221</v>
      </c>
      <c r="I166" s="6">
        <v>12.08</v>
      </c>
      <c r="J166" s="4">
        <v>0.26177285318559557</v>
      </c>
      <c r="K166" s="10"/>
      <c r="L166" s="6">
        <v>12.08</v>
      </c>
      <c r="M166" s="6">
        <f t="shared" si="9"/>
        <v>1.6443523545706371</v>
      </c>
      <c r="O166">
        <v>421</v>
      </c>
      <c r="P166">
        <v>590</v>
      </c>
      <c r="Q166">
        <v>246</v>
      </c>
      <c r="R166" s="3">
        <v>3.2</v>
      </c>
      <c r="S166" s="9">
        <v>0.38351254480286739</v>
      </c>
      <c r="T166" s="11"/>
      <c r="U166" s="3">
        <v>3.2</v>
      </c>
      <c r="V166" s="3">
        <f t="shared" si="12"/>
        <v>0.63816487455197146</v>
      </c>
      <c r="W166" s="9"/>
      <c r="X166">
        <v>421</v>
      </c>
      <c r="Y166">
        <v>926</v>
      </c>
      <c r="Z166">
        <v>224</v>
      </c>
      <c r="AA166" s="3">
        <v>4.84</v>
      </c>
      <c r="AB166" s="9">
        <v>0.21476510067114093</v>
      </c>
      <c r="AD166" s="3">
        <v>4.84</v>
      </c>
      <c r="AE166" s="6">
        <f t="shared" si="10"/>
        <v>0.5405208053691275</v>
      </c>
      <c r="AG166" s="3">
        <f t="shared" si="11"/>
        <v>2.8230380344917361</v>
      </c>
    </row>
    <row r="167" spans="1:33" x14ac:dyDescent="0.25">
      <c r="A167" t="s">
        <v>46</v>
      </c>
      <c r="B167" t="s">
        <v>0</v>
      </c>
      <c r="C167">
        <v>63</v>
      </c>
      <c r="D167">
        <v>422</v>
      </c>
      <c r="E167" s="2">
        <v>31</v>
      </c>
      <c r="F167" t="s">
        <v>29</v>
      </c>
      <c r="I167" s="6">
        <v>11.42</v>
      </c>
      <c r="J167" s="4">
        <v>0.26177285318559557</v>
      </c>
      <c r="K167" s="10"/>
      <c r="L167" s="6">
        <v>11.42</v>
      </c>
      <c r="M167" s="6">
        <f t="shared" si="9"/>
        <v>1.5545119113573407</v>
      </c>
      <c r="O167">
        <v>422</v>
      </c>
      <c r="R167" s="3">
        <v>3.04</v>
      </c>
      <c r="S167" s="9">
        <v>0.38351254480286739</v>
      </c>
      <c r="T167" s="11"/>
      <c r="U167" s="3">
        <v>3.04</v>
      </c>
      <c r="V167" s="3">
        <f t="shared" si="12"/>
        <v>0.60625663082437276</v>
      </c>
      <c r="W167" s="9"/>
      <c r="X167">
        <v>422</v>
      </c>
      <c r="AA167" s="3">
        <v>4.34</v>
      </c>
      <c r="AB167" s="9">
        <v>0.21476510067114093</v>
      </c>
      <c r="AD167" s="3">
        <v>4.34</v>
      </c>
      <c r="AE167" s="6">
        <f t="shared" si="10"/>
        <v>0.48468187919463085</v>
      </c>
      <c r="AG167" s="3">
        <f t="shared" si="11"/>
        <v>2.6454504213763443</v>
      </c>
    </row>
    <row r="168" spans="1:33" x14ac:dyDescent="0.25">
      <c r="A168" t="s">
        <v>46</v>
      </c>
      <c r="B168" t="s">
        <v>0</v>
      </c>
      <c r="C168">
        <v>63</v>
      </c>
      <c r="D168">
        <v>423</v>
      </c>
      <c r="E168" s="2">
        <v>10</v>
      </c>
      <c r="F168" t="s">
        <v>35</v>
      </c>
      <c r="I168" s="6">
        <v>12.24</v>
      </c>
      <c r="J168" s="4">
        <v>0.26177285318559557</v>
      </c>
      <c r="K168" s="10"/>
      <c r="L168" s="6">
        <v>12.24</v>
      </c>
      <c r="M168" s="6">
        <f t="shared" si="9"/>
        <v>1.6661318559556788</v>
      </c>
      <c r="O168">
        <v>423</v>
      </c>
      <c r="R168" s="3">
        <v>3.32</v>
      </c>
      <c r="S168" s="9">
        <v>0.38351254480286739</v>
      </c>
      <c r="T168" s="11"/>
      <c r="U168" s="3">
        <v>3.32</v>
      </c>
      <c r="V168" s="3">
        <f t="shared" si="12"/>
        <v>0.6620960573476703</v>
      </c>
      <c r="W168" s="9"/>
      <c r="X168">
        <v>423</v>
      </c>
      <c r="AA168" s="3">
        <v>4.6399999999999997</v>
      </c>
      <c r="AB168" s="9">
        <v>0.21476510067114093</v>
      </c>
      <c r="AD168" s="3">
        <v>4.6399999999999997</v>
      </c>
      <c r="AE168" s="6">
        <f t="shared" si="10"/>
        <v>0.51818523489932877</v>
      </c>
      <c r="AG168" s="3">
        <f t="shared" si="11"/>
        <v>2.8464131482026778</v>
      </c>
    </row>
    <row r="169" spans="1:33" x14ac:dyDescent="0.25">
      <c r="A169" t="s">
        <v>46</v>
      </c>
      <c r="B169" t="s">
        <v>0</v>
      </c>
      <c r="C169">
        <v>63</v>
      </c>
      <c r="D169">
        <v>424</v>
      </c>
      <c r="E169" s="2">
        <v>36</v>
      </c>
      <c r="F169" t="s">
        <v>27</v>
      </c>
      <c r="I169" s="6">
        <v>14.8</v>
      </c>
      <c r="J169" s="4">
        <v>0.26177285318559557</v>
      </c>
      <c r="K169" s="10"/>
      <c r="L169" s="6">
        <v>14.8</v>
      </c>
      <c r="M169" s="6">
        <f t="shared" si="9"/>
        <v>2.0146038781163438</v>
      </c>
      <c r="O169">
        <v>424</v>
      </c>
      <c r="R169" s="3">
        <v>3</v>
      </c>
      <c r="S169" s="9">
        <v>0.38351254480286739</v>
      </c>
      <c r="T169" s="11"/>
      <c r="U169" s="3">
        <v>3</v>
      </c>
      <c r="V169" s="3">
        <f t="shared" si="12"/>
        <v>0.59827956989247322</v>
      </c>
      <c r="W169" s="9"/>
      <c r="X169">
        <v>424</v>
      </c>
      <c r="AA169" s="3">
        <v>4.8</v>
      </c>
      <c r="AB169" s="9">
        <v>0.21476510067114093</v>
      </c>
      <c r="AD169" s="3">
        <v>4.8</v>
      </c>
      <c r="AE169" s="6">
        <f t="shared" si="10"/>
        <v>0.53605369127516778</v>
      </c>
      <c r="AG169" s="3">
        <f t="shared" si="11"/>
        <v>3.1489371392839844</v>
      </c>
    </row>
    <row r="170" spans="1:33" x14ac:dyDescent="0.25">
      <c r="A170" t="s">
        <v>46</v>
      </c>
      <c r="B170" t="s">
        <v>0</v>
      </c>
      <c r="C170">
        <v>63</v>
      </c>
      <c r="D170">
        <v>425</v>
      </c>
      <c r="E170" s="2">
        <v>11</v>
      </c>
      <c r="F170" t="s">
        <v>15</v>
      </c>
      <c r="G170" s="2">
        <v>957</v>
      </c>
      <c r="H170" s="2">
        <v>276</v>
      </c>
      <c r="I170" s="6">
        <v>12.42</v>
      </c>
      <c r="J170" s="4">
        <v>0.26378378378378381</v>
      </c>
      <c r="K170" s="10"/>
      <c r="L170" s="6">
        <v>12.42</v>
      </c>
      <c r="M170" s="6">
        <f t="shared" si="9"/>
        <v>1.7036211891891893</v>
      </c>
      <c r="O170">
        <v>425</v>
      </c>
      <c r="P170">
        <v>606</v>
      </c>
      <c r="Q170">
        <v>242</v>
      </c>
      <c r="R170" s="3">
        <v>2.3199999999999998</v>
      </c>
      <c r="S170" s="9">
        <v>0.36585365853658536</v>
      </c>
      <c r="T170" s="11"/>
      <c r="U170" s="3">
        <v>2.3199999999999998</v>
      </c>
      <c r="V170" s="6" t="s">
        <v>60</v>
      </c>
      <c r="W170" s="9"/>
      <c r="X170">
        <v>425</v>
      </c>
      <c r="Y170">
        <v>704</v>
      </c>
      <c r="Z170">
        <v>178</v>
      </c>
      <c r="AA170" s="3">
        <v>4.74</v>
      </c>
      <c r="AB170" s="9">
        <v>0.21726190476190477</v>
      </c>
      <c r="AD170" s="3">
        <v>4.74</v>
      </c>
      <c r="AE170" s="6">
        <f t="shared" si="10"/>
        <v>0.53550714285714296</v>
      </c>
      <c r="AG170" s="3" t="s">
        <v>60</v>
      </c>
    </row>
    <row r="171" spans="1:33" x14ac:dyDescent="0.25">
      <c r="A171" t="s">
        <v>46</v>
      </c>
      <c r="B171" t="s">
        <v>0</v>
      </c>
      <c r="C171">
        <v>63</v>
      </c>
      <c r="D171">
        <v>426</v>
      </c>
      <c r="E171" s="2">
        <v>4</v>
      </c>
      <c r="F171" t="s">
        <v>2</v>
      </c>
      <c r="I171" s="6">
        <v>10.36</v>
      </c>
      <c r="J171" s="4">
        <v>0.26378378378378381</v>
      </c>
      <c r="K171" s="10"/>
      <c r="L171" s="6">
        <v>10.36</v>
      </c>
      <c r="M171" s="6">
        <f t="shared" si="9"/>
        <v>1.4210560000000001</v>
      </c>
      <c r="O171">
        <v>426</v>
      </c>
      <c r="R171" s="3">
        <v>1.54</v>
      </c>
      <c r="S171" s="9">
        <v>0.36585365853658536</v>
      </c>
      <c r="T171" s="11"/>
      <c r="U171" s="3">
        <v>1.54</v>
      </c>
      <c r="V171" s="6" t="s">
        <v>60</v>
      </c>
      <c r="W171" s="9"/>
      <c r="X171">
        <v>426</v>
      </c>
      <c r="AA171" s="3">
        <v>3.84</v>
      </c>
      <c r="AB171" s="9">
        <v>0.21726190476190477</v>
      </c>
      <c r="AD171" s="3">
        <v>3.84</v>
      </c>
      <c r="AE171" s="6">
        <f t="shared" si="10"/>
        <v>0.43382857142857145</v>
      </c>
      <c r="AG171" s="3" t="s">
        <v>60</v>
      </c>
    </row>
    <row r="172" spans="1:33" x14ac:dyDescent="0.25">
      <c r="A172" t="s">
        <v>46</v>
      </c>
      <c r="B172" t="s">
        <v>0</v>
      </c>
      <c r="C172">
        <v>63</v>
      </c>
      <c r="D172">
        <v>427</v>
      </c>
      <c r="E172" s="2">
        <v>30</v>
      </c>
      <c r="F172" t="s">
        <v>9</v>
      </c>
      <c r="I172" s="6">
        <v>10.46</v>
      </c>
      <c r="J172" s="4">
        <v>0.26378378378378381</v>
      </c>
      <c r="K172" s="10"/>
      <c r="L172" s="6">
        <v>10.46</v>
      </c>
      <c r="M172" s="6">
        <f t="shared" si="9"/>
        <v>1.434772756756757</v>
      </c>
      <c r="O172">
        <v>427</v>
      </c>
      <c r="R172" s="3">
        <v>2.08</v>
      </c>
      <c r="S172" s="9">
        <v>0.36585365853658536</v>
      </c>
      <c r="T172" s="11"/>
      <c r="U172" s="3">
        <v>2.08</v>
      </c>
      <c r="V172" s="6" t="s">
        <v>60</v>
      </c>
      <c r="W172" s="9"/>
      <c r="X172">
        <v>427</v>
      </c>
      <c r="AA172" s="3">
        <v>3.44</v>
      </c>
      <c r="AB172" s="9">
        <v>0.21726190476190477</v>
      </c>
      <c r="AD172" s="3">
        <v>3.44</v>
      </c>
      <c r="AE172" s="6">
        <f t="shared" si="10"/>
        <v>0.38863809523809523</v>
      </c>
      <c r="AG172" s="3" t="s">
        <v>60</v>
      </c>
    </row>
    <row r="173" spans="1:33" x14ac:dyDescent="0.25">
      <c r="A173" t="s">
        <v>46</v>
      </c>
      <c r="B173" t="s">
        <v>0</v>
      </c>
      <c r="C173">
        <v>63</v>
      </c>
      <c r="D173">
        <v>428</v>
      </c>
      <c r="E173" s="2">
        <v>22</v>
      </c>
      <c r="F173" t="s">
        <v>7</v>
      </c>
      <c r="I173" s="6">
        <v>11.6</v>
      </c>
      <c r="J173" s="4">
        <v>0.26378378378378381</v>
      </c>
      <c r="K173" s="10"/>
      <c r="L173" s="6">
        <v>11.6</v>
      </c>
      <c r="M173" s="6">
        <f t="shared" si="9"/>
        <v>1.5911437837837841</v>
      </c>
      <c r="O173">
        <v>428</v>
      </c>
      <c r="R173" s="3">
        <v>2.6</v>
      </c>
      <c r="S173" s="9">
        <v>0.36585365853658536</v>
      </c>
      <c r="T173" s="11"/>
      <c r="U173" s="3">
        <v>2.6</v>
      </c>
      <c r="V173" s="6" t="s">
        <v>60</v>
      </c>
      <c r="W173" s="9"/>
      <c r="X173">
        <v>428</v>
      </c>
      <c r="AA173" s="3">
        <v>3.32</v>
      </c>
      <c r="AB173" s="9">
        <v>0.21726190476190477</v>
      </c>
      <c r="AD173" s="3">
        <v>3.32</v>
      </c>
      <c r="AE173" s="6">
        <f t="shared" si="10"/>
        <v>0.3750809523809524</v>
      </c>
      <c r="AG173" s="3" t="s">
        <v>60</v>
      </c>
    </row>
    <row r="174" spans="1:33" x14ac:dyDescent="0.25">
      <c r="A174" t="s">
        <v>46</v>
      </c>
      <c r="B174" t="s">
        <v>0</v>
      </c>
      <c r="C174">
        <v>63</v>
      </c>
      <c r="D174">
        <v>429</v>
      </c>
      <c r="E174" s="2">
        <v>35</v>
      </c>
      <c r="F174" t="s">
        <v>26</v>
      </c>
      <c r="G174" s="2">
        <v>866</v>
      </c>
      <c r="H174" s="2">
        <v>243</v>
      </c>
      <c r="I174" s="6">
        <v>12.66</v>
      </c>
      <c r="J174" s="4">
        <v>0.25299760191846521</v>
      </c>
      <c r="K174" s="10"/>
      <c r="L174" s="6">
        <v>12.66</v>
      </c>
      <c r="M174" s="6">
        <f t="shared" si="9"/>
        <v>1.6655338129496404</v>
      </c>
      <c r="O174">
        <v>429</v>
      </c>
      <c r="P174">
        <v>705</v>
      </c>
      <c r="Q174">
        <v>253</v>
      </c>
      <c r="R174" s="3">
        <v>1.88</v>
      </c>
      <c r="S174" s="9">
        <v>0.32838038632986627</v>
      </c>
      <c r="T174" s="11"/>
      <c r="U174" s="3">
        <v>1.88</v>
      </c>
      <c r="V174" s="6" t="s">
        <v>60</v>
      </c>
      <c r="W174" s="9"/>
      <c r="X174">
        <v>429</v>
      </c>
      <c r="Y174">
        <v>612</v>
      </c>
      <c r="Z174">
        <v>168</v>
      </c>
      <c r="AA174" s="3">
        <v>3.9</v>
      </c>
      <c r="AB174" s="9">
        <v>0.23448275862068965</v>
      </c>
      <c r="AD174" s="3">
        <v>3.9</v>
      </c>
      <c r="AE174" s="6">
        <f t="shared" si="10"/>
        <v>0.47553103448275863</v>
      </c>
      <c r="AG174" s="3" t="s">
        <v>60</v>
      </c>
    </row>
    <row r="175" spans="1:33" x14ac:dyDescent="0.25">
      <c r="A175" t="s">
        <v>46</v>
      </c>
      <c r="B175" t="s">
        <v>0</v>
      </c>
      <c r="C175">
        <v>63</v>
      </c>
      <c r="D175">
        <v>430</v>
      </c>
      <c r="E175" s="2">
        <v>20</v>
      </c>
      <c r="F175" t="s">
        <v>28</v>
      </c>
      <c r="I175" s="6">
        <v>13.06</v>
      </c>
      <c r="J175" s="4">
        <v>0.25299760191846521</v>
      </c>
      <c r="K175" s="10"/>
      <c r="L175" s="6">
        <v>13.06</v>
      </c>
      <c r="M175" s="6">
        <f t="shared" si="9"/>
        <v>1.7181573141486812</v>
      </c>
      <c r="O175">
        <v>430</v>
      </c>
      <c r="R175" s="3">
        <v>5.16</v>
      </c>
      <c r="S175" s="9">
        <v>0.32838038632986627</v>
      </c>
      <c r="T175" s="11"/>
      <c r="U175" s="3">
        <v>5.16</v>
      </c>
      <c r="V175" s="3">
        <f t="shared" si="12"/>
        <v>0.88111025260029729</v>
      </c>
      <c r="W175" s="9"/>
      <c r="X175">
        <v>430</v>
      </c>
      <c r="AA175" s="3">
        <v>4.2</v>
      </c>
      <c r="AB175" s="9">
        <v>0.23448275862068965</v>
      </c>
      <c r="AD175" s="3">
        <v>4.2</v>
      </c>
      <c r="AE175" s="6">
        <f t="shared" si="10"/>
        <v>0.51211034482758622</v>
      </c>
      <c r="AG175" s="3">
        <f t="shared" si="11"/>
        <v>3.111377911576565</v>
      </c>
    </row>
    <row r="176" spans="1:33" x14ac:dyDescent="0.25">
      <c r="A176" t="s">
        <v>46</v>
      </c>
      <c r="B176" t="s">
        <v>0</v>
      </c>
      <c r="C176">
        <v>63</v>
      </c>
      <c r="D176">
        <v>431</v>
      </c>
      <c r="E176" s="2">
        <v>26</v>
      </c>
      <c r="F176" t="s">
        <v>21</v>
      </c>
      <c r="I176" s="6">
        <v>14.02</v>
      </c>
      <c r="J176" s="4">
        <v>0.25299760191846521</v>
      </c>
      <c r="K176" s="10"/>
      <c r="L176" s="6">
        <v>14.02</v>
      </c>
      <c r="M176" s="6">
        <f t="shared" si="9"/>
        <v>1.8444537170263788</v>
      </c>
      <c r="O176">
        <v>431</v>
      </c>
      <c r="R176" s="3">
        <v>4.2</v>
      </c>
      <c r="S176" s="9">
        <v>0.32838038632986627</v>
      </c>
      <c r="T176" s="11"/>
      <c r="U176" s="3">
        <v>4.2</v>
      </c>
      <c r="V176" s="3">
        <f t="shared" si="12"/>
        <v>0.71718276374442791</v>
      </c>
      <c r="W176" s="9"/>
      <c r="X176">
        <v>431</v>
      </c>
      <c r="AA176" s="3">
        <v>4.7</v>
      </c>
      <c r="AB176" s="9">
        <v>0.23448275862068965</v>
      </c>
      <c r="AD176" s="3">
        <v>4.7</v>
      </c>
      <c r="AE176" s="6">
        <f t="shared" si="10"/>
        <v>0.57307586206896555</v>
      </c>
      <c r="AG176" s="3">
        <f t="shared" si="11"/>
        <v>3.1347123428397721</v>
      </c>
    </row>
    <row r="177" spans="1:33" x14ac:dyDescent="0.25">
      <c r="A177" t="s">
        <v>46</v>
      </c>
      <c r="B177" t="s">
        <v>0</v>
      </c>
      <c r="C177">
        <v>63</v>
      </c>
      <c r="D177">
        <v>432</v>
      </c>
      <c r="E177" s="2">
        <v>9</v>
      </c>
      <c r="F177" t="s">
        <v>19</v>
      </c>
      <c r="I177" s="6">
        <v>12.7</v>
      </c>
      <c r="J177" s="4">
        <v>0.25299760191846521</v>
      </c>
      <c r="K177" s="10"/>
      <c r="L177" s="6">
        <v>12.7</v>
      </c>
      <c r="M177" s="6">
        <f t="shared" si="9"/>
        <v>1.6707961630695443</v>
      </c>
      <c r="O177">
        <v>432</v>
      </c>
      <c r="R177" s="3">
        <v>4.5999999999999996</v>
      </c>
      <c r="S177" s="9">
        <v>0.32838038632986627</v>
      </c>
      <c r="T177" s="11"/>
      <c r="U177" s="3">
        <v>4.5999999999999996</v>
      </c>
      <c r="V177" s="3">
        <f t="shared" si="12"/>
        <v>0.78548588410104014</v>
      </c>
      <c r="W177" s="9"/>
      <c r="X177">
        <v>432</v>
      </c>
      <c r="AA177" s="3">
        <v>4.3600000000000003</v>
      </c>
      <c r="AB177" s="9">
        <v>0.23448275862068965</v>
      </c>
      <c r="AD177" s="3">
        <v>4.3600000000000003</v>
      </c>
      <c r="AE177" s="6">
        <f t="shared" si="10"/>
        <v>0.53161931034482768</v>
      </c>
      <c r="AG177" s="3">
        <f t="shared" si="11"/>
        <v>2.9879013575154123</v>
      </c>
    </row>
    <row r="178" spans="1:33" x14ac:dyDescent="0.25">
      <c r="A178" t="s">
        <v>46</v>
      </c>
      <c r="B178" t="s">
        <v>0</v>
      </c>
      <c r="C178">
        <v>63</v>
      </c>
      <c r="D178">
        <v>433</v>
      </c>
      <c r="E178" s="2">
        <v>16</v>
      </c>
      <c r="F178" t="s">
        <v>12</v>
      </c>
      <c r="G178" s="2">
        <v>922</v>
      </c>
      <c r="H178" s="2">
        <v>259</v>
      </c>
      <c r="I178" s="6">
        <v>11.22</v>
      </c>
      <c r="J178" s="4">
        <v>0.25505617977528089</v>
      </c>
      <c r="K178" s="10"/>
      <c r="L178" s="6">
        <v>11.22</v>
      </c>
      <c r="M178" s="6">
        <f t="shared" si="9"/>
        <v>1.4880997752808989</v>
      </c>
      <c r="O178">
        <v>433</v>
      </c>
      <c r="P178">
        <v>772</v>
      </c>
      <c r="Q178">
        <v>269</v>
      </c>
      <c r="R178" s="3">
        <v>4.74</v>
      </c>
      <c r="S178" s="9">
        <v>0.32027027027027027</v>
      </c>
      <c r="T178" s="11"/>
      <c r="U178" s="3">
        <v>4.74</v>
      </c>
      <c r="V178" s="3">
        <f t="shared" si="12"/>
        <v>0.7894021621621623</v>
      </c>
      <c r="W178" s="9"/>
      <c r="X178">
        <v>433</v>
      </c>
      <c r="Y178">
        <v>820</v>
      </c>
      <c r="Z178">
        <v>208</v>
      </c>
      <c r="AA178" s="3">
        <v>3.58</v>
      </c>
      <c r="AB178" s="9">
        <v>0.2233502538071066</v>
      </c>
      <c r="AD178" s="3">
        <v>3.58</v>
      </c>
      <c r="AE178" s="6">
        <f t="shared" si="10"/>
        <v>0.41578883248730969</v>
      </c>
      <c r="AG178" s="3">
        <f t="shared" si="11"/>
        <v>2.6932907699303708</v>
      </c>
    </row>
    <row r="179" spans="1:33" x14ac:dyDescent="0.25">
      <c r="A179" t="s">
        <v>46</v>
      </c>
      <c r="B179" t="s">
        <v>0</v>
      </c>
      <c r="C179">
        <v>63</v>
      </c>
      <c r="D179">
        <v>434</v>
      </c>
      <c r="E179" s="2">
        <v>21</v>
      </c>
      <c r="F179" t="s">
        <v>22</v>
      </c>
      <c r="I179" s="6">
        <v>11.56</v>
      </c>
      <c r="J179" s="4">
        <v>0.25505617977528089</v>
      </c>
      <c r="K179" s="10"/>
      <c r="L179" s="6">
        <v>11.56</v>
      </c>
      <c r="M179" s="6">
        <f t="shared" si="9"/>
        <v>1.5331937078651685</v>
      </c>
      <c r="O179">
        <v>434</v>
      </c>
      <c r="R179" s="3">
        <v>4.22</v>
      </c>
      <c r="S179" s="9">
        <v>0.32027027027027027</v>
      </c>
      <c r="T179" s="11"/>
      <c r="U179" s="3">
        <v>4.22</v>
      </c>
      <c r="V179" s="3">
        <f t="shared" si="12"/>
        <v>0.70280108108108108</v>
      </c>
      <c r="W179" s="9"/>
      <c r="X179">
        <v>434</v>
      </c>
      <c r="AA179" s="3">
        <v>4.16</v>
      </c>
      <c r="AB179" s="9">
        <v>0.2233502538071066</v>
      </c>
      <c r="AD179" s="3">
        <v>4.16</v>
      </c>
      <c r="AE179" s="6">
        <f t="shared" si="10"/>
        <v>0.48315126903553302</v>
      </c>
      <c r="AG179" s="3">
        <f t="shared" si="11"/>
        <v>2.7191460579817823</v>
      </c>
    </row>
    <row r="180" spans="1:33" x14ac:dyDescent="0.25">
      <c r="A180" t="s">
        <v>46</v>
      </c>
      <c r="B180" t="s">
        <v>0</v>
      </c>
      <c r="C180">
        <v>63</v>
      </c>
      <c r="D180">
        <v>435</v>
      </c>
      <c r="E180" s="2">
        <v>25</v>
      </c>
      <c r="F180" t="s">
        <v>8</v>
      </c>
      <c r="I180" s="6">
        <v>12.8</v>
      </c>
      <c r="J180" s="4">
        <v>0.25505617977528089</v>
      </c>
      <c r="K180" s="10"/>
      <c r="L180" s="6">
        <v>12.8</v>
      </c>
      <c r="M180" s="6">
        <f t="shared" si="9"/>
        <v>1.6976539325842699</v>
      </c>
      <c r="O180">
        <v>435</v>
      </c>
      <c r="R180" s="3">
        <v>4.0999999999999996</v>
      </c>
      <c r="S180" s="9">
        <v>0.32027027027027027</v>
      </c>
      <c r="T180" s="11"/>
      <c r="U180" s="3">
        <v>4.0999999999999996</v>
      </c>
      <c r="V180" s="3">
        <f t="shared" si="12"/>
        <v>0.68281621621621613</v>
      </c>
      <c r="W180" s="9"/>
      <c r="X180">
        <v>435</v>
      </c>
      <c r="AA180" s="3">
        <v>3.76</v>
      </c>
      <c r="AB180" s="9">
        <v>0.2233502538071066</v>
      </c>
      <c r="AD180" s="3">
        <v>3.76</v>
      </c>
      <c r="AE180" s="6">
        <f t="shared" si="10"/>
        <v>0.43669441624365485</v>
      </c>
      <c r="AG180" s="3">
        <f t="shared" si="11"/>
        <v>2.8171645650441408</v>
      </c>
    </row>
    <row r="181" spans="1:33" x14ac:dyDescent="0.25">
      <c r="A181" t="s">
        <v>46</v>
      </c>
      <c r="B181" t="s">
        <v>0</v>
      </c>
      <c r="C181">
        <v>63</v>
      </c>
      <c r="D181">
        <v>436</v>
      </c>
      <c r="E181" s="2">
        <v>14</v>
      </c>
      <c r="F181" t="s">
        <v>25</v>
      </c>
      <c r="I181" s="6">
        <v>12.92</v>
      </c>
      <c r="J181" s="4">
        <v>0.25505617977528089</v>
      </c>
      <c r="K181" s="10"/>
      <c r="L181" s="6">
        <v>12.92</v>
      </c>
      <c r="M181" s="6">
        <f t="shared" si="9"/>
        <v>1.7135694382022471</v>
      </c>
      <c r="O181">
        <v>436</v>
      </c>
      <c r="R181" s="3">
        <v>2.84</v>
      </c>
      <c r="S181" s="9">
        <v>0.32027027027027027</v>
      </c>
      <c r="T181" s="11"/>
      <c r="U181" s="3">
        <v>2.84</v>
      </c>
      <c r="V181" s="3">
        <f t="shared" si="12"/>
        <v>0.47297513513513512</v>
      </c>
      <c r="W181" s="9"/>
      <c r="X181">
        <v>436</v>
      </c>
      <c r="AA181" s="3">
        <v>4.38</v>
      </c>
      <c r="AB181" s="9">
        <v>0.2233502538071066</v>
      </c>
      <c r="AD181" s="3">
        <v>4.38</v>
      </c>
      <c r="AE181" s="6">
        <f t="shared" si="10"/>
        <v>0.50870253807106602</v>
      </c>
      <c r="AG181" s="3">
        <f t="shared" si="11"/>
        <v>2.695247111408448</v>
      </c>
    </row>
    <row r="182" spans="1:33" x14ac:dyDescent="0.25">
      <c r="A182" t="s">
        <v>46</v>
      </c>
      <c r="B182" t="s">
        <v>0</v>
      </c>
      <c r="C182">
        <v>63</v>
      </c>
      <c r="D182">
        <v>437</v>
      </c>
      <c r="E182" s="2">
        <v>33</v>
      </c>
      <c r="F182" t="s">
        <v>23</v>
      </c>
      <c r="G182" s="2">
        <v>731</v>
      </c>
      <c r="H182" s="2">
        <v>220</v>
      </c>
      <c r="I182" s="6">
        <v>13.86</v>
      </c>
      <c r="J182" s="4">
        <v>0.26895565092989987</v>
      </c>
      <c r="K182" s="10"/>
      <c r="L182" s="6">
        <v>13.86</v>
      </c>
      <c r="M182" s="6">
        <f t="shared" si="9"/>
        <v>1.9384171673819743</v>
      </c>
      <c r="O182">
        <v>437</v>
      </c>
      <c r="P182">
        <v>638</v>
      </c>
      <c r="Q182">
        <v>260</v>
      </c>
      <c r="R182" s="3">
        <v>3.96</v>
      </c>
      <c r="S182" s="9">
        <v>0.37623762376237624</v>
      </c>
      <c r="T182" s="11"/>
      <c r="U182" s="3">
        <v>3.96</v>
      </c>
      <c r="V182" s="3">
        <f t="shared" si="12"/>
        <v>0.77474851485148521</v>
      </c>
      <c r="W182" s="9"/>
      <c r="X182">
        <v>437</v>
      </c>
      <c r="Y182">
        <v>800</v>
      </c>
      <c r="Z182">
        <v>205</v>
      </c>
      <c r="AA182" s="3">
        <v>5.14</v>
      </c>
      <c r="AB182" s="9">
        <v>0.22526041666666666</v>
      </c>
      <c r="AD182" s="3">
        <v>5.14</v>
      </c>
      <c r="AE182" s="6">
        <f t="shared" si="10"/>
        <v>0.60207604166666662</v>
      </c>
      <c r="AG182" s="3">
        <f t="shared" si="11"/>
        <v>3.3152417239001259</v>
      </c>
    </row>
    <row r="183" spans="1:33" x14ac:dyDescent="0.25">
      <c r="A183" t="s">
        <v>46</v>
      </c>
      <c r="B183" t="s">
        <v>0</v>
      </c>
      <c r="C183">
        <v>63</v>
      </c>
      <c r="D183">
        <v>438</v>
      </c>
      <c r="E183" s="2">
        <v>2</v>
      </c>
      <c r="F183" t="s">
        <v>4</v>
      </c>
      <c r="I183" s="6">
        <v>12.04</v>
      </c>
      <c r="J183" s="4">
        <v>0.26895565092989987</v>
      </c>
      <c r="K183" s="10"/>
      <c r="L183" s="6">
        <v>12.04</v>
      </c>
      <c r="M183" s="6">
        <f t="shared" si="9"/>
        <v>1.6838775393419172</v>
      </c>
      <c r="O183">
        <v>438</v>
      </c>
      <c r="R183" s="3">
        <v>4.22</v>
      </c>
      <c r="S183" s="9">
        <v>0.37623762376237624</v>
      </c>
      <c r="T183" s="11"/>
      <c r="U183" s="3">
        <v>4.22</v>
      </c>
      <c r="V183" s="3">
        <f t="shared" si="12"/>
        <v>0.82561584158415835</v>
      </c>
      <c r="W183" s="9"/>
      <c r="X183">
        <v>438</v>
      </c>
      <c r="AA183" s="3">
        <v>5.46</v>
      </c>
      <c r="AB183" s="9">
        <v>0.22526041666666666</v>
      </c>
      <c r="AD183" s="3">
        <v>5.46</v>
      </c>
      <c r="AE183" s="6">
        <f t="shared" si="10"/>
        <v>0.63955937499999993</v>
      </c>
      <c r="AG183" s="3">
        <f t="shared" si="11"/>
        <v>3.1490527559260757</v>
      </c>
    </row>
    <row r="184" spans="1:33" x14ac:dyDescent="0.25">
      <c r="A184" t="s">
        <v>46</v>
      </c>
      <c r="B184" t="s">
        <v>0</v>
      </c>
      <c r="C184">
        <v>63</v>
      </c>
      <c r="D184">
        <v>439</v>
      </c>
      <c r="E184" s="2">
        <v>23</v>
      </c>
      <c r="F184" t="s">
        <v>36</v>
      </c>
      <c r="I184" s="6">
        <v>10.68</v>
      </c>
      <c r="J184" s="4">
        <v>0.26895565092989987</v>
      </c>
      <c r="K184" s="10"/>
      <c r="L184" s="6">
        <v>10.68</v>
      </c>
      <c r="M184" s="6">
        <f t="shared" si="9"/>
        <v>1.4936721030042919</v>
      </c>
      <c r="O184">
        <v>439</v>
      </c>
      <c r="R184" s="3">
        <v>3.48</v>
      </c>
      <c r="S184" s="9">
        <v>0.37623762376237624</v>
      </c>
      <c r="T184" s="11"/>
      <c r="U184" s="3">
        <v>3.48</v>
      </c>
      <c r="V184" s="3">
        <f t="shared" si="12"/>
        <v>0.68083960396039611</v>
      </c>
      <c r="W184" s="9"/>
      <c r="X184">
        <v>439</v>
      </c>
      <c r="AA184" s="3">
        <v>4.62</v>
      </c>
      <c r="AB184" s="9">
        <v>0.22526041666666666</v>
      </c>
      <c r="AD184" s="3">
        <v>4.62</v>
      </c>
      <c r="AE184" s="6">
        <f t="shared" si="10"/>
        <v>0.54116562500000009</v>
      </c>
      <c r="AG184" s="3">
        <f t="shared" si="11"/>
        <v>2.7156773319646881</v>
      </c>
    </row>
    <row r="185" spans="1:33" x14ac:dyDescent="0.25">
      <c r="A185" t="s">
        <v>46</v>
      </c>
      <c r="B185" t="s">
        <v>0</v>
      </c>
      <c r="C185">
        <v>63</v>
      </c>
      <c r="D185">
        <v>440</v>
      </c>
      <c r="E185" s="2">
        <v>13</v>
      </c>
      <c r="F185" t="s">
        <v>24</v>
      </c>
      <c r="I185" s="6">
        <v>12.08</v>
      </c>
      <c r="J185" s="4">
        <v>0.26895565092989987</v>
      </c>
      <c r="K185" s="10"/>
      <c r="L185" s="6">
        <v>12.08</v>
      </c>
      <c r="M185" s="6">
        <f t="shared" si="9"/>
        <v>1.689471816881259</v>
      </c>
      <c r="O185">
        <v>440</v>
      </c>
      <c r="R185" s="3">
        <v>4.1399999999999997</v>
      </c>
      <c r="S185" s="9">
        <v>0.37623762376237624</v>
      </c>
      <c r="T185" s="11"/>
      <c r="U185" s="3">
        <v>4.1399999999999997</v>
      </c>
      <c r="V185" s="3">
        <f t="shared" si="12"/>
        <v>0.80996435643564346</v>
      </c>
      <c r="W185" s="9"/>
      <c r="X185">
        <v>440</v>
      </c>
      <c r="AA185" s="3">
        <v>4.28</v>
      </c>
      <c r="AB185" s="9">
        <v>0.22526041666666666</v>
      </c>
      <c r="AD185" s="3">
        <v>4.28</v>
      </c>
      <c r="AE185" s="6">
        <f t="shared" si="10"/>
        <v>0.50133958333333339</v>
      </c>
      <c r="AG185" s="3">
        <f t="shared" si="11"/>
        <v>3.0007757566502358</v>
      </c>
    </row>
    <row r="186" spans="1:33" x14ac:dyDescent="0.25">
      <c r="A186" t="s">
        <v>46</v>
      </c>
      <c r="B186" t="s">
        <v>0</v>
      </c>
      <c r="C186">
        <v>63</v>
      </c>
      <c r="D186">
        <v>441</v>
      </c>
      <c r="E186" s="2">
        <v>28</v>
      </c>
      <c r="F186" t="s">
        <v>13</v>
      </c>
      <c r="G186" s="2">
        <v>679</v>
      </c>
      <c r="H186" s="2">
        <v>201</v>
      </c>
      <c r="I186" s="6">
        <v>13.66</v>
      </c>
      <c r="J186" s="4">
        <v>0.26120556414219476</v>
      </c>
      <c r="K186" s="10"/>
      <c r="L186" s="6">
        <v>13.66</v>
      </c>
      <c r="M186" s="6">
        <f t="shared" si="9"/>
        <v>1.8553953632148379</v>
      </c>
      <c r="O186">
        <v>441</v>
      </c>
      <c r="P186">
        <v>577</v>
      </c>
      <c r="Q186">
        <v>235</v>
      </c>
      <c r="R186" s="3">
        <v>4.18</v>
      </c>
      <c r="S186" s="9">
        <v>0.37247706422018351</v>
      </c>
      <c r="T186" s="11"/>
      <c r="U186" s="3">
        <v>4.18</v>
      </c>
      <c r="V186" s="3">
        <f t="shared" si="12"/>
        <v>0.80961614678899085</v>
      </c>
      <c r="W186" s="9"/>
      <c r="X186">
        <v>441</v>
      </c>
      <c r="Y186">
        <v>714</v>
      </c>
      <c r="Z186">
        <v>195</v>
      </c>
      <c r="AA186" s="3">
        <v>5.0199999999999996</v>
      </c>
      <c r="AB186" s="9">
        <v>0.23900293255131966</v>
      </c>
      <c r="AD186" s="3">
        <v>5.0199999999999996</v>
      </c>
      <c r="AE186" s="6">
        <f t="shared" si="10"/>
        <v>0.62389325513196481</v>
      </c>
      <c r="AG186" s="3">
        <f t="shared" si="11"/>
        <v>3.2889047651357934</v>
      </c>
    </row>
    <row r="187" spans="1:33" x14ac:dyDescent="0.25">
      <c r="A187" t="s">
        <v>46</v>
      </c>
      <c r="B187" t="s">
        <v>0</v>
      </c>
      <c r="C187">
        <v>63</v>
      </c>
      <c r="D187">
        <v>442</v>
      </c>
      <c r="E187" s="2">
        <v>3</v>
      </c>
      <c r="F187" t="s">
        <v>3</v>
      </c>
      <c r="I187" s="6">
        <v>14.22</v>
      </c>
      <c r="J187" s="4">
        <v>0.26120556414219476</v>
      </c>
      <c r="K187" s="10"/>
      <c r="L187" s="6">
        <v>14.22</v>
      </c>
      <c r="M187" s="6">
        <f t="shared" si="9"/>
        <v>1.9314584234930452</v>
      </c>
      <c r="O187">
        <v>442</v>
      </c>
      <c r="R187" s="3">
        <v>4.7</v>
      </c>
      <c r="S187" s="9">
        <v>0.37247706422018351</v>
      </c>
      <c r="T187" s="11"/>
      <c r="U187" s="3">
        <v>4.7</v>
      </c>
      <c r="V187" s="3">
        <f t="shared" si="12"/>
        <v>0.91033394495412856</v>
      </c>
      <c r="W187" s="9"/>
      <c r="X187">
        <v>442</v>
      </c>
      <c r="AA187" s="3">
        <v>4.68</v>
      </c>
      <c r="AB187" s="9">
        <v>0.23900293255131966</v>
      </c>
      <c r="AD187" s="3">
        <v>4.68</v>
      </c>
      <c r="AE187" s="6">
        <f t="shared" si="10"/>
        <v>0.58163753665689144</v>
      </c>
      <c r="AG187" s="3">
        <f t="shared" si="11"/>
        <v>3.4234299051040655</v>
      </c>
    </row>
    <row r="188" spans="1:33" x14ac:dyDescent="0.25">
      <c r="A188" t="s">
        <v>46</v>
      </c>
      <c r="B188" t="s">
        <v>0</v>
      </c>
      <c r="C188">
        <v>63</v>
      </c>
      <c r="D188">
        <v>443</v>
      </c>
      <c r="E188" s="2">
        <v>1</v>
      </c>
      <c r="F188" t="s">
        <v>6</v>
      </c>
      <c r="I188" s="6">
        <v>12.56</v>
      </c>
      <c r="J188" s="4">
        <v>0.26120556414219476</v>
      </c>
      <c r="K188" s="10"/>
      <c r="L188" s="6">
        <v>12.56</v>
      </c>
      <c r="M188" s="6">
        <f t="shared" si="9"/>
        <v>1.7059857805255025</v>
      </c>
      <c r="O188">
        <v>443</v>
      </c>
      <c r="R188" s="3">
        <v>5.28</v>
      </c>
      <c r="S188" s="9">
        <v>0.37247706422018351</v>
      </c>
      <c r="T188" s="11"/>
      <c r="U188" s="3">
        <v>5.28</v>
      </c>
      <c r="V188" s="3">
        <f t="shared" si="12"/>
        <v>1.0226730275229359</v>
      </c>
      <c r="W188" s="9"/>
      <c r="X188">
        <v>443</v>
      </c>
      <c r="AA188" s="3">
        <v>5.08</v>
      </c>
      <c r="AB188" s="9">
        <v>0.23900293255131966</v>
      </c>
      <c r="AD188" s="3">
        <v>5.08</v>
      </c>
      <c r="AE188" s="6">
        <f t="shared" si="10"/>
        <v>0.63135014662756594</v>
      </c>
      <c r="AG188" s="3">
        <f t="shared" si="11"/>
        <v>3.3600089546760041</v>
      </c>
    </row>
    <row r="189" spans="1:33" x14ac:dyDescent="0.25">
      <c r="A189" t="s">
        <v>46</v>
      </c>
      <c r="B189" t="s">
        <v>0</v>
      </c>
      <c r="C189">
        <v>63</v>
      </c>
      <c r="D189">
        <v>444</v>
      </c>
      <c r="E189" s="2">
        <v>32</v>
      </c>
      <c r="F189" t="s">
        <v>30</v>
      </c>
      <c r="I189" s="6">
        <v>13.5</v>
      </c>
      <c r="J189" s="4">
        <v>0.26120556414219476</v>
      </c>
      <c r="K189" s="10"/>
      <c r="L189" s="6">
        <v>13.5</v>
      </c>
      <c r="M189" s="6">
        <f t="shared" si="9"/>
        <v>1.8336630602782071</v>
      </c>
      <c r="O189">
        <v>444</v>
      </c>
      <c r="R189" s="3">
        <v>4.9400000000000004</v>
      </c>
      <c r="S189" s="9">
        <v>0.37247706422018351</v>
      </c>
      <c r="T189" s="11"/>
      <c r="U189" s="3">
        <v>4.9400000000000004</v>
      </c>
      <c r="V189" s="3">
        <f t="shared" si="12"/>
        <v>0.95681908256880754</v>
      </c>
      <c r="W189" s="9"/>
      <c r="X189">
        <v>444</v>
      </c>
      <c r="AA189" s="3">
        <v>5.58</v>
      </c>
      <c r="AB189" s="9">
        <v>0.23900293255131966</v>
      </c>
      <c r="AD189" s="3">
        <v>5.58</v>
      </c>
      <c r="AE189" s="6">
        <f t="shared" si="10"/>
        <v>0.69349090909090916</v>
      </c>
      <c r="AG189" s="3">
        <f t="shared" si="11"/>
        <v>3.4839730519379239</v>
      </c>
    </row>
    <row r="190" spans="1:33" x14ac:dyDescent="0.25">
      <c r="A190" t="s">
        <v>46</v>
      </c>
      <c r="B190" t="s">
        <v>0</v>
      </c>
      <c r="C190">
        <v>63</v>
      </c>
      <c r="D190">
        <v>445</v>
      </c>
      <c r="E190" s="2">
        <v>15</v>
      </c>
      <c r="F190" t="s">
        <v>20</v>
      </c>
      <c r="G190" s="2">
        <v>760</v>
      </c>
      <c r="H190" s="2">
        <v>211</v>
      </c>
      <c r="I190" s="6">
        <v>12.1</v>
      </c>
      <c r="J190" s="4">
        <v>0.24587912087912087</v>
      </c>
      <c r="K190" s="10"/>
      <c r="L190" s="6">
        <v>12.1</v>
      </c>
      <c r="M190" s="6">
        <f t="shared" si="9"/>
        <v>1.5470714285714287</v>
      </c>
      <c r="O190">
        <v>445</v>
      </c>
      <c r="P190">
        <v>684</v>
      </c>
      <c r="Q190">
        <v>281</v>
      </c>
      <c r="R190" s="3">
        <v>4.32</v>
      </c>
      <c r="S190" s="9">
        <v>0.38190184049079756</v>
      </c>
      <c r="T190" s="11"/>
      <c r="U190" s="3">
        <v>4.32</v>
      </c>
      <c r="V190" s="3">
        <f t="shared" si="12"/>
        <v>0.85790429447852767</v>
      </c>
      <c r="W190" s="9"/>
      <c r="X190">
        <v>445</v>
      </c>
      <c r="Y190">
        <v>847</v>
      </c>
      <c r="Z190">
        <v>211</v>
      </c>
      <c r="AA190" s="3">
        <v>5.8</v>
      </c>
      <c r="AB190" s="9">
        <v>0.21963190184049081</v>
      </c>
      <c r="AD190" s="3">
        <v>5.8</v>
      </c>
      <c r="AE190" s="6">
        <f t="shared" si="10"/>
        <v>0.6624098159509203</v>
      </c>
      <c r="AG190" s="3">
        <f t="shared" si="11"/>
        <v>3.0673855390008766</v>
      </c>
    </row>
    <row r="191" spans="1:33" x14ac:dyDescent="0.25">
      <c r="A191" t="s">
        <v>46</v>
      </c>
      <c r="B191" t="s">
        <v>0</v>
      </c>
      <c r="C191">
        <v>63</v>
      </c>
      <c r="D191">
        <v>446</v>
      </c>
      <c r="E191" s="2">
        <v>12</v>
      </c>
      <c r="F191" t="s">
        <v>33</v>
      </c>
      <c r="I191" s="6">
        <v>15.22</v>
      </c>
      <c r="J191" s="4">
        <v>0.24587912087912087</v>
      </c>
      <c r="K191" s="10"/>
      <c r="L191" s="6">
        <v>15.22</v>
      </c>
      <c r="M191" s="6">
        <f t="shared" si="9"/>
        <v>1.9459857142857144</v>
      </c>
      <c r="O191">
        <v>446</v>
      </c>
      <c r="R191" s="3">
        <v>4.82</v>
      </c>
      <c r="S191" s="9">
        <v>0.38190184049079756</v>
      </c>
      <c r="T191" s="11"/>
      <c r="U191" s="3">
        <v>4.82</v>
      </c>
      <c r="V191" s="3">
        <f t="shared" si="12"/>
        <v>0.9571987730061351</v>
      </c>
      <c r="W191" s="9"/>
      <c r="X191">
        <v>446</v>
      </c>
      <c r="AA191" s="3">
        <v>6.8</v>
      </c>
      <c r="AB191" s="9">
        <v>0.21963190184049081</v>
      </c>
      <c r="AD191" s="3">
        <v>6.8</v>
      </c>
      <c r="AE191" s="6">
        <f t="shared" si="10"/>
        <v>0.77661840490797551</v>
      </c>
      <c r="AG191" s="3">
        <f t="shared" si="11"/>
        <v>3.6798028921998251</v>
      </c>
    </row>
    <row r="192" spans="1:33" x14ac:dyDescent="0.25">
      <c r="A192" t="s">
        <v>46</v>
      </c>
      <c r="B192" t="s">
        <v>0</v>
      </c>
      <c r="C192">
        <v>63</v>
      </c>
      <c r="D192">
        <v>447</v>
      </c>
      <c r="E192" s="2">
        <v>8</v>
      </c>
      <c r="F192" t="s">
        <v>31</v>
      </c>
      <c r="I192" s="6">
        <v>15.96</v>
      </c>
      <c r="J192" s="4">
        <v>0.24587912087912087</v>
      </c>
      <c r="K192" s="10"/>
      <c r="L192" s="6">
        <v>15.96</v>
      </c>
      <c r="M192" s="6">
        <f t="shared" si="9"/>
        <v>2.0406</v>
      </c>
      <c r="O192">
        <v>447</v>
      </c>
      <c r="R192" s="3">
        <v>5.2</v>
      </c>
      <c r="S192" s="9">
        <v>0.38190184049079756</v>
      </c>
      <c r="T192" s="11"/>
      <c r="U192" s="3">
        <v>5.2</v>
      </c>
      <c r="V192" s="3">
        <f t="shared" si="12"/>
        <v>1.0326625766871167</v>
      </c>
      <c r="W192" s="9"/>
      <c r="X192">
        <v>447</v>
      </c>
      <c r="AA192" s="3">
        <v>7.14</v>
      </c>
      <c r="AB192" s="9">
        <v>0.21963190184049081</v>
      </c>
      <c r="AD192" s="3">
        <v>7.14</v>
      </c>
      <c r="AE192" s="6">
        <f t="shared" si="10"/>
        <v>0.8154493251533742</v>
      </c>
      <c r="AG192" s="3">
        <f t="shared" si="11"/>
        <v>3.8887119018404905</v>
      </c>
    </row>
    <row r="193" spans="1:33" x14ac:dyDescent="0.25">
      <c r="A193" t="s">
        <v>46</v>
      </c>
      <c r="B193" t="s">
        <v>0</v>
      </c>
      <c r="C193">
        <v>63</v>
      </c>
      <c r="D193">
        <v>448</v>
      </c>
      <c r="E193" s="2">
        <v>19</v>
      </c>
      <c r="F193" t="s">
        <v>10</v>
      </c>
      <c r="I193" s="6">
        <v>16.98</v>
      </c>
      <c r="J193" s="4">
        <v>0.24587912087912087</v>
      </c>
      <c r="K193" s="10"/>
      <c r="L193" s="6">
        <v>16.98</v>
      </c>
      <c r="M193" s="6">
        <f t="shared" si="9"/>
        <v>2.1710142857142856</v>
      </c>
      <c r="O193">
        <v>448</v>
      </c>
      <c r="R193" s="3">
        <v>4.8600000000000003</v>
      </c>
      <c r="S193" s="9">
        <v>0.38190184049079756</v>
      </c>
      <c r="T193" s="11"/>
      <c r="U193" s="3">
        <v>4.8600000000000003</v>
      </c>
      <c r="V193" s="3">
        <f t="shared" si="12"/>
        <v>0.9651423312883437</v>
      </c>
      <c r="W193" s="9"/>
      <c r="X193">
        <v>448</v>
      </c>
      <c r="AA193" s="3">
        <v>7.54</v>
      </c>
      <c r="AB193" s="9">
        <v>0.21963190184049081</v>
      </c>
      <c r="AD193" s="3">
        <v>7.54</v>
      </c>
      <c r="AE193" s="6">
        <f t="shared" si="10"/>
        <v>0.86113276073619638</v>
      </c>
      <c r="AG193" s="3">
        <f t="shared" si="11"/>
        <v>3.9972893777388254</v>
      </c>
    </row>
    <row r="194" spans="1:33" x14ac:dyDescent="0.25">
      <c r="A194" t="s">
        <v>47</v>
      </c>
      <c r="B194" t="s">
        <v>0</v>
      </c>
      <c r="C194">
        <v>64</v>
      </c>
      <c r="D194">
        <v>101</v>
      </c>
      <c r="E194" s="2">
        <v>10</v>
      </c>
      <c r="F194" t="s">
        <v>35</v>
      </c>
      <c r="G194" s="2">
        <v>741</v>
      </c>
      <c r="H194" s="2">
        <v>191</v>
      </c>
      <c r="I194" s="6">
        <v>14.9</v>
      </c>
      <c r="J194" s="4">
        <v>0.22425952045133993</v>
      </c>
      <c r="K194" s="10"/>
      <c r="L194" s="6">
        <v>14.9</v>
      </c>
      <c r="M194" s="6">
        <f t="shared" si="9"/>
        <v>1.737562764456982</v>
      </c>
      <c r="O194">
        <v>101</v>
      </c>
      <c r="R194" s="3"/>
      <c r="S194" s="9"/>
      <c r="T194" s="11"/>
      <c r="U194" s="9"/>
      <c r="V194" s="11"/>
      <c r="W194" s="9"/>
      <c r="X194">
        <v>101</v>
      </c>
      <c r="Y194">
        <v>766</v>
      </c>
      <c r="Z194">
        <v>205</v>
      </c>
      <c r="AA194" s="3">
        <v>13.3</v>
      </c>
      <c r="AB194" s="9">
        <v>0.23569482288828339</v>
      </c>
      <c r="AD194" s="3">
        <v>13.3</v>
      </c>
      <c r="AE194" s="6">
        <f t="shared" si="10"/>
        <v>1.6300653950953681</v>
      </c>
      <c r="AG194" s="3"/>
    </row>
    <row r="195" spans="1:33" x14ac:dyDescent="0.25">
      <c r="A195" t="s">
        <v>47</v>
      </c>
      <c r="B195" t="s">
        <v>0</v>
      </c>
      <c r="C195">
        <v>64</v>
      </c>
      <c r="D195">
        <v>102</v>
      </c>
      <c r="E195" s="2">
        <v>9</v>
      </c>
      <c r="F195" t="s">
        <v>19</v>
      </c>
      <c r="I195" s="6">
        <v>15.48</v>
      </c>
      <c r="J195" s="4">
        <v>0.22425952045133993</v>
      </c>
      <c r="K195" s="10"/>
      <c r="L195" s="6">
        <v>15.48</v>
      </c>
      <c r="M195" s="6">
        <f t="shared" ref="M195:M258" si="13">J195*L195*0.52</f>
        <v>1.805199435825106</v>
      </c>
      <c r="O195">
        <v>102</v>
      </c>
      <c r="R195" s="3"/>
      <c r="S195" s="9"/>
      <c r="T195" s="11"/>
      <c r="U195" s="9"/>
      <c r="V195" s="11"/>
      <c r="W195" s="9"/>
      <c r="X195">
        <v>102</v>
      </c>
      <c r="AA195" s="3">
        <v>15</v>
      </c>
      <c r="AB195" s="9">
        <v>0.23569482288828339</v>
      </c>
      <c r="AD195" s="3">
        <v>15</v>
      </c>
      <c r="AE195" s="6">
        <f t="shared" ref="AE195:AE258" si="14">AB195*AD195*0.52</f>
        <v>1.8384196185286106</v>
      </c>
      <c r="AG195" s="3"/>
    </row>
    <row r="196" spans="1:33" x14ac:dyDescent="0.25">
      <c r="A196" t="s">
        <v>47</v>
      </c>
      <c r="B196" t="s">
        <v>0</v>
      </c>
      <c r="C196">
        <v>64</v>
      </c>
      <c r="D196">
        <v>103</v>
      </c>
      <c r="E196" s="2">
        <v>7</v>
      </c>
      <c r="F196" t="s">
        <v>16</v>
      </c>
      <c r="I196" s="6">
        <v>16.5</v>
      </c>
      <c r="J196" s="4">
        <v>0.22425952045133993</v>
      </c>
      <c r="K196" s="10"/>
      <c r="L196" s="6">
        <v>16.5</v>
      </c>
      <c r="M196" s="6">
        <f t="shared" si="13"/>
        <v>1.9241466854724967</v>
      </c>
      <c r="O196">
        <v>103</v>
      </c>
      <c r="R196" s="3"/>
      <c r="S196" s="9"/>
      <c r="T196" s="11"/>
      <c r="U196" s="9"/>
      <c r="V196" s="11"/>
      <c r="W196" s="9"/>
      <c r="X196">
        <v>103</v>
      </c>
      <c r="AA196" s="3">
        <v>11.46</v>
      </c>
      <c r="AB196" s="9">
        <v>0.23569482288828339</v>
      </c>
      <c r="AD196" s="3">
        <v>11.46</v>
      </c>
      <c r="AE196" s="6">
        <f t="shared" si="14"/>
        <v>1.4045525885558585</v>
      </c>
      <c r="AG196" s="3"/>
    </row>
    <row r="197" spans="1:33" x14ac:dyDescent="0.25">
      <c r="A197" t="s">
        <v>47</v>
      </c>
      <c r="B197" t="s">
        <v>0</v>
      </c>
      <c r="C197">
        <v>64</v>
      </c>
      <c r="D197">
        <v>104</v>
      </c>
      <c r="E197" s="2">
        <v>12</v>
      </c>
      <c r="F197" t="s">
        <v>33</v>
      </c>
      <c r="I197" s="6">
        <v>15.7</v>
      </c>
      <c r="J197" s="4">
        <v>0.22425952045133993</v>
      </c>
      <c r="K197" s="10"/>
      <c r="L197" s="6">
        <v>15.7</v>
      </c>
      <c r="M197" s="6">
        <f t="shared" si="13"/>
        <v>1.8308547249647393</v>
      </c>
      <c r="O197">
        <v>104</v>
      </c>
      <c r="R197" s="3"/>
      <c r="S197" s="9"/>
      <c r="T197" s="11"/>
      <c r="U197" s="9"/>
      <c r="V197" s="11"/>
      <c r="W197" s="9"/>
      <c r="X197">
        <v>104</v>
      </c>
      <c r="AA197" s="3">
        <v>12.04</v>
      </c>
      <c r="AB197" s="9">
        <v>0.23569482288828339</v>
      </c>
      <c r="AD197" s="3">
        <v>12.04</v>
      </c>
      <c r="AE197" s="6">
        <f t="shared" si="14"/>
        <v>1.4756381471389646</v>
      </c>
      <c r="AG197" s="3"/>
    </row>
    <row r="198" spans="1:33" x14ac:dyDescent="0.25">
      <c r="A198" t="s">
        <v>47</v>
      </c>
      <c r="B198" t="s">
        <v>0</v>
      </c>
      <c r="C198">
        <v>64</v>
      </c>
      <c r="D198">
        <v>105</v>
      </c>
      <c r="E198" s="2">
        <v>9</v>
      </c>
      <c r="F198" t="s">
        <v>19</v>
      </c>
      <c r="G198" s="2">
        <v>762</v>
      </c>
      <c r="H198" s="2">
        <v>193</v>
      </c>
      <c r="I198" s="6">
        <v>16.68</v>
      </c>
      <c r="J198" s="4">
        <v>0.22054794520547946</v>
      </c>
      <c r="K198" s="10"/>
      <c r="L198" s="6">
        <v>16.68</v>
      </c>
      <c r="M198" s="6">
        <f t="shared" si="13"/>
        <v>1.9129446575342468</v>
      </c>
      <c r="O198">
        <v>105</v>
      </c>
      <c r="R198" s="3"/>
      <c r="S198" s="9"/>
      <c r="T198" s="11"/>
      <c r="U198" s="9"/>
      <c r="V198" s="11"/>
      <c r="W198" s="9"/>
      <c r="X198">
        <v>105</v>
      </c>
      <c r="Y198">
        <v>807</v>
      </c>
      <c r="Z198">
        <v>218</v>
      </c>
      <c r="AA198" s="3">
        <v>10.78</v>
      </c>
      <c r="AB198" s="9">
        <v>0.24</v>
      </c>
      <c r="AD198" s="3">
        <v>10.78</v>
      </c>
      <c r="AE198" s="6">
        <f t="shared" si="14"/>
        <v>1.3453439999999999</v>
      </c>
      <c r="AG198" s="3"/>
    </row>
    <row r="199" spans="1:33" x14ac:dyDescent="0.25">
      <c r="A199" t="s">
        <v>47</v>
      </c>
      <c r="B199" t="s">
        <v>0</v>
      </c>
      <c r="C199">
        <v>64</v>
      </c>
      <c r="D199">
        <v>106</v>
      </c>
      <c r="E199" s="2">
        <v>11</v>
      </c>
      <c r="F199" t="s">
        <v>15</v>
      </c>
      <c r="I199" s="6">
        <v>18</v>
      </c>
      <c r="J199" s="4">
        <v>0.22054794520547946</v>
      </c>
      <c r="K199" s="10"/>
      <c r="L199" s="6">
        <v>18</v>
      </c>
      <c r="M199" s="6">
        <f t="shared" si="13"/>
        <v>2.0643287671232877</v>
      </c>
      <c r="O199">
        <v>106</v>
      </c>
      <c r="R199" s="3"/>
      <c r="S199" s="9"/>
      <c r="T199" s="11"/>
      <c r="U199" s="9"/>
      <c r="V199" s="11"/>
      <c r="W199" s="9"/>
      <c r="X199">
        <v>106</v>
      </c>
      <c r="AA199" s="3">
        <v>14.42</v>
      </c>
      <c r="AB199" s="9">
        <v>0.24</v>
      </c>
      <c r="AD199" s="3">
        <v>14.42</v>
      </c>
      <c r="AE199" s="6">
        <f t="shared" si="14"/>
        <v>1.7996160000000001</v>
      </c>
      <c r="AG199" s="3"/>
    </row>
    <row r="200" spans="1:33" x14ac:dyDescent="0.25">
      <c r="A200" t="s">
        <v>47</v>
      </c>
      <c r="B200" t="s">
        <v>0</v>
      </c>
      <c r="C200">
        <v>64</v>
      </c>
      <c r="D200">
        <v>107</v>
      </c>
      <c r="E200" s="2">
        <v>7</v>
      </c>
      <c r="F200" t="s">
        <v>16</v>
      </c>
      <c r="I200" s="6">
        <v>15</v>
      </c>
      <c r="J200" s="4">
        <v>0.22054794520547946</v>
      </c>
      <c r="K200" s="10"/>
      <c r="L200" s="6">
        <v>15</v>
      </c>
      <c r="M200" s="6">
        <f t="shared" si="13"/>
        <v>1.7202739726027398</v>
      </c>
      <c r="O200">
        <v>107</v>
      </c>
      <c r="R200" s="3"/>
      <c r="S200" s="9"/>
      <c r="T200" s="11"/>
      <c r="U200" s="9"/>
      <c r="V200" s="11"/>
      <c r="W200" s="9"/>
      <c r="X200">
        <v>107</v>
      </c>
      <c r="AA200" s="3">
        <v>10.64</v>
      </c>
      <c r="AB200" s="9">
        <v>0.24</v>
      </c>
      <c r="AD200" s="3">
        <v>10.64</v>
      </c>
      <c r="AE200" s="6">
        <f t="shared" si="14"/>
        <v>1.3278719999999999</v>
      </c>
      <c r="AG200" s="3"/>
    </row>
    <row r="201" spans="1:33" x14ac:dyDescent="0.25">
      <c r="A201" t="s">
        <v>47</v>
      </c>
      <c r="B201" t="s">
        <v>0</v>
      </c>
      <c r="C201">
        <v>64</v>
      </c>
      <c r="D201">
        <v>108</v>
      </c>
      <c r="E201" s="2">
        <v>12</v>
      </c>
      <c r="F201" t="s">
        <v>33</v>
      </c>
      <c r="I201" s="6">
        <v>17.72</v>
      </c>
      <c r="J201" s="4">
        <v>0.22054794520547946</v>
      </c>
      <c r="K201" s="10"/>
      <c r="L201" s="6">
        <v>17.72</v>
      </c>
      <c r="M201" s="6">
        <f t="shared" si="13"/>
        <v>2.0322169863013699</v>
      </c>
      <c r="O201">
        <v>108</v>
      </c>
      <c r="R201" s="3"/>
      <c r="S201" s="9"/>
      <c r="T201" s="11"/>
      <c r="U201" s="9"/>
      <c r="V201" s="11"/>
      <c r="W201" s="9"/>
      <c r="X201">
        <v>108</v>
      </c>
      <c r="AA201" s="3">
        <v>12.16</v>
      </c>
      <c r="AB201" s="9">
        <v>0.24</v>
      </c>
      <c r="AD201" s="3">
        <v>12.16</v>
      </c>
      <c r="AE201" s="6">
        <f t="shared" si="14"/>
        <v>1.517568</v>
      </c>
      <c r="AG201" s="3"/>
    </row>
    <row r="202" spans="1:33" x14ac:dyDescent="0.25">
      <c r="A202" t="s">
        <v>47</v>
      </c>
      <c r="B202" t="s">
        <v>0</v>
      </c>
      <c r="C202">
        <v>64</v>
      </c>
      <c r="D202">
        <v>109</v>
      </c>
      <c r="E202" s="2">
        <v>8</v>
      </c>
      <c r="F202" t="s">
        <v>31</v>
      </c>
      <c r="G202" s="2">
        <v>808</v>
      </c>
      <c r="H202" s="2">
        <v>194</v>
      </c>
      <c r="I202" s="6">
        <v>18.559999999999999</v>
      </c>
      <c r="J202" s="4">
        <v>0.20876288659793815</v>
      </c>
      <c r="K202" s="10"/>
      <c r="L202" s="6">
        <v>18.559999999999999</v>
      </c>
      <c r="M202" s="6">
        <f t="shared" si="13"/>
        <v>2.0148123711340209</v>
      </c>
      <c r="O202">
        <v>109</v>
      </c>
      <c r="R202" s="3"/>
      <c r="S202" s="9"/>
      <c r="T202" s="11"/>
      <c r="U202" s="9"/>
      <c r="V202" s="11"/>
      <c r="W202" s="9"/>
      <c r="X202">
        <v>109</v>
      </c>
      <c r="Y202">
        <v>581</v>
      </c>
      <c r="Z202">
        <v>180</v>
      </c>
      <c r="AA202" s="3">
        <v>10.220000000000001</v>
      </c>
      <c r="AB202" s="9">
        <v>0.26958105646630237</v>
      </c>
      <c r="AD202" s="3">
        <v>10.220000000000001</v>
      </c>
      <c r="AE202" s="6">
        <f t="shared" si="14"/>
        <v>1.4326615664845175</v>
      </c>
      <c r="AG202" s="3"/>
    </row>
    <row r="203" spans="1:33" x14ac:dyDescent="0.25">
      <c r="A203" t="s">
        <v>47</v>
      </c>
      <c r="B203" t="s">
        <v>0</v>
      </c>
      <c r="C203">
        <v>64</v>
      </c>
      <c r="D203">
        <v>110</v>
      </c>
      <c r="E203" s="2">
        <v>10</v>
      </c>
      <c r="F203" t="s">
        <v>35</v>
      </c>
      <c r="I203" s="6">
        <v>16.36</v>
      </c>
      <c r="J203" s="4">
        <v>0.20876288659793815</v>
      </c>
      <c r="K203" s="10"/>
      <c r="L203" s="6">
        <v>16.36</v>
      </c>
      <c r="M203" s="6">
        <f t="shared" si="13"/>
        <v>1.7759876288659795</v>
      </c>
      <c r="O203">
        <v>110</v>
      </c>
      <c r="R203" s="3"/>
      <c r="S203" s="9"/>
      <c r="T203" s="11"/>
      <c r="U203" s="9"/>
      <c r="V203" s="11"/>
      <c r="W203" s="9"/>
      <c r="X203">
        <v>110</v>
      </c>
      <c r="AA203" s="3">
        <v>10.24</v>
      </c>
      <c r="AB203" s="9">
        <v>0.26958105646630237</v>
      </c>
      <c r="AD203" s="3">
        <v>10.24</v>
      </c>
      <c r="AE203" s="6">
        <f t="shared" si="14"/>
        <v>1.4354652094717668</v>
      </c>
      <c r="AG203" s="3"/>
    </row>
    <row r="204" spans="1:33" x14ac:dyDescent="0.25">
      <c r="A204" t="s">
        <v>47</v>
      </c>
      <c r="B204" t="s">
        <v>0</v>
      </c>
      <c r="C204">
        <v>64</v>
      </c>
      <c r="D204">
        <v>111</v>
      </c>
      <c r="E204" s="2">
        <v>11</v>
      </c>
      <c r="F204" t="s">
        <v>15</v>
      </c>
      <c r="I204" s="6">
        <v>19.02</v>
      </c>
      <c r="J204" s="4">
        <v>0.20876288659793815</v>
      </c>
      <c r="K204" s="10"/>
      <c r="L204" s="6">
        <v>19.02</v>
      </c>
      <c r="M204" s="6">
        <f t="shared" si="13"/>
        <v>2.0647484536082472</v>
      </c>
      <c r="O204">
        <v>111</v>
      </c>
      <c r="R204" s="3"/>
      <c r="S204" s="9"/>
      <c r="T204" s="11"/>
      <c r="U204" s="9"/>
      <c r="V204" s="11"/>
      <c r="W204" s="9"/>
      <c r="X204">
        <v>111</v>
      </c>
      <c r="AA204" s="3">
        <v>14.62</v>
      </c>
      <c r="AB204" s="9">
        <v>0.26958105646630237</v>
      </c>
      <c r="AD204" s="3">
        <v>14.62</v>
      </c>
      <c r="AE204" s="6">
        <f t="shared" si="14"/>
        <v>2.0494630236794174</v>
      </c>
      <c r="AG204" s="3"/>
    </row>
    <row r="205" spans="1:33" x14ac:dyDescent="0.25">
      <c r="A205" t="s">
        <v>47</v>
      </c>
      <c r="B205" t="s">
        <v>0</v>
      </c>
      <c r="C205">
        <v>64</v>
      </c>
      <c r="D205">
        <v>112</v>
      </c>
      <c r="E205" s="2">
        <v>8</v>
      </c>
      <c r="F205" t="s">
        <v>31</v>
      </c>
      <c r="I205" s="6">
        <v>18.079999999999998</v>
      </c>
      <c r="J205" s="4">
        <v>0.20876288659793815</v>
      </c>
      <c r="K205" s="10"/>
      <c r="L205" s="6">
        <v>18.079999999999998</v>
      </c>
      <c r="M205" s="6">
        <f t="shared" si="13"/>
        <v>1.9627051546391752</v>
      </c>
      <c r="O205">
        <v>112</v>
      </c>
      <c r="R205" s="3"/>
      <c r="S205" s="9"/>
      <c r="T205" s="11"/>
      <c r="U205" s="9"/>
      <c r="V205" s="11"/>
      <c r="W205" s="9"/>
      <c r="X205">
        <v>112</v>
      </c>
      <c r="AA205" s="3">
        <v>9.64</v>
      </c>
      <c r="AB205" s="9">
        <v>0.26958105646630237</v>
      </c>
      <c r="AD205" s="3">
        <v>9.64</v>
      </c>
      <c r="AE205" s="6">
        <f t="shared" si="14"/>
        <v>1.3513559198542806</v>
      </c>
      <c r="AG205" s="3"/>
    </row>
    <row r="206" spans="1:33" x14ac:dyDescent="0.25">
      <c r="A206" t="s">
        <v>47</v>
      </c>
      <c r="B206" t="s">
        <v>0</v>
      </c>
      <c r="C206">
        <v>64</v>
      </c>
      <c r="D206">
        <v>113</v>
      </c>
      <c r="E206" s="2">
        <v>10</v>
      </c>
      <c r="F206" t="s">
        <v>35</v>
      </c>
      <c r="G206" s="2">
        <v>839</v>
      </c>
      <c r="H206" s="2">
        <v>211</v>
      </c>
      <c r="I206" s="6">
        <v>18.559999999999999</v>
      </c>
      <c r="J206" s="4">
        <v>0.22180916976456011</v>
      </c>
      <c r="K206" s="10"/>
      <c r="L206" s="6">
        <v>18.559999999999999</v>
      </c>
      <c r="M206" s="6">
        <f t="shared" si="13"/>
        <v>2.1407246592317222</v>
      </c>
      <c r="O206">
        <v>113</v>
      </c>
      <c r="P206">
        <v>602</v>
      </c>
      <c r="Q206">
        <v>174</v>
      </c>
      <c r="R206" s="3">
        <v>15</v>
      </c>
      <c r="S206" s="9">
        <v>0.24912280701754386</v>
      </c>
      <c r="T206" s="11"/>
      <c r="U206" s="3">
        <v>15</v>
      </c>
      <c r="V206" s="3">
        <f>S206*U206*0.52</f>
        <v>1.9431578947368422</v>
      </c>
      <c r="W206" s="9"/>
      <c r="X206">
        <v>113</v>
      </c>
      <c r="Y206">
        <v>688</v>
      </c>
      <c r="Z206">
        <v>177</v>
      </c>
      <c r="AA206" s="3">
        <v>12.4</v>
      </c>
      <c r="AB206" s="9">
        <v>0.22103658536585366</v>
      </c>
      <c r="AD206" s="3">
        <v>12.4</v>
      </c>
      <c r="AE206" s="6">
        <f t="shared" si="14"/>
        <v>1.4252439024390247</v>
      </c>
      <c r="AG206" s="3">
        <f t="shared" ref="AG206:AG258" si="15">M206+V206+AE206</f>
        <v>5.5091264564075892</v>
      </c>
    </row>
    <row r="207" spans="1:33" x14ac:dyDescent="0.25">
      <c r="A207" t="s">
        <v>47</v>
      </c>
      <c r="B207" t="s">
        <v>0</v>
      </c>
      <c r="C207">
        <v>64</v>
      </c>
      <c r="D207">
        <v>114</v>
      </c>
      <c r="E207" s="2">
        <v>14</v>
      </c>
      <c r="F207" t="s">
        <v>25</v>
      </c>
      <c r="I207" s="6">
        <v>18.899999999999999</v>
      </c>
      <c r="J207" s="4">
        <v>0.22180916976456011</v>
      </c>
      <c r="K207" s="10"/>
      <c r="L207" s="6">
        <v>18.899999999999999</v>
      </c>
      <c r="M207" s="6">
        <f t="shared" si="13"/>
        <v>2.1799405204460967</v>
      </c>
      <c r="O207">
        <v>114</v>
      </c>
      <c r="R207" s="3">
        <v>13.66</v>
      </c>
      <c r="S207" s="9">
        <v>0.24912280701754386</v>
      </c>
      <c r="T207" s="11"/>
      <c r="U207" s="3">
        <v>13.66</v>
      </c>
      <c r="V207" s="3">
        <f t="shared" ref="V207:V241" si="16">S207*U207*0.52</f>
        <v>1.7695691228070176</v>
      </c>
      <c r="W207" s="9"/>
      <c r="X207">
        <v>114</v>
      </c>
      <c r="AA207" s="3">
        <v>11.42</v>
      </c>
      <c r="AB207" s="9">
        <v>0.22103658536585366</v>
      </c>
      <c r="AD207" s="3">
        <v>11.42</v>
      </c>
      <c r="AE207" s="6">
        <f t="shared" si="14"/>
        <v>1.3126036585365854</v>
      </c>
      <c r="AG207" s="3">
        <f t="shared" si="15"/>
        <v>5.2621133017897002</v>
      </c>
    </row>
    <row r="208" spans="1:33" x14ac:dyDescent="0.25">
      <c r="A208" t="s">
        <v>47</v>
      </c>
      <c r="B208" t="s">
        <v>0</v>
      </c>
      <c r="C208">
        <v>64</v>
      </c>
      <c r="D208">
        <v>115</v>
      </c>
      <c r="E208" s="2">
        <v>31</v>
      </c>
      <c r="F208" t="s">
        <v>29</v>
      </c>
      <c r="I208" s="6">
        <v>20.260000000000002</v>
      </c>
      <c r="J208" s="4">
        <v>0.22180916976456011</v>
      </c>
      <c r="K208" s="10"/>
      <c r="L208" s="6">
        <v>20.260000000000002</v>
      </c>
      <c r="M208" s="6">
        <f t="shared" si="13"/>
        <v>2.3368039653035937</v>
      </c>
      <c r="O208">
        <v>115</v>
      </c>
      <c r="R208" s="3">
        <v>15.22</v>
      </c>
      <c r="S208" s="9">
        <v>0.24912280701754386</v>
      </c>
      <c r="T208" s="11"/>
      <c r="U208" s="3">
        <v>15.22</v>
      </c>
      <c r="V208" s="3">
        <f t="shared" si="16"/>
        <v>1.9716575438596491</v>
      </c>
      <c r="W208" s="9"/>
      <c r="X208">
        <v>115</v>
      </c>
      <c r="AA208" s="3">
        <v>13.84</v>
      </c>
      <c r="AB208" s="9">
        <v>0.22103658536585366</v>
      </c>
      <c r="AD208" s="3">
        <v>13.84</v>
      </c>
      <c r="AE208" s="6">
        <f t="shared" si="14"/>
        <v>1.5907560975609756</v>
      </c>
      <c r="AG208" s="3">
        <f t="shared" si="15"/>
        <v>5.8992176067242177</v>
      </c>
    </row>
    <row r="209" spans="1:33" x14ac:dyDescent="0.25">
      <c r="A209" t="s">
        <v>47</v>
      </c>
      <c r="B209" t="s">
        <v>0</v>
      </c>
      <c r="C209">
        <v>64</v>
      </c>
      <c r="D209">
        <v>116</v>
      </c>
      <c r="E209" s="2">
        <v>30</v>
      </c>
      <c r="F209" t="s">
        <v>9</v>
      </c>
      <c r="I209" s="6">
        <v>17.899999999999999</v>
      </c>
      <c r="J209" s="4">
        <v>0.22180916976456011</v>
      </c>
      <c r="K209" s="10"/>
      <c r="L209" s="6">
        <v>17.899999999999999</v>
      </c>
      <c r="M209" s="6">
        <f t="shared" si="13"/>
        <v>2.0645997521685255</v>
      </c>
      <c r="O209">
        <v>116</v>
      </c>
      <c r="R209" s="3">
        <v>15.2</v>
      </c>
      <c r="S209" s="9">
        <v>0.24912280701754386</v>
      </c>
      <c r="T209" s="11"/>
      <c r="U209" s="3">
        <v>15.2</v>
      </c>
      <c r="V209" s="3">
        <f t="shared" si="16"/>
        <v>1.9690666666666667</v>
      </c>
      <c r="W209" s="9"/>
      <c r="X209">
        <v>116</v>
      </c>
      <c r="AA209" s="3">
        <v>12.04</v>
      </c>
      <c r="AB209" s="9">
        <v>0.22103658536585366</v>
      </c>
      <c r="AD209" s="3">
        <v>12.04</v>
      </c>
      <c r="AE209" s="6">
        <f t="shared" si="14"/>
        <v>1.3838658536585366</v>
      </c>
      <c r="AG209" s="3">
        <f t="shared" si="15"/>
        <v>5.4175322724937294</v>
      </c>
    </row>
    <row r="210" spans="1:33" x14ac:dyDescent="0.25">
      <c r="A210" t="s">
        <v>47</v>
      </c>
      <c r="B210" t="s">
        <v>0</v>
      </c>
      <c r="C210">
        <v>64</v>
      </c>
      <c r="D210">
        <v>117</v>
      </c>
      <c r="E210" s="2">
        <v>7</v>
      </c>
      <c r="F210" t="s">
        <v>16</v>
      </c>
      <c r="G210" s="2">
        <v>804</v>
      </c>
      <c r="H210" s="2">
        <v>206</v>
      </c>
      <c r="I210" s="6">
        <v>16.899999999999999</v>
      </c>
      <c r="J210" s="4">
        <v>0.22538860103626943</v>
      </c>
      <c r="K210" s="10"/>
      <c r="L210" s="6">
        <v>16.899999999999999</v>
      </c>
      <c r="M210" s="6">
        <f t="shared" si="13"/>
        <v>1.9807150259067354</v>
      </c>
      <c r="O210">
        <v>117</v>
      </c>
      <c r="P210">
        <v>784</v>
      </c>
      <c r="Q210">
        <v>222</v>
      </c>
      <c r="R210" s="3">
        <v>14.16</v>
      </c>
      <c r="S210" s="9">
        <v>0.25265957446808512</v>
      </c>
      <c r="T210" s="11"/>
      <c r="U210" s="3">
        <v>14.16</v>
      </c>
      <c r="V210" s="3">
        <f t="shared" si="16"/>
        <v>1.8603829787234043</v>
      </c>
      <c r="W210" s="9"/>
      <c r="X210">
        <v>117</v>
      </c>
      <c r="Y210">
        <v>587</v>
      </c>
      <c r="Z210">
        <v>157</v>
      </c>
      <c r="AA210" s="3">
        <v>11.78</v>
      </c>
      <c r="AB210" s="9">
        <v>0.22522522522522523</v>
      </c>
      <c r="AD210" s="3">
        <v>11.78</v>
      </c>
      <c r="AE210" s="6">
        <f t="shared" si="14"/>
        <v>1.3796396396396395</v>
      </c>
      <c r="AG210" s="3">
        <f t="shared" si="15"/>
        <v>5.2207376442697786</v>
      </c>
    </row>
    <row r="211" spans="1:33" x14ac:dyDescent="0.25">
      <c r="A211" t="s">
        <v>47</v>
      </c>
      <c r="B211" t="s">
        <v>0</v>
      </c>
      <c r="C211">
        <v>64</v>
      </c>
      <c r="D211">
        <v>118</v>
      </c>
      <c r="E211" s="2">
        <v>29</v>
      </c>
      <c r="F211" t="s">
        <v>11</v>
      </c>
      <c r="I211" s="6">
        <v>15.68</v>
      </c>
      <c r="J211" s="4">
        <v>0.22538860103626943</v>
      </c>
      <c r="K211" s="10"/>
      <c r="L211" s="6">
        <v>15.68</v>
      </c>
      <c r="M211" s="6">
        <f t="shared" si="13"/>
        <v>1.8377284974093264</v>
      </c>
      <c r="O211">
        <v>118</v>
      </c>
      <c r="R211" s="3">
        <v>14.54</v>
      </c>
      <c r="S211" s="9">
        <v>0.25265957446808512</v>
      </c>
      <c r="T211" s="11"/>
      <c r="U211" s="3">
        <v>14.54</v>
      </c>
      <c r="V211" s="3">
        <f t="shared" si="16"/>
        <v>1.9103085106382978</v>
      </c>
      <c r="W211" s="9"/>
      <c r="X211">
        <v>118</v>
      </c>
      <c r="AA211" s="3">
        <v>9.64</v>
      </c>
      <c r="AB211" s="9">
        <v>0.22522522522522523</v>
      </c>
      <c r="AD211" s="3">
        <v>9.64</v>
      </c>
      <c r="AE211" s="6">
        <f t="shared" si="14"/>
        <v>1.129009009009009</v>
      </c>
      <c r="AG211" s="3">
        <f t="shared" si="15"/>
        <v>4.8770460170566334</v>
      </c>
    </row>
    <row r="212" spans="1:33" x14ac:dyDescent="0.25">
      <c r="A212" t="s">
        <v>47</v>
      </c>
      <c r="B212" t="s">
        <v>0</v>
      </c>
      <c r="C212">
        <v>64</v>
      </c>
      <c r="D212">
        <v>119</v>
      </c>
      <c r="E212" s="2">
        <v>3</v>
      </c>
      <c r="F212" t="s">
        <v>3</v>
      </c>
      <c r="I212" s="6">
        <v>18.98</v>
      </c>
      <c r="J212" s="4">
        <v>0.22538860103626943</v>
      </c>
      <c r="K212" s="10"/>
      <c r="L212" s="6">
        <v>18.98</v>
      </c>
      <c r="M212" s="6">
        <f t="shared" si="13"/>
        <v>2.2244953367875646</v>
      </c>
      <c r="O212">
        <v>119</v>
      </c>
      <c r="R212" s="3">
        <v>12.76</v>
      </c>
      <c r="S212" s="9">
        <v>0.25265957446808512</v>
      </c>
      <c r="T212" s="11"/>
      <c r="U212" s="3">
        <v>12.76</v>
      </c>
      <c r="V212" s="3">
        <f t="shared" si="16"/>
        <v>1.6764468085106385</v>
      </c>
      <c r="W212" s="9"/>
      <c r="X212">
        <v>119</v>
      </c>
      <c r="AA212" s="3">
        <v>10.76</v>
      </c>
      <c r="AB212" s="9">
        <v>0.22522522522522523</v>
      </c>
      <c r="AD212" s="3">
        <v>10.76</v>
      </c>
      <c r="AE212" s="6">
        <f t="shared" si="14"/>
        <v>1.2601801801801802</v>
      </c>
      <c r="AG212" s="3">
        <f t="shared" si="15"/>
        <v>5.1611223254783836</v>
      </c>
    </row>
    <row r="213" spans="1:33" x14ac:dyDescent="0.25">
      <c r="A213" t="s">
        <v>47</v>
      </c>
      <c r="B213" t="s">
        <v>0</v>
      </c>
      <c r="C213">
        <v>64</v>
      </c>
      <c r="D213">
        <v>120</v>
      </c>
      <c r="E213" s="2">
        <v>26</v>
      </c>
      <c r="F213" t="s">
        <v>21</v>
      </c>
      <c r="I213" s="6">
        <v>18.72</v>
      </c>
      <c r="J213" s="4">
        <v>0.22538860103626943</v>
      </c>
      <c r="K213" s="10"/>
      <c r="L213" s="6">
        <v>18.72</v>
      </c>
      <c r="M213" s="6">
        <f t="shared" si="13"/>
        <v>2.1940227979274609</v>
      </c>
      <c r="O213">
        <v>120</v>
      </c>
      <c r="R213" s="3">
        <v>12.7</v>
      </c>
      <c r="S213" s="9">
        <v>0.25265957446808512</v>
      </c>
      <c r="T213" s="11"/>
      <c r="U213" s="3">
        <v>12.7</v>
      </c>
      <c r="V213" s="3">
        <f t="shared" si="16"/>
        <v>1.6685638297872343</v>
      </c>
      <c r="W213" s="9"/>
      <c r="X213">
        <v>120</v>
      </c>
      <c r="AA213" s="3">
        <v>11.66</v>
      </c>
      <c r="AB213" s="9">
        <v>0.22522522522522523</v>
      </c>
      <c r="AD213" s="3">
        <v>11.66</v>
      </c>
      <c r="AE213" s="6">
        <f t="shared" si="14"/>
        <v>1.3655855855855856</v>
      </c>
      <c r="AG213" s="3">
        <f t="shared" si="15"/>
        <v>5.2281722133002813</v>
      </c>
    </row>
    <row r="214" spans="1:33" x14ac:dyDescent="0.25">
      <c r="A214" t="s">
        <v>47</v>
      </c>
      <c r="B214" t="s">
        <v>0</v>
      </c>
      <c r="C214">
        <v>64</v>
      </c>
      <c r="D214">
        <v>121</v>
      </c>
      <c r="E214" s="2">
        <v>6</v>
      </c>
      <c r="F214" t="s">
        <v>1</v>
      </c>
      <c r="G214" s="2">
        <v>730</v>
      </c>
      <c r="H214" s="2">
        <v>184</v>
      </c>
      <c r="I214" s="6">
        <v>16.62</v>
      </c>
      <c r="J214" s="4">
        <v>0.2177650429799427</v>
      </c>
      <c r="K214" s="10"/>
      <c r="L214" s="6">
        <v>16.62</v>
      </c>
      <c r="M214" s="6">
        <f t="shared" si="13"/>
        <v>1.8820126074498569</v>
      </c>
      <c r="O214">
        <v>121</v>
      </c>
      <c r="P214">
        <v>659</v>
      </c>
      <c r="Q214">
        <v>187</v>
      </c>
      <c r="R214" s="3">
        <v>14.44</v>
      </c>
      <c r="S214" s="9">
        <v>0.24720893141945774</v>
      </c>
      <c r="T214" s="11"/>
      <c r="U214" s="3">
        <v>14.44</v>
      </c>
      <c r="V214" s="3">
        <f t="shared" si="16"/>
        <v>1.8562424242424245</v>
      </c>
      <c r="W214" s="9"/>
      <c r="X214">
        <v>121</v>
      </c>
      <c r="Y214">
        <v>780</v>
      </c>
      <c r="Z214">
        <v>203</v>
      </c>
      <c r="AA214" s="3">
        <v>10.48</v>
      </c>
      <c r="AB214" s="9">
        <v>0.2286096256684492</v>
      </c>
      <c r="AD214" s="3">
        <v>10.48</v>
      </c>
      <c r="AE214" s="6">
        <f t="shared" si="14"/>
        <v>1.2458310160427808</v>
      </c>
      <c r="AG214" s="3">
        <f t="shared" si="15"/>
        <v>4.9840860477350617</v>
      </c>
    </row>
    <row r="215" spans="1:33" x14ac:dyDescent="0.25">
      <c r="A215" t="s">
        <v>47</v>
      </c>
      <c r="B215" t="s">
        <v>0</v>
      </c>
      <c r="C215">
        <v>64</v>
      </c>
      <c r="D215">
        <v>122</v>
      </c>
      <c r="E215" s="2">
        <v>24</v>
      </c>
      <c r="F215" t="s">
        <v>32</v>
      </c>
      <c r="I215" s="6">
        <v>18.88</v>
      </c>
      <c r="J215" s="4">
        <v>0.2177650429799427</v>
      </c>
      <c r="K215" s="10"/>
      <c r="L215" s="6">
        <v>18.88</v>
      </c>
      <c r="M215" s="6">
        <f t="shared" si="13"/>
        <v>2.1379300859598858</v>
      </c>
      <c r="O215">
        <v>122</v>
      </c>
      <c r="R215" s="3">
        <v>15.78</v>
      </c>
      <c r="S215" s="9">
        <v>0.24720893141945774</v>
      </c>
      <c r="T215" s="11"/>
      <c r="U215" s="3">
        <v>15.78</v>
      </c>
      <c r="V215" s="3">
        <f t="shared" si="16"/>
        <v>2.0284976076555026</v>
      </c>
      <c r="W215" s="9"/>
      <c r="X215">
        <v>122</v>
      </c>
      <c r="AA215" s="3">
        <v>12.08</v>
      </c>
      <c r="AB215" s="9">
        <v>0.2286096256684492</v>
      </c>
      <c r="AD215" s="3">
        <v>12.08</v>
      </c>
      <c r="AE215" s="6">
        <f t="shared" si="14"/>
        <v>1.4360342245989306</v>
      </c>
      <c r="AG215" s="3">
        <f t="shared" si="15"/>
        <v>5.6024619182143187</v>
      </c>
    </row>
    <row r="216" spans="1:33" x14ac:dyDescent="0.25">
      <c r="A216" t="s">
        <v>47</v>
      </c>
      <c r="B216" t="s">
        <v>0</v>
      </c>
      <c r="C216">
        <v>64</v>
      </c>
      <c r="D216">
        <v>123</v>
      </c>
      <c r="E216" s="2">
        <v>32</v>
      </c>
      <c r="F216" t="s">
        <v>30</v>
      </c>
      <c r="I216" s="6">
        <v>14.18</v>
      </c>
      <c r="J216" s="4">
        <v>0.2177650429799427</v>
      </c>
      <c r="K216" s="10"/>
      <c r="L216" s="6">
        <v>14.18</v>
      </c>
      <c r="M216" s="6">
        <f t="shared" si="13"/>
        <v>1.6057123209169055</v>
      </c>
      <c r="O216">
        <v>123</v>
      </c>
      <c r="R216" s="3">
        <v>13.08</v>
      </c>
      <c r="S216" s="9">
        <v>0.24720893141945774</v>
      </c>
      <c r="T216" s="11"/>
      <c r="U216" s="3">
        <v>13.08</v>
      </c>
      <c r="V216" s="3">
        <f t="shared" si="16"/>
        <v>1.6814162679425839</v>
      </c>
      <c r="W216" s="9"/>
      <c r="X216">
        <v>123</v>
      </c>
      <c r="AA216" s="3">
        <v>9.6199999999999992</v>
      </c>
      <c r="AB216" s="9">
        <v>0.2286096256684492</v>
      </c>
      <c r="AD216" s="3">
        <v>9.6199999999999992</v>
      </c>
      <c r="AE216" s="6">
        <f t="shared" si="14"/>
        <v>1.1435967914438503</v>
      </c>
      <c r="AG216" s="3">
        <f t="shared" si="15"/>
        <v>4.4307253803033397</v>
      </c>
    </row>
    <row r="217" spans="1:33" x14ac:dyDescent="0.25">
      <c r="A217" t="s">
        <v>47</v>
      </c>
      <c r="B217" t="s">
        <v>0</v>
      </c>
      <c r="C217">
        <v>64</v>
      </c>
      <c r="D217">
        <v>124</v>
      </c>
      <c r="E217" s="2">
        <v>18</v>
      </c>
      <c r="F217" t="s">
        <v>18</v>
      </c>
      <c r="I217" s="6">
        <v>17.72</v>
      </c>
      <c r="J217" s="4">
        <v>0.2177650429799427</v>
      </c>
      <c r="K217" s="10"/>
      <c r="L217" s="6">
        <v>17.72</v>
      </c>
      <c r="M217" s="6">
        <f t="shared" si="13"/>
        <v>2.0065742120343839</v>
      </c>
      <c r="O217">
        <v>124</v>
      </c>
      <c r="R217" s="3">
        <v>14.54</v>
      </c>
      <c r="S217" s="9">
        <v>0.24720893141945774</v>
      </c>
      <c r="T217" s="11"/>
      <c r="U217" s="3">
        <v>14.54</v>
      </c>
      <c r="V217" s="3">
        <f t="shared" si="16"/>
        <v>1.869097288676236</v>
      </c>
      <c r="W217" s="9"/>
      <c r="X217">
        <v>124</v>
      </c>
      <c r="AA217" s="3">
        <v>12.5</v>
      </c>
      <c r="AB217" s="9">
        <v>0.2286096256684492</v>
      </c>
      <c r="AD217" s="3">
        <v>12.5</v>
      </c>
      <c r="AE217" s="6">
        <f t="shared" si="14"/>
        <v>1.4859625668449197</v>
      </c>
      <c r="AG217" s="3">
        <f t="shared" si="15"/>
        <v>5.3616340675555403</v>
      </c>
    </row>
    <row r="218" spans="1:33" x14ac:dyDescent="0.25">
      <c r="A218" t="s">
        <v>47</v>
      </c>
      <c r="B218" t="s">
        <v>0</v>
      </c>
      <c r="C218">
        <v>64</v>
      </c>
      <c r="D218">
        <v>125</v>
      </c>
      <c r="E218" s="2">
        <v>34</v>
      </c>
      <c r="F218" t="s">
        <v>34</v>
      </c>
      <c r="G218" s="2">
        <v>589</v>
      </c>
      <c r="H218" s="2">
        <v>153</v>
      </c>
      <c r="I218" s="6">
        <v>19.440000000000001</v>
      </c>
      <c r="J218" s="4">
        <v>0.21723518850987433</v>
      </c>
      <c r="K218" s="10"/>
      <c r="L218" s="6">
        <v>19.440000000000001</v>
      </c>
      <c r="M218" s="6">
        <f t="shared" si="13"/>
        <v>2.195987073608618</v>
      </c>
      <c r="O218">
        <v>125</v>
      </c>
      <c r="P218">
        <v>833</v>
      </c>
      <c r="Q218">
        <v>219</v>
      </c>
      <c r="R218" s="3">
        <v>16</v>
      </c>
      <c r="S218" s="9">
        <v>0.23345817727840198</v>
      </c>
      <c r="T218" s="11"/>
      <c r="U218" s="3">
        <v>16</v>
      </c>
      <c r="V218" s="3">
        <f t="shared" si="16"/>
        <v>1.9423720349563045</v>
      </c>
      <c r="W218" s="9"/>
      <c r="X218">
        <v>125</v>
      </c>
      <c r="Y218">
        <v>827</v>
      </c>
      <c r="Z218">
        <v>215</v>
      </c>
      <c r="AA218" s="3">
        <v>11.72</v>
      </c>
      <c r="AB218" s="9">
        <v>0.23018867924528302</v>
      </c>
      <c r="AD218" s="3">
        <v>11.72</v>
      </c>
      <c r="AE218" s="6">
        <f t="shared" si="14"/>
        <v>1.4028618867924529</v>
      </c>
      <c r="AG218" s="3">
        <f t="shared" si="15"/>
        <v>5.5412209953573761</v>
      </c>
    </row>
    <row r="219" spans="1:33" x14ac:dyDescent="0.25">
      <c r="A219" t="s">
        <v>47</v>
      </c>
      <c r="B219" t="s">
        <v>0</v>
      </c>
      <c r="C219">
        <v>64</v>
      </c>
      <c r="D219">
        <v>126</v>
      </c>
      <c r="E219" s="2">
        <v>23</v>
      </c>
      <c r="F219" t="s">
        <v>36</v>
      </c>
      <c r="I219" s="6">
        <v>15.32</v>
      </c>
      <c r="J219" s="4">
        <v>0.21723518850987433</v>
      </c>
      <c r="K219" s="10"/>
      <c r="L219" s="6">
        <v>15.32</v>
      </c>
      <c r="M219" s="6">
        <f t="shared" si="13"/>
        <v>1.7305824057450629</v>
      </c>
      <c r="O219">
        <v>126</v>
      </c>
      <c r="R219" s="3">
        <v>13.08</v>
      </c>
      <c r="S219" s="9">
        <v>0.23345817727840198</v>
      </c>
      <c r="T219" s="11"/>
      <c r="U219" s="3">
        <v>13.08</v>
      </c>
      <c r="V219" s="3">
        <f t="shared" si="16"/>
        <v>1.587889138576779</v>
      </c>
      <c r="W219" s="9"/>
      <c r="X219">
        <v>126</v>
      </c>
      <c r="AA219" s="3">
        <v>10.36</v>
      </c>
      <c r="AB219" s="9">
        <v>0.23018867924528302</v>
      </c>
      <c r="AD219" s="3">
        <v>10.36</v>
      </c>
      <c r="AE219" s="6">
        <f t="shared" si="14"/>
        <v>1.2400724528301885</v>
      </c>
      <c r="AG219" s="3">
        <f t="shared" si="15"/>
        <v>4.5585439971520305</v>
      </c>
    </row>
    <row r="220" spans="1:33" x14ac:dyDescent="0.25">
      <c r="A220" t="s">
        <v>47</v>
      </c>
      <c r="B220" t="s">
        <v>0</v>
      </c>
      <c r="C220">
        <v>64</v>
      </c>
      <c r="D220">
        <v>127</v>
      </c>
      <c r="E220" s="2">
        <v>5</v>
      </c>
      <c r="F220" t="s">
        <v>5</v>
      </c>
      <c r="I220" s="6">
        <v>15.58</v>
      </c>
      <c r="J220" s="4">
        <v>0.21723518850987433</v>
      </c>
      <c r="K220" s="10"/>
      <c r="L220" s="6">
        <v>15.58</v>
      </c>
      <c r="M220" s="6">
        <f t="shared" si="13"/>
        <v>1.759952603231598</v>
      </c>
      <c r="O220">
        <v>127</v>
      </c>
      <c r="R220" s="3">
        <v>14.52</v>
      </c>
      <c r="S220" s="9">
        <v>0.23345817727840198</v>
      </c>
      <c r="T220" s="11"/>
      <c r="U220" s="3">
        <v>14.52</v>
      </c>
      <c r="V220" s="3">
        <f t="shared" si="16"/>
        <v>1.7627026217228463</v>
      </c>
      <c r="W220" s="9"/>
      <c r="X220">
        <v>127</v>
      </c>
      <c r="AA220" s="3">
        <v>9.8800000000000008</v>
      </c>
      <c r="AB220" s="9">
        <v>0.23018867924528302</v>
      </c>
      <c r="AD220" s="3">
        <v>9.8800000000000008</v>
      </c>
      <c r="AE220" s="6">
        <f t="shared" si="14"/>
        <v>1.1826173584905662</v>
      </c>
      <c r="AG220" s="3">
        <f t="shared" si="15"/>
        <v>4.7052725834450104</v>
      </c>
    </row>
    <row r="221" spans="1:33" x14ac:dyDescent="0.25">
      <c r="A221" t="s">
        <v>47</v>
      </c>
      <c r="B221" t="s">
        <v>0</v>
      </c>
      <c r="C221">
        <v>64</v>
      </c>
      <c r="D221">
        <v>128</v>
      </c>
      <c r="E221" s="2">
        <v>35</v>
      </c>
      <c r="F221" t="s">
        <v>26</v>
      </c>
      <c r="I221" s="6">
        <v>16.98</v>
      </c>
      <c r="J221" s="4">
        <v>0.21723518850987433</v>
      </c>
      <c r="K221" s="10"/>
      <c r="L221" s="6">
        <v>16.98</v>
      </c>
      <c r="M221" s="6">
        <f t="shared" si="13"/>
        <v>1.9180998204667865</v>
      </c>
      <c r="O221">
        <v>128</v>
      </c>
      <c r="R221" s="3">
        <v>14.64</v>
      </c>
      <c r="S221" s="9">
        <v>0.23345817727840198</v>
      </c>
      <c r="T221" s="11"/>
      <c r="U221" s="3">
        <v>14.64</v>
      </c>
      <c r="V221" s="3">
        <f t="shared" si="16"/>
        <v>1.7772704119850187</v>
      </c>
      <c r="W221" s="9"/>
      <c r="X221">
        <v>128</v>
      </c>
      <c r="AA221" s="3">
        <v>11.26</v>
      </c>
      <c r="AB221" s="9">
        <v>0.23018867924528302</v>
      </c>
      <c r="AD221" s="3">
        <v>11.26</v>
      </c>
      <c r="AE221" s="6">
        <f t="shared" si="14"/>
        <v>1.3478007547169812</v>
      </c>
      <c r="AG221" s="3">
        <f t="shared" si="15"/>
        <v>5.0431709871687858</v>
      </c>
    </row>
    <row r="222" spans="1:33" x14ac:dyDescent="0.25">
      <c r="A222" t="s">
        <v>47</v>
      </c>
      <c r="B222" t="s">
        <v>0</v>
      </c>
      <c r="C222">
        <v>64</v>
      </c>
      <c r="D222">
        <v>129</v>
      </c>
      <c r="E222" s="2">
        <v>1</v>
      </c>
      <c r="F222" t="s">
        <v>6</v>
      </c>
      <c r="G222" s="2">
        <v>772</v>
      </c>
      <c r="H222" s="2">
        <v>202</v>
      </c>
      <c r="I222" s="6">
        <v>14.98</v>
      </c>
      <c r="J222" s="4">
        <v>0.22972972972972974</v>
      </c>
      <c r="K222" s="10"/>
      <c r="L222" s="6">
        <v>14.98</v>
      </c>
      <c r="M222" s="6">
        <f t="shared" si="13"/>
        <v>1.7895027027027028</v>
      </c>
      <c r="O222">
        <v>129</v>
      </c>
      <c r="P222">
        <v>774</v>
      </c>
      <c r="Q222">
        <v>218</v>
      </c>
      <c r="R222" s="3">
        <v>13.6</v>
      </c>
      <c r="S222" s="9">
        <v>0.25067385444743934</v>
      </c>
      <c r="T222" s="11"/>
      <c r="U222" s="3">
        <v>13.6</v>
      </c>
      <c r="V222" s="3">
        <f t="shared" si="16"/>
        <v>1.7727654986522909</v>
      </c>
      <c r="W222" s="9"/>
      <c r="X222">
        <v>129</v>
      </c>
      <c r="Y222">
        <v>898</v>
      </c>
      <c r="Z222">
        <v>238</v>
      </c>
      <c r="AA222" s="3">
        <v>11.02</v>
      </c>
      <c r="AB222" s="9">
        <v>0.23787528868360278</v>
      </c>
      <c r="AD222" s="3">
        <v>11.02</v>
      </c>
      <c r="AE222" s="6">
        <f t="shared" si="14"/>
        <v>1.3631205542725173</v>
      </c>
      <c r="AG222" s="3">
        <f t="shared" si="15"/>
        <v>4.9253887556275107</v>
      </c>
    </row>
    <row r="223" spans="1:33" x14ac:dyDescent="0.25">
      <c r="A223" t="s">
        <v>47</v>
      </c>
      <c r="B223" t="s">
        <v>0</v>
      </c>
      <c r="C223">
        <v>64</v>
      </c>
      <c r="D223">
        <v>130</v>
      </c>
      <c r="E223" s="2">
        <v>25</v>
      </c>
      <c r="F223" t="s">
        <v>8</v>
      </c>
      <c r="I223" s="6">
        <v>13.88</v>
      </c>
      <c r="J223" s="4">
        <v>0.22972972972972974</v>
      </c>
      <c r="K223" s="10"/>
      <c r="L223" s="6">
        <v>13.88</v>
      </c>
      <c r="M223" s="6">
        <f t="shared" si="13"/>
        <v>1.6580972972972976</v>
      </c>
      <c r="O223">
        <v>130</v>
      </c>
      <c r="R223" s="3">
        <v>13.64</v>
      </c>
      <c r="S223" s="9">
        <v>0.25067385444743934</v>
      </c>
      <c r="T223" s="11"/>
      <c r="U223" s="3">
        <v>13.64</v>
      </c>
      <c r="V223" s="3">
        <f t="shared" si="16"/>
        <v>1.7779795148247979</v>
      </c>
      <c r="W223" s="9"/>
      <c r="X223">
        <v>130</v>
      </c>
      <c r="AA223" s="3">
        <v>9.44</v>
      </c>
      <c r="AB223" s="9">
        <v>0.23787528868360278</v>
      </c>
      <c r="AD223" s="3">
        <v>9.44</v>
      </c>
      <c r="AE223" s="6">
        <f t="shared" si="14"/>
        <v>1.1676822170900694</v>
      </c>
      <c r="AG223" s="3">
        <f t="shared" si="15"/>
        <v>4.6037590292121653</v>
      </c>
    </row>
    <row r="224" spans="1:33" x14ac:dyDescent="0.25">
      <c r="A224" t="s">
        <v>47</v>
      </c>
      <c r="B224" t="s">
        <v>0</v>
      </c>
      <c r="C224">
        <v>64</v>
      </c>
      <c r="D224">
        <v>131</v>
      </c>
      <c r="E224" s="2">
        <v>11</v>
      </c>
      <c r="F224" t="s">
        <v>15</v>
      </c>
      <c r="I224" s="6">
        <v>16.66</v>
      </c>
      <c r="J224" s="4">
        <v>0.22972972972972974</v>
      </c>
      <c r="K224" s="10"/>
      <c r="L224" s="6">
        <v>16.66</v>
      </c>
      <c r="M224" s="6">
        <f t="shared" si="13"/>
        <v>1.9901945945945949</v>
      </c>
      <c r="O224">
        <v>131</v>
      </c>
      <c r="R224" s="3">
        <v>15.04</v>
      </c>
      <c r="S224" s="9">
        <v>0.25067385444743934</v>
      </c>
      <c r="T224" s="11"/>
      <c r="U224" s="3">
        <v>15.04</v>
      </c>
      <c r="V224" s="3">
        <f t="shared" si="16"/>
        <v>1.9604700808625335</v>
      </c>
      <c r="W224" s="9"/>
      <c r="X224">
        <v>131</v>
      </c>
      <c r="AA224" s="3">
        <v>11.4</v>
      </c>
      <c r="AB224" s="9">
        <v>0.23787528868360278</v>
      </c>
      <c r="AD224" s="3">
        <v>11.4</v>
      </c>
      <c r="AE224" s="6">
        <f t="shared" si="14"/>
        <v>1.4101247113163973</v>
      </c>
      <c r="AG224" s="3">
        <f t="shared" si="15"/>
        <v>5.3607893867735257</v>
      </c>
    </row>
    <row r="225" spans="1:33" x14ac:dyDescent="0.25">
      <c r="A225" t="s">
        <v>47</v>
      </c>
      <c r="B225" t="s">
        <v>0</v>
      </c>
      <c r="C225">
        <v>64</v>
      </c>
      <c r="D225">
        <v>132</v>
      </c>
      <c r="E225" s="2">
        <v>4</v>
      </c>
      <c r="F225" t="s">
        <v>2</v>
      </c>
      <c r="I225" s="6">
        <v>14.9</v>
      </c>
      <c r="J225" s="4">
        <v>0.22972972972972974</v>
      </c>
      <c r="K225" s="10"/>
      <c r="L225" s="6">
        <v>14.9</v>
      </c>
      <c r="M225" s="6">
        <f t="shared" si="13"/>
        <v>1.7799459459459464</v>
      </c>
      <c r="O225">
        <v>132</v>
      </c>
      <c r="R225" s="3">
        <v>11.56</v>
      </c>
      <c r="S225" s="9">
        <v>0.25067385444743934</v>
      </c>
      <c r="T225" s="11"/>
      <c r="U225" s="3">
        <v>11.56</v>
      </c>
      <c r="V225" s="3">
        <f t="shared" si="16"/>
        <v>1.5068506738544476</v>
      </c>
      <c r="W225" s="9"/>
      <c r="X225">
        <v>132</v>
      </c>
      <c r="AA225" s="3">
        <v>9.74</v>
      </c>
      <c r="AB225" s="9">
        <v>0.23787528868360278</v>
      </c>
      <c r="AD225" s="3">
        <v>9.74</v>
      </c>
      <c r="AE225" s="6">
        <f t="shared" si="14"/>
        <v>1.2047907621247114</v>
      </c>
      <c r="AG225" s="3">
        <f t="shared" si="15"/>
        <v>4.4915873819251058</v>
      </c>
    </row>
    <row r="226" spans="1:33" x14ac:dyDescent="0.25">
      <c r="A226" t="s">
        <v>47</v>
      </c>
      <c r="B226" t="s">
        <v>0</v>
      </c>
      <c r="C226">
        <v>64</v>
      </c>
      <c r="D226">
        <v>133</v>
      </c>
      <c r="E226" s="2">
        <v>20</v>
      </c>
      <c r="F226" t="s">
        <v>28</v>
      </c>
      <c r="G226" s="2">
        <v>844</v>
      </c>
      <c r="H226" s="2">
        <v>210</v>
      </c>
      <c r="I226" s="6">
        <v>14.9</v>
      </c>
      <c r="J226" s="4">
        <v>0.21921182266009853</v>
      </c>
      <c r="K226" s="10"/>
      <c r="L226" s="6">
        <v>14.9</v>
      </c>
      <c r="M226" s="6">
        <f t="shared" si="13"/>
        <v>1.6984532019704435</v>
      </c>
      <c r="O226">
        <v>133</v>
      </c>
      <c r="P226">
        <v>881</v>
      </c>
      <c r="Q226">
        <v>252</v>
      </c>
      <c r="R226" s="3">
        <v>13.54</v>
      </c>
      <c r="S226" s="9">
        <v>0.25912838633686691</v>
      </c>
      <c r="T226" s="11"/>
      <c r="U226" s="3">
        <v>13.54</v>
      </c>
      <c r="V226" s="3">
        <f t="shared" si="16"/>
        <v>1.8244711425206124</v>
      </c>
      <c r="W226" s="9"/>
      <c r="X226">
        <v>133</v>
      </c>
      <c r="Y226">
        <v>601</v>
      </c>
      <c r="Z226">
        <v>171</v>
      </c>
      <c r="AA226" s="3">
        <v>9.56</v>
      </c>
      <c r="AB226" s="9">
        <v>0.24428822495606328</v>
      </c>
      <c r="AD226" s="3">
        <v>9.56</v>
      </c>
      <c r="AE226" s="6">
        <f t="shared" si="14"/>
        <v>1.2144056239015819</v>
      </c>
      <c r="AG226" s="3">
        <f t="shared" si="15"/>
        <v>4.737329968392638</v>
      </c>
    </row>
    <row r="227" spans="1:33" x14ac:dyDescent="0.25">
      <c r="A227" t="s">
        <v>47</v>
      </c>
      <c r="B227" t="s">
        <v>0</v>
      </c>
      <c r="C227">
        <v>64</v>
      </c>
      <c r="D227">
        <v>134</v>
      </c>
      <c r="E227" s="2">
        <v>21</v>
      </c>
      <c r="F227" t="s">
        <v>22</v>
      </c>
      <c r="I227" s="6">
        <v>18.22</v>
      </c>
      <c r="J227" s="4">
        <v>0.21921182266009853</v>
      </c>
      <c r="K227" s="10"/>
      <c r="L227" s="6">
        <v>18.22</v>
      </c>
      <c r="M227" s="6">
        <f t="shared" si="13"/>
        <v>2.0769004926108372</v>
      </c>
      <c r="O227">
        <v>134</v>
      </c>
      <c r="R227" s="3">
        <v>13.86</v>
      </c>
      <c r="S227" s="9">
        <v>0.25912838633686691</v>
      </c>
      <c r="T227" s="11"/>
      <c r="U227" s="3">
        <v>13.86</v>
      </c>
      <c r="V227" s="3">
        <f t="shared" si="16"/>
        <v>1.8675901060070672</v>
      </c>
      <c r="W227" s="9"/>
      <c r="X227">
        <v>134</v>
      </c>
      <c r="AA227" s="3">
        <v>12.16</v>
      </c>
      <c r="AB227" s="9">
        <v>0.24428822495606328</v>
      </c>
      <c r="AD227" s="3">
        <v>12.16</v>
      </c>
      <c r="AE227" s="6">
        <f t="shared" si="14"/>
        <v>1.5446833040421795</v>
      </c>
      <c r="AG227" s="3">
        <f t="shared" si="15"/>
        <v>5.4891739026600845</v>
      </c>
    </row>
    <row r="228" spans="1:33" x14ac:dyDescent="0.25">
      <c r="A228" t="s">
        <v>47</v>
      </c>
      <c r="B228" t="s">
        <v>0</v>
      </c>
      <c r="C228">
        <v>64</v>
      </c>
      <c r="D228">
        <v>135</v>
      </c>
      <c r="E228" s="2">
        <v>9</v>
      </c>
      <c r="F228" t="s">
        <v>19</v>
      </c>
      <c r="I228" s="6">
        <v>15.72</v>
      </c>
      <c r="J228" s="4">
        <v>0.21921182266009853</v>
      </c>
      <c r="K228" s="10"/>
      <c r="L228" s="6">
        <v>15.72</v>
      </c>
      <c r="M228" s="6">
        <f t="shared" si="13"/>
        <v>1.7919251231527096</v>
      </c>
      <c r="O228">
        <v>135</v>
      </c>
      <c r="R228" s="3">
        <v>12.22</v>
      </c>
      <c r="S228" s="9">
        <v>0.25912838633686691</v>
      </c>
      <c r="T228" s="11"/>
      <c r="U228" s="3">
        <v>12.22</v>
      </c>
      <c r="V228" s="3">
        <f t="shared" si="16"/>
        <v>1.6466054181389871</v>
      </c>
      <c r="W228" s="9"/>
      <c r="X228">
        <v>135</v>
      </c>
      <c r="AA228" s="3">
        <v>9.36</v>
      </c>
      <c r="AB228" s="9">
        <v>0.24428822495606328</v>
      </c>
      <c r="AD228" s="3">
        <v>9.36</v>
      </c>
      <c r="AE228" s="6">
        <f t="shared" si="14"/>
        <v>1.1889996485061511</v>
      </c>
      <c r="AG228" s="3">
        <f t="shared" si="15"/>
        <v>4.6275301897978478</v>
      </c>
    </row>
    <row r="229" spans="1:33" x14ac:dyDescent="0.25">
      <c r="A229" t="s">
        <v>47</v>
      </c>
      <c r="B229" t="s">
        <v>0</v>
      </c>
      <c r="C229">
        <v>64</v>
      </c>
      <c r="D229">
        <v>136</v>
      </c>
      <c r="E229" s="2">
        <v>27</v>
      </c>
      <c r="F229" t="s">
        <v>14</v>
      </c>
      <c r="I229" s="6">
        <v>17.3</v>
      </c>
      <c r="J229" s="4">
        <v>0.21921182266009853</v>
      </c>
      <c r="K229" s="10"/>
      <c r="L229" s="6">
        <v>17.3</v>
      </c>
      <c r="M229" s="6">
        <f t="shared" si="13"/>
        <v>1.9720295566502466</v>
      </c>
      <c r="O229">
        <v>136</v>
      </c>
      <c r="R229" s="3">
        <v>13.92</v>
      </c>
      <c r="S229" s="9">
        <v>0.25912838633686691</v>
      </c>
      <c r="T229" s="11"/>
      <c r="U229" s="3">
        <v>13.92</v>
      </c>
      <c r="V229" s="3">
        <f t="shared" si="16"/>
        <v>1.8756749116607776</v>
      </c>
      <c r="W229" s="9"/>
      <c r="X229">
        <v>136</v>
      </c>
      <c r="AA229" s="3">
        <v>11.2</v>
      </c>
      <c r="AB229" s="9">
        <v>0.24428822495606328</v>
      </c>
      <c r="AD229" s="3">
        <v>11.2</v>
      </c>
      <c r="AE229" s="6">
        <f t="shared" si="14"/>
        <v>1.4227346221441126</v>
      </c>
      <c r="AG229" s="3">
        <f t="shared" si="15"/>
        <v>5.2704390904551364</v>
      </c>
    </row>
    <row r="230" spans="1:33" x14ac:dyDescent="0.25">
      <c r="A230" t="s">
        <v>47</v>
      </c>
      <c r="B230" t="s">
        <v>0</v>
      </c>
      <c r="C230">
        <v>64</v>
      </c>
      <c r="D230">
        <v>137</v>
      </c>
      <c r="E230" s="2">
        <v>36</v>
      </c>
      <c r="F230" t="s">
        <v>27</v>
      </c>
      <c r="G230" s="2">
        <v>840</v>
      </c>
      <c r="H230" s="2">
        <v>222</v>
      </c>
      <c r="I230" s="6">
        <v>17.82</v>
      </c>
      <c r="J230" s="4">
        <v>0.23514851485148514</v>
      </c>
      <c r="K230" s="10"/>
      <c r="L230" s="6">
        <v>17.82</v>
      </c>
      <c r="M230" s="6">
        <f t="shared" si="13"/>
        <v>2.178980198019802</v>
      </c>
      <c r="O230">
        <v>137</v>
      </c>
      <c r="P230">
        <v>829</v>
      </c>
      <c r="Q230">
        <v>248</v>
      </c>
      <c r="R230" s="3">
        <v>13.52</v>
      </c>
      <c r="S230" s="9">
        <v>0.2710163111668758</v>
      </c>
      <c r="T230" s="11"/>
      <c r="U230" s="3">
        <v>13.52</v>
      </c>
      <c r="V230" s="3">
        <f t="shared" si="16"/>
        <v>1.9053530740276037</v>
      </c>
      <c r="W230" s="9"/>
      <c r="X230">
        <v>137</v>
      </c>
      <c r="Y230">
        <v>668</v>
      </c>
      <c r="Z230">
        <v>184</v>
      </c>
      <c r="AA230" s="3">
        <v>11.06</v>
      </c>
      <c r="AB230" s="9">
        <v>0.2389937106918239</v>
      </c>
      <c r="AD230" s="3">
        <v>11.06</v>
      </c>
      <c r="AE230" s="6">
        <f t="shared" si="14"/>
        <v>1.3745006289308177</v>
      </c>
      <c r="AG230" s="3">
        <f t="shared" si="15"/>
        <v>5.4588339009782239</v>
      </c>
    </row>
    <row r="231" spans="1:33" x14ac:dyDescent="0.25">
      <c r="A231" t="s">
        <v>47</v>
      </c>
      <c r="B231" t="s">
        <v>0</v>
      </c>
      <c r="C231">
        <v>64</v>
      </c>
      <c r="D231">
        <v>138</v>
      </c>
      <c r="E231" s="2">
        <v>19</v>
      </c>
      <c r="F231" t="s">
        <v>10</v>
      </c>
      <c r="I231" s="6">
        <v>17.899999999999999</v>
      </c>
      <c r="J231" s="4">
        <v>0.23514851485148514</v>
      </c>
      <c r="K231" s="10"/>
      <c r="L231" s="6">
        <v>17.899999999999999</v>
      </c>
      <c r="M231" s="6">
        <f t="shared" si="13"/>
        <v>2.1887623762376238</v>
      </c>
      <c r="O231">
        <v>138</v>
      </c>
      <c r="R231" s="3">
        <v>14.3</v>
      </c>
      <c r="S231" s="9">
        <v>0.2710163111668758</v>
      </c>
      <c r="T231" s="11"/>
      <c r="U231" s="3">
        <v>14.3</v>
      </c>
      <c r="V231" s="3">
        <f t="shared" si="16"/>
        <v>2.0152772898368885</v>
      </c>
      <c r="W231" s="9"/>
      <c r="X231">
        <v>138</v>
      </c>
      <c r="AA231" s="3">
        <v>10.18</v>
      </c>
      <c r="AB231" s="9">
        <v>0.2389937106918239</v>
      </c>
      <c r="AD231" s="3">
        <v>10.18</v>
      </c>
      <c r="AE231" s="6">
        <f t="shared" si="14"/>
        <v>1.2651371069182389</v>
      </c>
      <c r="AG231" s="3">
        <f t="shared" si="15"/>
        <v>5.4691767729927516</v>
      </c>
    </row>
    <row r="232" spans="1:33" x14ac:dyDescent="0.25">
      <c r="A232" t="s">
        <v>47</v>
      </c>
      <c r="B232" t="s">
        <v>0</v>
      </c>
      <c r="C232">
        <v>64</v>
      </c>
      <c r="D232">
        <v>139</v>
      </c>
      <c r="E232" s="2">
        <v>12</v>
      </c>
      <c r="F232" t="s">
        <v>33</v>
      </c>
      <c r="I232" s="6">
        <v>17.48</v>
      </c>
      <c r="J232" s="4">
        <v>0.23514851485148514</v>
      </c>
      <c r="K232" s="10"/>
      <c r="L232" s="6">
        <v>17.48</v>
      </c>
      <c r="M232" s="6">
        <f t="shared" si="13"/>
        <v>2.1374059405940593</v>
      </c>
      <c r="O232">
        <v>139</v>
      </c>
      <c r="R232" s="3">
        <v>13.54</v>
      </c>
      <c r="S232" s="9">
        <v>0.2710163111668758</v>
      </c>
      <c r="T232" s="11"/>
      <c r="U232" s="3">
        <v>13.54</v>
      </c>
      <c r="V232" s="3">
        <f t="shared" si="16"/>
        <v>1.9081716436637393</v>
      </c>
      <c r="W232" s="9"/>
      <c r="X232">
        <v>139</v>
      </c>
      <c r="AA232" s="3">
        <v>10.14</v>
      </c>
      <c r="AB232" s="9">
        <v>0.2389937106918239</v>
      </c>
      <c r="AD232" s="3">
        <v>10.14</v>
      </c>
      <c r="AE232" s="6">
        <f t="shared" si="14"/>
        <v>1.2601660377358492</v>
      </c>
      <c r="AG232" s="3">
        <f t="shared" si="15"/>
        <v>5.3057436219936474</v>
      </c>
    </row>
    <row r="233" spans="1:33" x14ac:dyDescent="0.25">
      <c r="A233" t="s">
        <v>47</v>
      </c>
      <c r="B233" t="s">
        <v>0</v>
      </c>
      <c r="C233">
        <v>64</v>
      </c>
      <c r="D233">
        <v>140</v>
      </c>
      <c r="E233" s="2">
        <v>28</v>
      </c>
      <c r="F233" t="s">
        <v>13</v>
      </c>
      <c r="I233" s="6">
        <v>17.7</v>
      </c>
      <c r="J233" s="4">
        <v>0.23514851485148514</v>
      </c>
      <c r="K233" s="10"/>
      <c r="L233" s="6">
        <v>17.7</v>
      </c>
      <c r="M233" s="6">
        <f t="shared" si="13"/>
        <v>2.1643069306930691</v>
      </c>
      <c r="O233">
        <v>140</v>
      </c>
      <c r="R233" s="3">
        <v>13.3</v>
      </c>
      <c r="S233" s="9">
        <v>0.2710163111668758</v>
      </c>
      <c r="T233" s="11"/>
      <c r="U233" s="3">
        <v>13.3</v>
      </c>
      <c r="V233" s="3">
        <f t="shared" si="16"/>
        <v>1.8743488080301132</v>
      </c>
      <c r="W233" s="9"/>
      <c r="X233">
        <v>140</v>
      </c>
      <c r="AA233" s="3">
        <v>10.78</v>
      </c>
      <c r="AB233" s="9">
        <v>0.2389937106918239</v>
      </c>
      <c r="AD233" s="3">
        <v>10.78</v>
      </c>
      <c r="AE233" s="6">
        <f t="shared" si="14"/>
        <v>1.3397031446540879</v>
      </c>
      <c r="AG233" s="3">
        <f t="shared" si="15"/>
        <v>5.3783588833772704</v>
      </c>
    </row>
    <row r="234" spans="1:33" x14ac:dyDescent="0.25">
      <c r="A234" t="s">
        <v>47</v>
      </c>
      <c r="B234" t="s">
        <v>0</v>
      </c>
      <c r="C234">
        <v>64</v>
      </c>
      <c r="D234">
        <v>141</v>
      </c>
      <c r="E234" s="2">
        <v>16</v>
      </c>
      <c r="F234" t="s">
        <v>12</v>
      </c>
      <c r="G234" s="2">
        <v>547</v>
      </c>
      <c r="H234" s="2">
        <v>145</v>
      </c>
      <c r="I234" s="6">
        <v>14.46</v>
      </c>
      <c r="J234" s="4">
        <v>0.21941747572815534</v>
      </c>
      <c r="K234" s="10"/>
      <c r="L234" s="6">
        <v>14.46</v>
      </c>
      <c r="M234" s="6">
        <f t="shared" si="13"/>
        <v>1.6498438834951459</v>
      </c>
      <c r="O234">
        <v>141</v>
      </c>
      <c r="P234">
        <v>699</v>
      </c>
      <c r="Q234">
        <v>198</v>
      </c>
      <c r="R234" s="3">
        <v>13.02</v>
      </c>
      <c r="S234" s="9">
        <v>0.24887556221889057</v>
      </c>
      <c r="T234" s="11"/>
      <c r="U234" s="3">
        <v>13.02</v>
      </c>
      <c r="V234" s="3">
        <f t="shared" si="16"/>
        <v>1.6849871064467767</v>
      </c>
      <c r="W234" s="9"/>
      <c r="X234">
        <v>141</v>
      </c>
      <c r="Y234">
        <v>709</v>
      </c>
      <c r="Z234">
        <v>192</v>
      </c>
      <c r="AA234" s="3">
        <v>8.68</v>
      </c>
      <c r="AB234" s="9">
        <v>0.2363367799113737</v>
      </c>
      <c r="AD234" s="3">
        <v>8.68</v>
      </c>
      <c r="AE234" s="6">
        <f t="shared" si="14"/>
        <v>1.0667296898079763</v>
      </c>
      <c r="AG234" s="3">
        <f t="shared" si="15"/>
        <v>4.401560679749899</v>
      </c>
    </row>
    <row r="235" spans="1:33" x14ac:dyDescent="0.25">
      <c r="A235" t="s">
        <v>47</v>
      </c>
      <c r="B235" t="s">
        <v>0</v>
      </c>
      <c r="C235">
        <v>64</v>
      </c>
      <c r="D235">
        <v>142</v>
      </c>
      <c r="E235" s="2">
        <v>8</v>
      </c>
      <c r="F235" t="s">
        <v>31</v>
      </c>
      <c r="I235" s="6">
        <v>16.420000000000002</v>
      </c>
      <c r="J235" s="4">
        <v>0.21941747572815534</v>
      </c>
      <c r="K235" s="10"/>
      <c r="L235" s="6">
        <v>16.420000000000002</v>
      </c>
      <c r="M235" s="6">
        <f t="shared" si="13"/>
        <v>1.8734741747572818</v>
      </c>
      <c r="O235">
        <v>142</v>
      </c>
      <c r="R235" s="3">
        <v>13.36</v>
      </c>
      <c r="S235" s="9">
        <v>0.24887556221889057</v>
      </c>
      <c r="T235" s="11"/>
      <c r="U235" s="3">
        <v>13.36</v>
      </c>
      <c r="V235" s="3">
        <f t="shared" si="16"/>
        <v>1.7289883058470765</v>
      </c>
      <c r="W235" s="9"/>
      <c r="X235">
        <v>142</v>
      </c>
      <c r="AA235" s="3">
        <v>9.56</v>
      </c>
      <c r="AB235" s="9">
        <v>0.2363367799113737</v>
      </c>
      <c r="AD235" s="3">
        <v>9.56</v>
      </c>
      <c r="AE235" s="6">
        <f t="shared" si="14"/>
        <v>1.1748774002954212</v>
      </c>
      <c r="AG235" s="3">
        <f t="shared" si="15"/>
        <v>4.7773398808997793</v>
      </c>
    </row>
    <row r="236" spans="1:33" x14ac:dyDescent="0.25">
      <c r="A236" t="s">
        <v>47</v>
      </c>
      <c r="B236" t="s">
        <v>0</v>
      </c>
      <c r="C236">
        <v>64</v>
      </c>
      <c r="D236">
        <v>143</v>
      </c>
      <c r="E236" s="2">
        <v>33</v>
      </c>
      <c r="F236" t="s">
        <v>23</v>
      </c>
      <c r="I236" s="6">
        <v>17.8</v>
      </c>
      <c r="J236" s="4">
        <v>0.21941747572815534</v>
      </c>
      <c r="K236" s="10"/>
      <c r="L236" s="6">
        <v>17.8</v>
      </c>
      <c r="M236" s="6">
        <f t="shared" si="13"/>
        <v>2.0309281553398062</v>
      </c>
      <c r="O236">
        <v>143</v>
      </c>
      <c r="R236" s="3">
        <v>14.88</v>
      </c>
      <c r="S236" s="9">
        <v>0.24887556221889057</v>
      </c>
      <c r="T236" s="11"/>
      <c r="U236" s="3">
        <v>14.88</v>
      </c>
      <c r="V236" s="3">
        <f t="shared" si="16"/>
        <v>1.9256995502248877</v>
      </c>
      <c r="W236" s="9"/>
      <c r="X236">
        <v>143</v>
      </c>
      <c r="AA236" s="3">
        <v>10.1</v>
      </c>
      <c r="AB236" s="9">
        <v>0.2363367799113737</v>
      </c>
      <c r="AD236" s="3">
        <v>10.1</v>
      </c>
      <c r="AE236" s="6">
        <f t="shared" si="14"/>
        <v>1.2412407680945348</v>
      </c>
      <c r="AG236" s="3">
        <f t="shared" si="15"/>
        <v>5.1978684736592289</v>
      </c>
    </row>
    <row r="237" spans="1:33" x14ac:dyDescent="0.25">
      <c r="A237" t="s">
        <v>47</v>
      </c>
      <c r="B237" t="s">
        <v>0</v>
      </c>
      <c r="C237">
        <v>64</v>
      </c>
      <c r="D237">
        <v>144</v>
      </c>
      <c r="E237" s="2">
        <v>13</v>
      </c>
      <c r="F237" t="s">
        <v>24</v>
      </c>
      <c r="I237" s="6">
        <v>15.26</v>
      </c>
      <c r="J237" s="4">
        <v>0.21941747572815534</v>
      </c>
      <c r="K237" s="10"/>
      <c r="L237" s="6">
        <v>15.26</v>
      </c>
      <c r="M237" s="6">
        <f t="shared" si="13"/>
        <v>1.7411215533980584</v>
      </c>
      <c r="O237">
        <v>144</v>
      </c>
      <c r="R237" s="3">
        <v>14.28</v>
      </c>
      <c r="S237" s="9">
        <v>0.24887556221889057</v>
      </c>
      <c r="T237" s="11"/>
      <c r="U237" s="3">
        <v>14.28</v>
      </c>
      <c r="V237" s="3">
        <f t="shared" si="16"/>
        <v>1.8480503748125938</v>
      </c>
      <c r="W237" s="9"/>
      <c r="X237">
        <v>144</v>
      </c>
      <c r="AA237" s="3">
        <v>9.74</v>
      </c>
      <c r="AB237" s="9">
        <v>0.2363367799113737</v>
      </c>
      <c r="AD237" s="3">
        <v>9.74</v>
      </c>
      <c r="AE237" s="6">
        <f t="shared" si="14"/>
        <v>1.1969985228951256</v>
      </c>
      <c r="AG237" s="3">
        <f t="shared" si="15"/>
        <v>4.7861704511057779</v>
      </c>
    </row>
    <row r="238" spans="1:33" x14ac:dyDescent="0.25">
      <c r="A238" t="s">
        <v>47</v>
      </c>
      <c r="B238" t="s">
        <v>0</v>
      </c>
      <c r="C238">
        <v>64</v>
      </c>
      <c r="D238">
        <v>145</v>
      </c>
      <c r="E238" s="2">
        <v>15</v>
      </c>
      <c r="F238" t="s">
        <v>20</v>
      </c>
      <c r="G238" s="2">
        <v>668</v>
      </c>
      <c r="H238" s="2">
        <v>174</v>
      </c>
      <c r="I238" s="6">
        <v>14.8</v>
      </c>
      <c r="J238" s="4">
        <v>0.22327044025157233</v>
      </c>
      <c r="K238" s="10"/>
      <c r="L238" s="6">
        <v>14.8</v>
      </c>
      <c r="M238" s="6">
        <f t="shared" si="13"/>
        <v>1.7182893081761008</v>
      </c>
      <c r="O238">
        <v>145</v>
      </c>
      <c r="P238">
        <v>611</v>
      </c>
      <c r="Q238">
        <v>175</v>
      </c>
      <c r="R238" s="3">
        <v>14.08</v>
      </c>
      <c r="S238" s="9">
        <v>0.24697754749568221</v>
      </c>
      <c r="T238" s="11"/>
      <c r="U238" s="3">
        <v>14.08</v>
      </c>
      <c r="V238" s="3">
        <f t="shared" si="16"/>
        <v>1.8082708117443869</v>
      </c>
      <c r="W238" s="9"/>
      <c r="X238">
        <v>145</v>
      </c>
      <c r="Y238">
        <v>690</v>
      </c>
      <c r="Z238">
        <v>183</v>
      </c>
      <c r="AA238" s="3">
        <v>9.2799999999999994</v>
      </c>
      <c r="AB238" s="9">
        <v>0.22948328267477203</v>
      </c>
      <c r="AD238" s="3">
        <v>9.2799999999999994</v>
      </c>
      <c r="AE238" s="6">
        <f t="shared" si="14"/>
        <v>1.1073945288753799</v>
      </c>
      <c r="AG238" s="3">
        <f t="shared" si="15"/>
        <v>4.6339546487958678</v>
      </c>
    </row>
    <row r="239" spans="1:33" x14ac:dyDescent="0.25">
      <c r="A239" t="s">
        <v>47</v>
      </c>
      <c r="B239" t="s">
        <v>0</v>
      </c>
      <c r="C239">
        <v>64</v>
      </c>
      <c r="D239">
        <v>146</v>
      </c>
      <c r="E239" s="2">
        <v>22</v>
      </c>
      <c r="F239" t="s">
        <v>7</v>
      </c>
      <c r="I239" s="6">
        <v>17.3</v>
      </c>
      <c r="J239" s="4">
        <v>0.22327044025157233</v>
      </c>
      <c r="K239" s="10"/>
      <c r="L239" s="6">
        <v>17.3</v>
      </c>
      <c r="M239" s="6">
        <f t="shared" si="13"/>
        <v>2.0085408805031446</v>
      </c>
      <c r="O239">
        <v>146</v>
      </c>
      <c r="R239" s="3">
        <v>15.48</v>
      </c>
      <c r="S239" s="9">
        <v>0.24697754749568221</v>
      </c>
      <c r="T239" s="11"/>
      <c r="U239" s="3">
        <v>15.48</v>
      </c>
      <c r="V239" s="3">
        <f t="shared" si="16"/>
        <v>1.9880704663212438</v>
      </c>
      <c r="W239" s="9"/>
      <c r="X239">
        <v>146</v>
      </c>
      <c r="AA239" s="3">
        <v>10.64</v>
      </c>
      <c r="AB239" s="9">
        <v>0.22948328267477203</v>
      </c>
      <c r="AD239" s="3">
        <v>10.64</v>
      </c>
      <c r="AE239" s="6">
        <f t="shared" si="14"/>
        <v>1.2696851063829786</v>
      </c>
      <c r="AG239" s="3">
        <f t="shared" si="15"/>
        <v>5.2662964532073673</v>
      </c>
    </row>
    <row r="240" spans="1:33" x14ac:dyDescent="0.25">
      <c r="A240" t="s">
        <v>47</v>
      </c>
      <c r="B240" t="s">
        <v>0</v>
      </c>
      <c r="C240">
        <v>64</v>
      </c>
      <c r="D240">
        <v>147</v>
      </c>
      <c r="E240" s="2">
        <v>17</v>
      </c>
      <c r="F240" t="s">
        <v>17</v>
      </c>
      <c r="I240" s="6">
        <v>12.7</v>
      </c>
      <c r="J240" s="4">
        <v>0.22327044025157233</v>
      </c>
      <c r="K240" s="10"/>
      <c r="L240" s="6">
        <v>12.7</v>
      </c>
      <c r="M240" s="6">
        <f t="shared" si="13"/>
        <v>1.4744779874213836</v>
      </c>
      <c r="O240">
        <v>147</v>
      </c>
      <c r="R240" s="3">
        <v>14.16</v>
      </c>
      <c r="S240" s="9">
        <v>0.24697754749568221</v>
      </c>
      <c r="T240" s="11"/>
      <c r="U240" s="3">
        <v>14.16</v>
      </c>
      <c r="V240" s="3">
        <f t="shared" si="16"/>
        <v>1.8185450777202072</v>
      </c>
      <c r="W240" s="9"/>
      <c r="X240">
        <v>147</v>
      </c>
      <c r="AA240" s="3">
        <v>8.68</v>
      </c>
      <c r="AB240" s="9">
        <v>0.22948328267477203</v>
      </c>
      <c r="AD240" s="3">
        <v>8.68</v>
      </c>
      <c r="AE240" s="6">
        <f t="shared" si="14"/>
        <v>1.035795744680851</v>
      </c>
      <c r="AG240" s="3">
        <f t="shared" si="15"/>
        <v>4.328818809822442</v>
      </c>
    </row>
    <row r="241" spans="1:33" x14ac:dyDescent="0.25">
      <c r="A241" t="s">
        <v>47</v>
      </c>
      <c r="B241" t="s">
        <v>0</v>
      </c>
      <c r="C241">
        <v>64</v>
      </c>
      <c r="D241">
        <v>148</v>
      </c>
      <c r="E241" s="2">
        <v>2</v>
      </c>
      <c r="F241" t="s">
        <v>4</v>
      </c>
      <c r="I241" s="6">
        <v>19.600000000000001</v>
      </c>
      <c r="J241" s="4">
        <v>0.22327044025157233</v>
      </c>
      <c r="K241" s="10"/>
      <c r="L241" s="6">
        <v>19.600000000000001</v>
      </c>
      <c r="M241" s="6">
        <f t="shared" si="13"/>
        <v>2.2755723270440251</v>
      </c>
      <c r="O241">
        <v>148</v>
      </c>
      <c r="R241" s="3">
        <v>16.46</v>
      </c>
      <c r="S241" s="9">
        <v>0.24697754749568221</v>
      </c>
      <c r="T241" s="11"/>
      <c r="U241" s="3">
        <v>16.46</v>
      </c>
      <c r="V241" s="3">
        <f t="shared" si="16"/>
        <v>2.1139302245250438</v>
      </c>
      <c r="W241" s="9"/>
      <c r="X241">
        <v>148</v>
      </c>
      <c r="AA241" s="3">
        <v>11.18</v>
      </c>
      <c r="AB241" s="9">
        <v>0.22948328267477203</v>
      </c>
      <c r="AD241" s="3">
        <v>11.18</v>
      </c>
      <c r="AE241" s="6">
        <f t="shared" si="14"/>
        <v>1.3341240121580547</v>
      </c>
      <c r="AG241" s="3">
        <f t="shared" si="15"/>
        <v>5.7236265637271231</v>
      </c>
    </row>
    <row r="242" spans="1:33" x14ac:dyDescent="0.25">
      <c r="A242" t="s">
        <v>47</v>
      </c>
      <c r="B242" t="s">
        <v>0</v>
      </c>
      <c r="C242">
        <v>64</v>
      </c>
      <c r="D242">
        <v>201</v>
      </c>
      <c r="E242" s="2">
        <v>10</v>
      </c>
      <c r="F242" t="s">
        <v>35</v>
      </c>
      <c r="G242" s="2">
        <v>651</v>
      </c>
      <c r="H242" s="2">
        <v>169</v>
      </c>
      <c r="I242" s="6">
        <v>13.82</v>
      </c>
      <c r="J242" s="4">
        <v>0.22132471728594508</v>
      </c>
      <c r="K242" s="10">
        <v>102</v>
      </c>
      <c r="L242" s="6">
        <v>14.516646194411397</v>
      </c>
      <c r="M242" s="6">
        <f t="shared" si="13"/>
        <v>1.6707041597574603</v>
      </c>
      <c r="O242">
        <v>201</v>
      </c>
      <c r="R242" s="3"/>
      <c r="S242" s="9"/>
      <c r="T242" s="11"/>
      <c r="U242" s="3"/>
      <c r="V242" s="11"/>
      <c r="W242" s="9"/>
      <c r="X242">
        <v>201</v>
      </c>
      <c r="Y242">
        <v>847</v>
      </c>
      <c r="Z242">
        <v>222</v>
      </c>
      <c r="AA242" s="3">
        <v>11.54</v>
      </c>
      <c r="AB242" s="9">
        <v>0.23312883435582821</v>
      </c>
      <c r="AD242" s="3">
        <v>11.54</v>
      </c>
      <c r="AE242" s="6">
        <f t="shared" si="14"/>
        <v>1.398959509202454</v>
      </c>
      <c r="AG242" s="3"/>
    </row>
    <row r="243" spans="1:33" x14ac:dyDescent="0.25">
      <c r="A243" t="s">
        <v>47</v>
      </c>
      <c r="B243" t="s">
        <v>0</v>
      </c>
      <c r="C243">
        <v>64</v>
      </c>
      <c r="D243">
        <v>202</v>
      </c>
      <c r="E243" s="2">
        <v>9</v>
      </c>
      <c r="F243" t="s">
        <v>19</v>
      </c>
      <c r="I243" s="6">
        <v>16.14</v>
      </c>
      <c r="J243" s="4">
        <v>0.22132471728594508</v>
      </c>
      <c r="K243" s="10">
        <v>120</v>
      </c>
      <c r="L243" s="6">
        <v>17.015783787260041</v>
      </c>
      <c r="M243" s="6">
        <f t="shared" si="13"/>
        <v>1.9583270387793301</v>
      </c>
      <c r="O243">
        <v>202</v>
      </c>
      <c r="R243" s="3"/>
      <c r="S243" s="9"/>
      <c r="T243" s="11"/>
      <c r="U243" s="3"/>
      <c r="V243" s="11"/>
      <c r="W243" s="9"/>
      <c r="X243">
        <v>202</v>
      </c>
      <c r="AA243" s="3">
        <v>11.78</v>
      </c>
      <c r="AB243" s="9">
        <v>0.23312883435582821</v>
      </c>
      <c r="AD243" s="3">
        <v>11.78</v>
      </c>
      <c r="AE243" s="6">
        <f t="shared" si="14"/>
        <v>1.4280539877300613</v>
      </c>
      <c r="AG243" s="3"/>
    </row>
    <row r="244" spans="1:33" x14ac:dyDescent="0.25">
      <c r="A244" t="s">
        <v>47</v>
      </c>
      <c r="B244" t="s">
        <v>0</v>
      </c>
      <c r="C244">
        <v>64</v>
      </c>
      <c r="D244">
        <v>203</v>
      </c>
      <c r="E244" s="2">
        <v>12</v>
      </c>
      <c r="F244" t="s">
        <v>33</v>
      </c>
      <c r="I244" s="6">
        <v>16.68</v>
      </c>
      <c r="J244" s="4">
        <v>0.22132471728594508</v>
      </c>
      <c r="K244" s="10">
        <v>161</v>
      </c>
      <c r="L244" s="6">
        <v>17.963819415415287</v>
      </c>
      <c r="M244" s="6">
        <f t="shared" si="13"/>
        <v>2.0674353718161309</v>
      </c>
      <c r="O244">
        <v>203</v>
      </c>
      <c r="R244" s="3"/>
      <c r="S244" s="9"/>
      <c r="T244" s="11"/>
      <c r="U244" s="3"/>
      <c r="V244" s="11"/>
      <c r="W244" s="9"/>
      <c r="X244">
        <v>203</v>
      </c>
      <c r="AA244" s="3">
        <v>11.32</v>
      </c>
      <c r="AB244" s="9">
        <v>0.23312883435582821</v>
      </c>
      <c r="AD244" s="3">
        <v>11.32</v>
      </c>
      <c r="AE244" s="6">
        <f t="shared" si="14"/>
        <v>1.3722895705521472</v>
      </c>
      <c r="AG244" s="3"/>
    </row>
    <row r="245" spans="1:33" x14ac:dyDescent="0.25">
      <c r="A245" t="s">
        <v>47</v>
      </c>
      <c r="B245" t="s">
        <v>0</v>
      </c>
      <c r="C245">
        <v>64</v>
      </c>
      <c r="D245">
        <v>204</v>
      </c>
      <c r="E245" s="2">
        <v>8</v>
      </c>
      <c r="F245" t="s">
        <v>31</v>
      </c>
      <c r="I245" s="6">
        <v>16.440000000000001</v>
      </c>
      <c r="J245" s="4">
        <v>0.22132471728594508</v>
      </c>
      <c r="K245" s="10">
        <v>144</v>
      </c>
      <c r="L245" s="6">
        <v>17.554633911058236</v>
      </c>
      <c r="M245" s="6">
        <f t="shared" si="13"/>
        <v>2.0203426814600789</v>
      </c>
      <c r="O245">
        <v>204</v>
      </c>
      <c r="R245" s="3"/>
      <c r="S245" s="9"/>
      <c r="T245" s="11"/>
      <c r="U245" s="3"/>
      <c r="V245" s="11"/>
      <c r="W245" s="9"/>
      <c r="X245">
        <v>204</v>
      </c>
      <c r="AA245" s="3">
        <v>10.36</v>
      </c>
      <c r="AB245" s="9">
        <v>0.23312883435582821</v>
      </c>
      <c r="AD245" s="3">
        <v>10.36</v>
      </c>
      <c r="AE245" s="6">
        <f t="shared" si="14"/>
        <v>1.2559116564417176</v>
      </c>
      <c r="AG245" s="3"/>
    </row>
    <row r="246" spans="1:33" x14ac:dyDescent="0.25">
      <c r="A246" t="s">
        <v>47</v>
      </c>
      <c r="B246" t="s">
        <v>0</v>
      </c>
      <c r="C246">
        <v>64</v>
      </c>
      <c r="D246">
        <v>205</v>
      </c>
      <c r="E246" s="2">
        <v>11</v>
      </c>
      <c r="F246" t="s">
        <v>15</v>
      </c>
      <c r="G246" s="2">
        <v>692</v>
      </c>
      <c r="H246" s="2">
        <v>182</v>
      </c>
      <c r="I246" s="6">
        <v>15.26</v>
      </c>
      <c r="J246" s="4">
        <v>0.22727272727272727</v>
      </c>
      <c r="K246" s="10">
        <v>144</v>
      </c>
      <c r="L246" s="6">
        <v>16.345462555066078</v>
      </c>
      <c r="M246" s="6">
        <f t="shared" si="13"/>
        <v>1.9317364837805366</v>
      </c>
      <c r="O246">
        <v>205</v>
      </c>
      <c r="R246" s="3"/>
      <c r="S246" s="9"/>
      <c r="T246" s="11"/>
      <c r="U246" s="3"/>
      <c r="V246" s="11"/>
      <c r="W246" s="9"/>
      <c r="X246">
        <v>205</v>
      </c>
      <c r="Y246">
        <v>762</v>
      </c>
      <c r="Z246">
        <v>213</v>
      </c>
      <c r="AA246" s="3">
        <v>11.98</v>
      </c>
      <c r="AB246" s="9">
        <v>0.24794520547945206</v>
      </c>
      <c r="AD246" s="3">
        <v>11.98</v>
      </c>
      <c r="AE246" s="6">
        <f t="shared" si="14"/>
        <v>1.5445994520547948</v>
      </c>
      <c r="AG246" s="3"/>
    </row>
    <row r="247" spans="1:33" x14ac:dyDescent="0.25">
      <c r="A247" t="s">
        <v>47</v>
      </c>
      <c r="B247" t="s">
        <v>0</v>
      </c>
      <c r="C247">
        <v>64</v>
      </c>
      <c r="D247">
        <v>206</v>
      </c>
      <c r="E247" s="2">
        <v>7</v>
      </c>
      <c r="F247" t="s">
        <v>16</v>
      </c>
      <c r="I247" s="6">
        <v>14.36</v>
      </c>
      <c r="J247" s="4">
        <v>0.22727272727272727</v>
      </c>
      <c r="K247" s="10">
        <v>157</v>
      </c>
      <c r="L247" s="6">
        <v>15.571453744493391</v>
      </c>
      <c r="M247" s="6">
        <f t="shared" si="13"/>
        <v>1.84026271525831</v>
      </c>
      <c r="O247">
        <v>206</v>
      </c>
      <c r="R247" s="3"/>
      <c r="S247" s="9"/>
      <c r="T247" s="11"/>
      <c r="U247" s="3"/>
      <c r="V247" s="11"/>
      <c r="W247" s="9"/>
      <c r="X247">
        <v>206</v>
      </c>
      <c r="AA247" s="3">
        <v>10.4</v>
      </c>
      <c r="AB247" s="9">
        <v>0.24794520547945206</v>
      </c>
      <c r="AD247" s="3">
        <v>10.4</v>
      </c>
      <c r="AE247" s="6">
        <f t="shared" si="14"/>
        <v>1.3408876712328768</v>
      </c>
      <c r="AG247" s="3"/>
    </row>
    <row r="248" spans="1:33" x14ac:dyDescent="0.25">
      <c r="A248" t="s">
        <v>47</v>
      </c>
      <c r="B248" t="s">
        <v>0</v>
      </c>
      <c r="C248">
        <v>64</v>
      </c>
      <c r="D248">
        <v>207</v>
      </c>
      <c r="E248" s="2">
        <v>12</v>
      </c>
      <c r="F248" t="s">
        <v>33</v>
      </c>
      <c r="I248" s="6">
        <v>16.7</v>
      </c>
      <c r="J248" s="4">
        <v>0.22727272727272727</v>
      </c>
      <c r="K248" s="10">
        <v>100</v>
      </c>
      <c r="L248" s="6">
        <v>17.359030837004404</v>
      </c>
      <c r="M248" s="6">
        <f t="shared" si="13"/>
        <v>2.0515218261914296</v>
      </c>
      <c r="O248">
        <v>207</v>
      </c>
      <c r="R248" s="3"/>
      <c r="S248" s="9"/>
      <c r="T248" s="11"/>
      <c r="U248" s="3"/>
      <c r="V248" s="11"/>
      <c r="W248" s="9"/>
      <c r="X248">
        <v>207</v>
      </c>
      <c r="AA248" s="3">
        <v>10.38</v>
      </c>
      <c r="AB248" s="9">
        <v>0.24794520547945206</v>
      </c>
      <c r="AD248" s="3">
        <v>10.38</v>
      </c>
      <c r="AE248" s="6">
        <f t="shared" si="14"/>
        <v>1.3383090410958907</v>
      </c>
      <c r="AG248" s="3"/>
    </row>
    <row r="249" spans="1:33" x14ac:dyDescent="0.25">
      <c r="A249" t="s">
        <v>47</v>
      </c>
      <c r="B249" t="s">
        <v>0</v>
      </c>
      <c r="C249">
        <v>64</v>
      </c>
      <c r="D249">
        <v>208</v>
      </c>
      <c r="E249" s="2">
        <v>9</v>
      </c>
      <c r="F249" t="s">
        <v>19</v>
      </c>
      <c r="I249" s="6">
        <v>13.88</v>
      </c>
      <c r="J249" s="4">
        <v>0.22727272727272727</v>
      </c>
      <c r="K249" s="10">
        <v>119</v>
      </c>
      <c r="L249" s="6">
        <v>14.723171806167402</v>
      </c>
      <c r="M249" s="6">
        <f t="shared" si="13"/>
        <v>1.7400112134561474</v>
      </c>
      <c r="O249">
        <v>208</v>
      </c>
      <c r="R249" s="3"/>
      <c r="S249" s="9"/>
      <c r="T249" s="11"/>
      <c r="U249" s="3"/>
      <c r="V249" s="11"/>
      <c r="W249" s="9"/>
      <c r="X249">
        <v>208</v>
      </c>
      <c r="AA249" s="3">
        <v>11.2</v>
      </c>
      <c r="AB249" s="9">
        <v>0.24794520547945206</v>
      </c>
      <c r="AD249" s="3">
        <v>11.2</v>
      </c>
      <c r="AE249" s="6">
        <f t="shared" si="14"/>
        <v>1.4440328767123287</v>
      </c>
      <c r="AG249" s="3"/>
    </row>
    <row r="250" spans="1:33" x14ac:dyDescent="0.25">
      <c r="A250" t="s">
        <v>47</v>
      </c>
      <c r="B250" t="s">
        <v>0</v>
      </c>
      <c r="C250">
        <v>64</v>
      </c>
      <c r="D250">
        <v>209</v>
      </c>
      <c r="E250" s="2">
        <v>11</v>
      </c>
      <c r="F250" t="s">
        <v>15</v>
      </c>
      <c r="G250" s="2">
        <v>705</v>
      </c>
      <c r="H250" s="2">
        <v>185</v>
      </c>
      <c r="I250" s="6">
        <v>16.66</v>
      </c>
      <c r="J250" s="4">
        <v>0.22734026745913818</v>
      </c>
      <c r="K250" s="10">
        <v>161</v>
      </c>
      <c r="L250" s="6">
        <v>17.909848838213701</v>
      </c>
      <c r="M250" s="6">
        <f t="shared" si="13"/>
        <v>2.1172475090167637</v>
      </c>
      <c r="O250">
        <v>209</v>
      </c>
      <c r="R250" s="3"/>
      <c r="S250" s="9"/>
      <c r="T250" s="11"/>
      <c r="U250" s="3"/>
      <c r="V250" s="11"/>
      <c r="W250" s="9"/>
      <c r="X250">
        <v>209</v>
      </c>
      <c r="Y250">
        <v>581</v>
      </c>
      <c r="Z250">
        <v>164</v>
      </c>
      <c r="AA250" s="3">
        <v>12.56</v>
      </c>
      <c r="AB250" s="9">
        <v>0.24043715846994534</v>
      </c>
      <c r="AD250" s="3">
        <v>12.56</v>
      </c>
      <c r="AE250" s="6">
        <f t="shared" si="14"/>
        <v>1.5703431693989069</v>
      </c>
      <c r="AG250" s="3"/>
    </row>
    <row r="251" spans="1:33" x14ac:dyDescent="0.25">
      <c r="A251" t="s">
        <v>47</v>
      </c>
      <c r="B251" t="s">
        <v>0</v>
      </c>
      <c r="C251">
        <v>64</v>
      </c>
      <c r="D251">
        <v>210</v>
      </c>
      <c r="E251" s="2">
        <v>8</v>
      </c>
      <c r="F251" t="s">
        <v>31</v>
      </c>
      <c r="I251" s="6">
        <v>16.36</v>
      </c>
      <c r="J251" s="4">
        <v>0.22734026745913818</v>
      </c>
      <c r="K251" s="10">
        <v>138</v>
      </c>
      <c r="L251" s="6">
        <v>17.387007572485675</v>
      </c>
      <c r="M251" s="6">
        <f t="shared" si="13"/>
        <v>2.0554388149583365</v>
      </c>
      <c r="O251">
        <v>210</v>
      </c>
      <c r="R251" s="3"/>
      <c r="S251" s="9"/>
      <c r="T251" s="11"/>
      <c r="U251" s="3"/>
      <c r="V251" s="11"/>
      <c r="W251" s="9"/>
      <c r="X251">
        <v>210</v>
      </c>
      <c r="AA251" s="3">
        <v>11.12</v>
      </c>
      <c r="AB251" s="9">
        <v>0.24043715846994534</v>
      </c>
      <c r="AD251" s="3">
        <v>11.12</v>
      </c>
      <c r="AE251" s="6">
        <f t="shared" si="14"/>
        <v>1.390303825136612</v>
      </c>
      <c r="AG251" s="3"/>
    </row>
    <row r="252" spans="1:33" x14ac:dyDescent="0.25">
      <c r="A252" t="s">
        <v>47</v>
      </c>
      <c r="B252" t="s">
        <v>0</v>
      </c>
      <c r="C252">
        <v>64</v>
      </c>
      <c r="D252">
        <v>211</v>
      </c>
      <c r="E252" s="2">
        <v>7</v>
      </c>
      <c r="F252" t="s">
        <v>16</v>
      </c>
      <c r="I252" s="6">
        <v>16.420000000000002</v>
      </c>
      <c r="J252" s="4">
        <v>0.22734026745913818</v>
      </c>
      <c r="K252" s="10">
        <v>87</v>
      </c>
      <c r="L252" s="6">
        <v>16.952881287610495</v>
      </c>
      <c r="M252" s="6">
        <f t="shared" si="13"/>
        <v>2.0041177343867624</v>
      </c>
      <c r="O252">
        <v>211</v>
      </c>
      <c r="R252" s="3"/>
      <c r="S252" s="9"/>
      <c r="T252" s="11"/>
      <c r="U252" s="3"/>
      <c r="V252" s="11"/>
      <c r="W252" s="9"/>
      <c r="X252">
        <v>211</v>
      </c>
      <c r="AA252" s="3">
        <v>11.1</v>
      </c>
      <c r="AB252" s="9">
        <v>0.24043715846994534</v>
      </c>
      <c r="AD252" s="3">
        <v>11.1</v>
      </c>
      <c r="AE252" s="6">
        <f t="shared" si="14"/>
        <v>1.3878032786885244</v>
      </c>
      <c r="AG252" s="3"/>
    </row>
    <row r="253" spans="1:33" x14ac:dyDescent="0.25">
      <c r="A253" t="s">
        <v>47</v>
      </c>
      <c r="B253" t="s">
        <v>0</v>
      </c>
      <c r="C253">
        <v>64</v>
      </c>
      <c r="D253">
        <v>212</v>
      </c>
      <c r="E253" s="2">
        <v>10</v>
      </c>
      <c r="F253" t="s">
        <v>35</v>
      </c>
      <c r="I253" s="6">
        <v>16.04</v>
      </c>
      <c r="J253" s="4">
        <v>0.22734026745913818</v>
      </c>
      <c r="K253" s="10">
        <v>143</v>
      </c>
      <c r="L253" s="6">
        <v>17.115451325904811</v>
      </c>
      <c r="M253" s="6">
        <f t="shared" si="13"/>
        <v>2.0233362666998316</v>
      </c>
      <c r="O253">
        <v>212</v>
      </c>
      <c r="R253" s="3"/>
      <c r="S253" s="9"/>
      <c r="T253" s="11"/>
      <c r="U253" s="3"/>
      <c r="V253" s="11"/>
      <c r="W253" s="9"/>
      <c r="X253">
        <v>212</v>
      </c>
      <c r="AA253" s="3">
        <v>10.28</v>
      </c>
      <c r="AB253" s="9">
        <v>0.24043715846994534</v>
      </c>
      <c r="AD253" s="3">
        <v>10.28</v>
      </c>
      <c r="AE253" s="6">
        <f t="shared" si="14"/>
        <v>1.2852808743169399</v>
      </c>
      <c r="AG253" s="3"/>
    </row>
    <row r="254" spans="1:33" x14ac:dyDescent="0.25">
      <c r="A254" t="s">
        <v>47</v>
      </c>
      <c r="B254" t="s">
        <v>0</v>
      </c>
      <c r="C254">
        <v>64</v>
      </c>
      <c r="D254">
        <v>213</v>
      </c>
      <c r="E254" s="2">
        <v>6</v>
      </c>
      <c r="F254" t="s">
        <v>1</v>
      </c>
      <c r="G254" s="2">
        <v>520</v>
      </c>
      <c r="H254" s="2">
        <v>144</v>
      </c>
      <c r="I254" s="6">
        <v>15.28</v>
      </c>
      <c r="J254" s="4">
        <v>0.22950819672131148</v>
      </c>
      <c r="K254" s="10">
        <v>132</v>
      </c>
      <c r="L254" s="6">
        <v>16.239723096286973</v>
      </c>
      <c r="M254" s="6">
        <f t="shared" si="13"/>
        <v>1.9381177728027732</v>
      </c>
      <c r="O254">
        <v>213</v>
      </c>
      <c r="P254">
        <v>571</v>
      </c>
      <c r="Q254">
        <v>162</v>
      </c>
      <c r="R254" s="3">
        <v>13.98</v>
      </c>
      <c r="S254" s="9">
        <v>0.24118738404452691</v>
      </c>
      <c r="T254" s="11">
        <v>124</v>
      </c>
      <c r="U254" s="3">
        <v>14.820189766180956</v>
      </c>
      <c r="V254" s="3">
        <f>S254*U254*0.52</f>
        <v>1.8587102563893001</v>
      </c>
      <c r="W254" s="9"/>
      <c r="X254">
        <v>213</v>
      </c>
      <c r="Y254">
        <v>800</v>
      </c>
      <c r="Z254">
        <v>211</v>
      </c>
      <c r="AA254" s="3">
        <v>10.52</v>
      </c>
      <c r="AB254" s="9">
        <v>0.23307291666666666</v>
      </c>
      <c r="AD254" s="3">
        <v>10.52</v>
      </c>
      <c r="AE254" s="6">
        <f t="shared" si="14"/>
        <v>1.2750020833333333</v>
      </c>
      <c r="AG254" s="3">
        <f t="shared" si="15"/>
        <v>5.0718301125254062</v>
      </c>
    </row>
    <row r="255" spans="1:33" x14ac:dyDescent="0.25">
      <c r="A255" t="s">
        <v>47</v>
      </c>
      <c r="B255" t="s">
        <v>0</v>
      </c>
      <c r="C255">
        <v>64</v>
      </c>
      <c r="D255">
        <v>214</v>
      </c>
      <c r="E255" s="2">
        <v>18</v>
      </c>
      <c r="F255" t="s">
        <v>18</v>
      </c>
      <c r="I255" s="6">
        <v>18.52</v>
      </c>
      <c r="J255" s="4">
        <v>0.22950819672131148</v>
      </c>
      <c r="K255" s="10">
        <v>103</v>
      </c>
      <c r="L255" s="6">
        <v>19.201403398363752</v>
      </c>
      <c r="M255" s="6">
        <f t="shared" si="13"/>
        <v>2.2915773236080019</v>
      </c>
      <c r="O255">
        <v>214</v>
      </c>
      <c r="R255" s="3">
        <v>14.74</v>
      </c>
      <c r="S255" s="9">
        <v>0.24118738404452691</v>
      </c>
      <c r="T255" s="11">
        <v>123</v>
      </c>
      <c r="U255" s="3">
        <v>15.571057268722466</v>
      </c>
      <c r="V255" s="3">
        <f t="shared" ref="V255:V289" si="17">S255*U255*0.52</f>
        <v>1.9528821361143576</v>
      </c>
      <c r="W255" s="9"/>
      <c r="X255">
        <v>214</v>
      </c>
      <c r="AA255" s="3">
        <v>12.62</v>
      </c>
      <c r="AB255" s="9">
        <v>0.23307291666666666</v>
      </c>
      <c r="AD255" s="3">
        <v>12.62</v>
      </c>
      <c r="AE255" s="6">
        <f t="shared" si="14"/>
        <v>1.5295177083333331</v>
      </c>
      <c r="AG255" s="3">
        <f t="shared" si="15"/>
        <v>5.7739771680556924</v>
      </c>
    </row>
    <row r="256" spans="1:33" x14ac:dyDescent="0.25">
      <c r="A256" t="s">
        <v>47</v>
      </c>
      <c r="B256" t="s">
        <v>0</v>
      </c>
      <c r="C256">
        <v>64</v>
      </c>
      <c r="D256">
        <v>215</v>
      </c>
      <c r="E256" s="2">
        <v>27</v>
      </c>
      <c r="F256" t="s">
        <v>14</v>
      </c>
      <c r="I256" s="6">
        <v>17.5</v>
      </c>
      <c r="J256" s="4">
        <v>0.22950819672131148</v>
      </c>
      <c r="K256" s="10">
        <v>112</v>
      </c>
      <c r="L256" s="6">
        <v>18.26777847702958</v>
      </c>
      <c r="M256" s="6">
        <f t="shared" si="13"/>
        <v>2.1801545461110714</v>
      </c>
      <c r="O256">
        <v>215</v>
      </c>
      <c r="R256" s="3">
        <v>14.6</v>
      </c>
      <c r="S256" s="9">
        <v>0.24118738404452691</v>
      </c>
      <c r="T256" s="11">
        <v>133</v>
      </c>
      <c r="U256" s="3">
        <v>15.522382243307353</v>
      </c>
      <c r="V256" s="3">
        <f t="shared" si="17"/>
        <v>1.9467774390493082</v>
      </c>
      <c r="W256" s="9"/>
      <c r="X256">
        <v>215</v>
      </c>
      <c r="AA256" s="3">
        <v>11.62</v>
      </c>
      <c r="AB256" s="9">
        <v>0.23307291666666666</v>
      </c>
      <c r="AD256" s="3">
        <v>11.62</v>
      </c>
      <c r="AE256" s="6">
        <f t="shared" si="14"/>
        <v>1.4083197916666665</v>
      </c>
      <c r="AG256" s="3">
        <f t="shared" si="15"/>
        <v>5.5352517768270459</v>
      </c>
    </row>
    <row r="257" spans="1:33" x14ac:dyDescent="0.25">
      <c r="A257" t="s">
        <v>47</v>
      </c>
      <c r="B257" t="s">
        <v>0</v>
      </c>
      <c r="C257">
        <v>64</v>
      </c>
      <c r="D257">
        <v>216</v>
      </c>
      <c r="E257" s="2">
        <v>16</v>
      </c>
      <c r="F257" t="s">
        <v>12</v>
      </c>
      <c r="I257" s="6">
        <v>14.84</v>
      </c>
      <c r="J257" s="4">
        <v>0.22950819672131148</v>
      </c>
      <c r="K257" s="10">
        <v>76</v>
      </c>
      <c r="L257" s="6">
        <v>15.262278162366268</v>
      </c>
      <c r="M257" s="6">
        <f t="shared" si="13"/>
        <v>1.8214653282299416</v>
      </c>
      <c r="O257">
        <v>216</v>
      </c>
      <c r="R257" s="3">
        <v>14.34</v>
      </c>
      <c r="S257" s="9">
        <v>0.24118738404452691</v>
      </c>
      <c r="T257" s="11">
        <v>99</v>
      </c>
      <c r="U257" s="3">
        <v>14.951877329718739</v>
      </c>
      <c r="V257" s="3">
        <f t="shared" si="17"/>
        <v>1.875226173448955</v>
      </c>
      <c r="W257" s="9"/>
      <c r="X257">
        <v>216</v>
      </c>
      <c r="AA257" s="3">
        <v>9.76</v>
      </c>
      <c r="AB257" s="9">
        <v>0.23307291666666666</v>
      </c>
      <c r="AD257" s="3">
        <v>9.76</v>
      </c>
      <c r="AE257" s="6">
        <f t="shared" si="14"/>
        <v>1.1828916666666665</v>
      </c>
      <c r="AG257" s="3">
        <f t="shared" si="15"/>
        <v>4.8795831683455635</v>
      </c>
    </row>
    <row r="258" spans="1:33" x14ac:dyDescent="0.25">
      <c r="A258" t="s">
        <v>47</v>
      </c>
      <c r="B258" t="s">
        <v>0</v>
      </c>
      <c r="C258">
        <v>64</v>
      </c>
      <c r="D258">
        <v>217</v>
      </c>
      <c r="E258" s="2">
        <v>22</v>
      </c>
      <c r="F258" t="s">
        <v>7</v>
      </c>
      <c r="G258" s="2">
        <v>750</v>
      </c>
      <c r="H258" s="2">
        <v>194</v>
      </c>
      <c r="I258" s="6">
        <v>18.86</v>
      </c>
      <c r="J258" s="4">
        <v>0.22562674094707522</v>
      </c>
      <c r="K258" s="10">
        <v>159</v>
      </c>
      <c r="L258" s="6">
        <v>20.099816174471094</v>
      </c>
      <c r="M258" s="6">
        <f t="shared" si="13"/>
        <v>2.3582291288822352</v>
      </c>
      <c r="O258">
        <v>217</v>
      </c>
      <c r="P258">
        <v>831</v>
      </c>
      <c r="Q258">
        <v>226</v>
      </c>
      <c r="R258" s="3">
        <v>15.62</v>
      </c>
      <c r="S258" s="9">
        <v>0.2428035043804756</v>
      </c>
      <c r="T258" s="11">
        <v>151</v>
      </c>
      <c r="U258" s="3">
        <v>16.699533584631453</v>
      </c>
      <c r="V258" s="3">
        <f t="shared" si="17"/>
        <v>2.1084467434513408</v>
      </c>
      <c r="W258" s="9"/>
      <c r="X258">
        <v>217</v>
      </c>
      <c r="Y258">
        <v>643</v>
      </c>
      <c r="Z258">
        <v>175</v>
      </c>
      <c r="AA258" s="3">
        <v>12.42</v>
      </c>
      <c r="AB258" s="9">
        <v>0.23404255319148937</v>
      </c>
      <c r="AD258" s="3">
        <v>12.42</v>
      </c>
      <c r="AE258" s="6">
        <f t="shared" si="14"/>
        <v>1.5115404255319149</v>
      </c>
      <c r="AG258" s="3">
        <f t="shared" si="15"/>
        <v>5.9782162978654911</v>
      </c>
    </row>
    <row r="259" spans="1:33" x14ac:dyDescent="0.25">
      <c r="A259" t="s">
        <v>47</v>
      </c>
      <c r="B259" t="s">
        <v>0</v>
      </c>
      <c r="C259">
        <v>64</v>
      </c>
      <c r="D259">
        <v>218</v>
      </c>
      <c r="E259" s="2">
        <v>1</v>
      </c>
      <c r="F259" t="s">
        <v>6</v>
      </c>
      <c r="I259" s="6">
        <v>17.5</v>
      </c>
      <c r="J259" s="4">
        <v>0.22562674094707522</v>
      </c>
      <c r="K259" s="10">
        <v>129</v>
      </c>
      <c r="L259" s="6">
        <v>18.446946211997606</v>
      </c>
      <c r="M259" s="6">
        <f t="shared" ref="M259:M322" si="18">J259*L259*0.52</f>
        <v>2.1643046642042876</v>
      </c>
      <c r="O259">
        <v>218</v>
      </c>
      <c r="R259" s="3">
        <v>15.66</v>
      </c>
      <c r="S259" s="9">
        <v>0.2428035043804756</v>
      </c>
      <c r="T259" s="11">
        <v>105</v>
      </c>
      <c r="U259" s="3">
        <v>16.322234888051227</v>
      </c>
      <c r="V259" s="3">
        <f t="shared" si="17"/>
        <v>2.0608098316728509</v>
      </c>
      <c r="W259" s="9"/>
      <c r="X259">
        <v>218</v>
      </c>
      <c r="AA259" s="3">
        <v>12.78</v>
      </c>
      <c r="AB259" s="9">
        <v>0.23404255319148937</v>
      </c>
      <c r="AD259" s="3">
        <v>12.78</v>
      </c>
      <c r="AE259" s="6">
        <f t="shared" ref="AE259:AE322" si="19">AB259*AD259*0.52</f>
        <v>1.5553531914893617</v>
      </c>
      <c r="AG259" s="3">
        <f t="shared" ref="AG259:AG322" si="20">M259+V259+AE259</f>
        <v>5.7804676873664995</v>
      </c>
    </row>
    <row r="260" spans="1:33" x14ac:dyDescent="0.25">
      <c r="A260" t="s">
        <v>47</v>
      </c>
      <c r="B260" t="s">
        <v>0</v>
      </c>
      <c r="C260">
        <v>64</v>
      </c>
      <c r="D260">
        <v>219</v>
      </c>
      <c r="E260" s="2">
        <v>14</v>
      </c>
      <c r="F260" t="s">
        <v>25</v>
      </c>
      <c r="I260" s="6">
        <v>16.84</v>
      </c>
      <c r="J260" s="4">
        <v>0.22562674094707522</v>
      </c>
      <c r="K260" s="10">
        <v>124</v>
      </c>
      <c r="L260" s="6">
        <v>17.738134551585357</v>
      </c>
      <c r="M260" s="6">
        <f t="shared" si="18"/>
        <v>2.081142694464555</v>
      </c>
      <c r="O260">
        <v>219</v>
      </c>
      <c r="R260" s="3">
        <v>11.74</v>
      </c>
      <c r="S260" s="9">
        <v>0.2428035043804756</v>
      </c>
      <c r="T260" s="11">
        <v>185</v>
      </c>
      <c r="U260" s="3">
        <v>13.127971751669014</v>
      </c>
      <c r="V260" s="3">
        <f t="shared" si="17"/>
        <v>1.6575091242908262</v>
      </c>
      <c r="W260" s="9"/>
      <c r="X260">
        <v>219</v>
      </c>
      <c r="AA260" s="3">
        <v>11.16</v>
      </c>
      <c r="AB260" s="9">
        <v>0.23404255319148937</v>
      </c>
      <c r="AD260" s="3">
        <v>11.16</v>
      </c>
      <c r="AE260" s="6">
        <f t="shared" si="19"/>
        <v>1.3581957446808512</v>
      </c>
      <c r="AG260" s="3">
        <f t="shared" si="20"/>
        <v>5.0968475634362322</v>
      </c>
    </row>
    <row r="261" spans="1:33" x14ac:dyDescent="0.25">
      <c r="A261" t="s">
        <v>47</v>
      </c>
      <c r="B261" t="s">
        <v>0</v>
      </c>
      <c r="C261">
        <v>64</v>
      </c>
      <c r="D261">
        <v>220</v>
      </c>
      <c r="E261" s="2">
        <v>21</v>
      </c>
      <c r="F261" t="s">
        <v>22</v>
      </c>
      <c r="I261" s="6">
        <v>19.079999999999998</v>
      </c>
      <c r="J261" s="4">
        <v>0.22562674094707522</v>
      </c>
      <c r="K261" s="10">
        <v>112</v>
      </c>
      <c r="L261" s="6">
        <v>19.860986566595962</v>
      </c>
      <c r="M261" s="6">
        <f t="shared" si="18"/>
        <v>2.3302082289276376</v>
      </c>
      <c r="O261">
        <v>220</v>
      </c>
      <c r="R261" s="3">
        <v>16.16</v>
      </c>
      <c r="S261" s="9">
        <v>0.2428035043804756</v>
      </c>
      <c r="T261" s="11">
        <v>89</v>
      </c>
      <c r="U261" s="3">
        <v>16.677087515327671</v>
      </c>
      <c r="V261" s="3">
        <f t="shared" si="17"/>
        <v>2.1056127516223473</v>
      </c>
      <c r="W261" s="9"/>
      <c r="X261">
        <v>220</v>
      </c>
      <c r="AA261" s="3">
        <v>14.34</v>
      </c>
      <c r="AB261" s="9">
        <v>0.23404255319148937</v>
      </c>
      <c r="AD261" s="3">
        <v>14.34</v>
      </c>
      <c r="AE261" s="6">
        <f t="shared" si="19"/>
        <v>1.745208510638298</v>
      </c>
      <c r="AG261" s="3">
        <f t="shared" si="20"/>
        <v>6.1810294911882826</v>
      </c>
    </row>
    <row r="262" spans="1:33" x14ac:dyDescent="0.25">
      <c r="A262" t="s">
        <v>47</v>
      </c>
      <c r="B262" t="s">
        <v>0</v>
      </c>
      <c r="C262">
        <v>64</v>
      </c>
      <c r="D262">
        <v>221</v>
      </c>
      <c r="E262" s="2">
        <v>11</v>
      </c>
      <c r="F262" t="s">
        <v>15</v>
      </c>
      <c r="G262" s="2">
        <v>772</v>
      </c>
      <c r="H262" s="2">
        <v>186</v>
      </c>
      <c r="I262" s="6">
        <v>17</v>
      </c>
      <c r="J262" s="4">
        <v>0.20810810810810812</v>
      </c>
      <c r="K262" s="10">
        <v>122</v>
      </c>
      <c r="L262" s="6">
        <v>17.952571657417472</v>
      </c>
      <c r="M262" s="6">
        <f t="shared" si="18"/>
        <v>1.9427593761162043</v>
      </c>
      <c r="O262">
        <v>221</v>
      </c>
      <c r="P262">
        <v>753</v>
      </c>
      <c r="Q262">
        <v>206</v>
      </c>
      <c r="R262" s="3">
        <v>16.32</v>
      </c>
      <c r="S262" s="9">
        <v>0.24133148404993066</v>
      </c>
      <c r="T262" s="11">
        <v>80</v>
      </c>
      <c r="U262" s="3">
        <v>16.758098131550966</v>
      </c>
      <c r="V262" s="3">
        <f t="shared" si="17"/>
        <v>2.1030134798096136</v>
      </c>
      <c r="W262" s="9"/>
      <c r="X262">
        <v>221</v>
      </c>
      <c r="Y262">
        <v>446</v>
      </c>
      <c r="Z262">
        <v>129</v>
      </c>
      <c r="AA262" s="3">
        <v>10.5</v>
      </c>
      <c r="AB262" s="9">
        <v>0.23429951690821257</v>
      </c>
      <c r="AC262">
        <v>90</v>
      </c>
      <c r="AD262" s="3">
        <v>11.05</v>
      </c>
      <c r="AE262" s="6">
        <f t="shared" si="19"/>
        <v>1.3462850241545896</v>
      </c>
      <c r="AG262" s="3">
        <f t="shared" si="20"/>
        <v>5.3920578800804071</v>
      </c>
    </row>
    <row r="263" spans="1:33" x14ac:dyDescent="0.25">
      <c r="A263" t="s">
        <v>47</v>
      </c>
      <c r="B263" t="s">
        <v>0</v>
      </c>
      <c r="C263">
        <v>64</v>
      </c>
      <c r="D263">
        <v>222</v>
      </c>
      <c r="E263" s="2">
        <v>34</v>
      </c>
      <c r="F263" t="s">
        <v>34</v>
      </c>
      <c r="I263" s="6">
        <v>18.440000000000001</v>
      </c>
      <c r="J263" s="4">
        <v>0.20810810810810812</v>
      </c>
      <c r="K263" s="10">
        <v>122</v>
      </c>
      <c r="L263" s="6">
        <v>19.392571657417474</v>
      </c>
      <c r="M263" s="6">
        <f t="shared" si="18"/>
        <v>2.0985907274675561</v>
      </c>
      <c r="O263">
        <v>222</v>
      </c>
      <c r="R263" s="3">
        <v>15.06</v>
      </c>
      <c r="S263" s="9">
        <v>0.24133148404993066</v>
      </c>
      <c r="T263" s="11">
        <v>166</v>
      </c>
      <c r="U263" s="3">
        <v>16.283023950579775</v>
      </c>
      <c r="V263" s="3">
        <f t="shared" si="17"/>
        <v>2.0433952941032705</v>
      </c>
      <c r="W263" s="9"/>
      <c r="X263">
        <v>222</v>
      </c>
      <c r="AA263" s="3">
        <v>12.22</v>
      </c>
      <c r="AB263" s="9">
        <v>0.23429951690821257</v>
      </c>
      <c r="AD263" s="3">
        <v>12.22</v>
      </c>
      <c r="AE263" s="6">
        <f t="shared" si="19"/>
        <v>1.488832850241546</v>
      </c>
      <c r="AG263" s="3">
        <f t="shared" si="20"/>
        <v>5.6308188718123722</v>
      </c>
    </row>
    <row r="264" spans="1:33" x14ac:dyDescent="0.25">
      <c r="A264" t="s">
        <v>47</v>
      </c>
      <c r="B264" t="s">
        <v>0</v>
      </c>
      <c r="C264">
        <v>64</v>
      </c>
      <c r="D264">
        <v>223</v>
      </c>
      <c r="E264" s="2">
        <v>24</v>
      </c>
      <c r="F264" t="s">
        <v>32</v>
      </c>
      <c r="I264" s="6">
        <v>18.260000000000002</v>
      </c>
      <c r="J264" s="4">
        <v>0.20810810810810812</v>
      </c>
      <c r="K264" s="10">
        <v>151</v>
      </c>
      <c r="L264" s="6">
        <v>19.519511413696438</v>
      </c>
      <c r="M264" s="6">
        <f t="shared" si="18"/>
        <v>2.1123276675794744</v>
      </c>
      <c r="O264">
        <v>223</v>
      </c>
      <c r="R264" s="3">
        <v>15.14</v>
      </c>
      <c r="S264" s="9">
        <v>0.24133148404993066</v>
      </c>
      <c r="T264" s="11">
        <v>115</v>
      </c>
      <c r="U264" s="3">
        <v>15.897544685806876</v>
      </c>
      <c r="V264" s="3">
        <f t="shared" si="17"/>
        <v>1.9950205869234483</v>
      </c>
      <c r="W264" s="9"/>
      <c r="X264">
        <v>223</v>
      </c>
      <c r="AA264" s="3">
        <v>12.86</v>
      </c>
      <c r="AB264" s="9">
        <v>0.23429951690821257</v>
      </c>
      <c r="AD264" s="3">
        <v>12.86</v>
      </c>
      <c r="AE264" s="6">
        <f t="shared" si="19"/>
        <v>1.5668077294685991</v>
      </c>
      <c r="AG264" s="3">
        <f t="shared" si="20"/>
        <v>5.6741559839715219</v>
      </c>
    </row>
    <row r="265" spans="1:33" x14ac:dyDescent="0.25">
      <c r="A265" t="s">
        <v>47</v>
      </c>
      <c r="B265" t="s">
        <v>0</v>
      </c>
      <c r="C265">
        <v>64</v>
      </c>
      <c r="D265">
        <v>224</v>
      </c>
      <c r="E265" s="2">
        <v>25</v>
      </c>
      <c r="F265" t="s">
        <v>8</v>
      </c>
      <c r="I265" s="6">
        <v>15.32</v>
      </c>
      <c r="J265" s="4">
        <v>0.20810810810810812</v>
      </c>
      <c r="K265" s="10">
        <v>89</v>
      </c>
      <c r="L265" s="6">
        <v>15.923295383031066</v>
      </c>
      <c r="M265" s="6">
        <f t="shared" si="18"/>
        <v>1.7231587760447675</v>
      </c>
      <c r="O265">
        <v>224</v>
      </c>
      <c r="R265" s="3">
        <v>12.9</v>
      </c>
      <c r="S265" s="9">
        <v>0.24133148404993066</v>
      </c>
      <c r="T265" s="11">
        <v>159</v>
      </c>
      <c r="U265" s="3">
        <v>14.059134639728594</v>
      </c>
      <c r="V265" s="3">
        <f t="shared" si="17"/>
        <v>1.7643141500730142</v>
      </c>
      <c r="W265" s="9"/>
      <c r="X265">
        <v>224</v>
      </c>
      <c r="AA265" s="3">
        <v>10</v>
      </c>
      <c r="AB265" s="9">
        <v>0.23429951690821257</v>
      </c>
      <c r="AD265" s="3">
        <v>10</v>
      </c>
      <c r="AE265" s="6">
        <f t="shared" si="19"/>
        <v>1.2183574879227055</v>
      </c>
      <c r="AG265" s="3">
        <f t="shared" si="20"/>
        <v>4.7058304140404879</v>
      </c>
    </row>
    <row r="266" spans="1:33" x14ac:dyDescent="0.25">
      <c r="A266" t="s">
        <v>47</v>
      </c>
      <c r="B266" t="s">
        <v>0</v>
      </c>
      <c r="C266">
        <v>64</v>
      </c>
      <c r="D266">
        <v>225</v>
      </c>
      <c r="E266" s="2">
        <v>2</v>
      </c>
      <c r="F266" t="s">
        <v>4</v>
      </c>
      <c r="G266" s="2">
        <v>597</v>
      </c>
      <c r="H266" s="2">
        <v>152</v>
      </c>
      <c r="I266" s="6">
        <v>19.38</v>
      </c>
      <c r="J266" s="4">
        <v>0.21238938053097345</v>
      </c>
      <c r="K266" s="10">
        <v>122</v>
      </c>
      <c r="L266" s="6">
        <v>20.313370044052864</v>
      </c>
      <c r="M266" s="6">
        <f t="shared" si="18"/>
        <v>2.2434589216794669</v>
      </c>
      <c r="O266">
        <v>225</v>
      </c>
      <c r="P266">
        <v>563</v>
      </c>
      <c r="Q266">
        <v>163</v>
      </c>
      <c r="R266" s="3">
        <v>14.12</v>
      </c>
      <c r="S266" s="9">
        <v>0.24670433145009416</v>
      </c>
      <c r="T266" s="11">
        <v>145</v>
      </c>
      <c r="U266" s="3">
        <v>15.128894643037293</v>
      </c>
      <c r="V266" s="3">
        <f t="shared" si="17"/>
        <v>1.9408291960145017</v>
      </c>
      <c r="W266" s="9"/>
      <c r="X266">
        <v>225</v>
      </c>
      <c r="Y266">
        <v>700</v>
      </c>
      <c r="Z266">
        <v>195</v>
      </c>
      <c r="AA266" s="3">
        <v>12.92</v>
      </c>
      <c r="AB266" s="9">
        <v>0.2440119760479042</v>
      </c>
      <c r="AD266" s="3">
        <v>12.92</v>
      </c>
      <c r="AE266" s="6">
        <f t="shared" si="19"/>
        <v>1.6393700598802396</v>
      </c>
      <c r="AG266" s="3">
        <f t="shared" si="20"/>
        <v>5.8236581775742087</v>
      </c>
    </row>
    <row r="267" spans="1:33" x14ac:dyDescent="0.25">
      <c r="A267" t="s">
        <v>47</v>
      </c>
      <c r="B267" t="s">
        <v>0</v>
      </c>
      <c r="C267">
        <v>64</v>
      </c>
      <c r="D267">
        <v>226</v>
      </c>
      <c r="E267" s="2">
        <v>20</v>
      </c>
      <c r="F267" t="s">
        <v>28</v>
      </c>
      <c r="I267" s="6">
        <v>14.3</v>
      </c>
      <c r="J267" s="4">
        <v>0.21238938053097345</v>
      </c>
      <c r="K267" s="10">
        <v>132</v>
      </c>
      <c r="L267" s="6">
        <v>15.337077826725405</v>
      </c>
      <c r="M267" s="6">
        <f t="shared" si="18"/>
        <v>1.6938648785622397</v>
      </c>
      <c r="O267">
        <v>226</v>
      </c>
      <c r="R267" s="3">
        <v>12.2</v>
      </c>
      <c r="S267" s="9">
        <v>0.24670433145009416</v>
      </c>
      <c r="T267" s="11">
        <v>117</v>
      </c>
      <c r="U267" s="3">
        <v>12.958903050072299</v>
      </c>
      <c r="V267" s="3">
        <f t="shared" si="17"/>
        <v>1.6624491069132299</v>
      </c>
      <c r="W267" s="9"/>
      <c r="X267">
        <v>226</v>
      </c>
      <c r="AA267" s="3">
        <v>9.5</v>
      </c>
      <c r="AB267" s="9">
        <v>0.2440119760479042</v>
      </c>
      <c r="AD267" s="3">
        <v>9.5</v>
      </c>
      <c r="AE267" s="6">
        <f t="shared" si="19"/>
        <v>1.2054191616766468</v>
      </c>
      <c r="AG267" s="3">
        <f t="shared" si="20"/>
        <v>4.5617331471521165</v>
      </c>
    </row>
    <row r="268" spans="1:33" x14ac:dyDescent="0.25">
      <c r="A268" t="s">
        <v>47</v>
      </c>
      <c r="B268" t="s">
        <v>0</v>
      </c>
      <c r="C268">
        <v>64</v>
      </c>
      <c r="D268">
        <v>227</v>
      </c>
      <c r="E268" s="2">
        <v>13</v>
      </c>
      <c r="F268" t="s">
        <v>24</v>
      </c>
      <c r="I268" s="6">
        <v>17.079999999999998</v>
      </c>
      <c r="J268" s="4">
        <v>0.21238938053097345</v>
      </c>
      <c r="K268" s="10">
        <v>125</v>
      </c>
      <c r="L268" s="6">
        <v>18.044482378854624</v>
      </c>
      <c r="M268" s="6">
        <f t="shared" si="18"/>
        <v>1.99287734591244</v>
      </c>
      <c r="O268">
        <v>227</v>
      </c>
      <c r="R268" s="3">
        <v>13.88</v>
      </c>
      <c r="S268" s="9">
        <v>0.24670433145009416</v>
      </c>
      <c r="T268" s="11">
        <v>125</v>
      </c>
      <c r="U268" s="3">
        <v>14.710329219490871</v>
      </c>
      <c r="V268" s="3">
        <f t="shared" si="17"/>
        <v>1.8871330064627461</v>
      </c>
      <c r="W268" s="9"/>
      <c r="X268">
        <v>227</v>
      </c>
      <c r="AA268" s="3">
        <v>10.24</v>
      </c>
      <c r="AB268" s="9">
        <v>0.2440119760479042</v>
      </c>
      <c r="AD268" s="3">
        <v>10.24</v>
      </c>
      <c r="AE268" s="6">
        <f t="shared" si="19"/>
        <v>1.2993149700598803</v>
      </c>
      <c r="AG268" s="3">
        <f t="shared" si="20"/>
        <v>5.1793253224350666</v>
      </c>
    </row>
    <row r="269" spans="1:33" x14ac:dyDescent="0.25">
      <c r="A269" t="s">
        <v>47</v>
      </c>
      <c r="B269" t="s">
        <v>0</v>
      </c>
      <c r="C269">
        <v>64</v>
      </c>
      <c r="D269">
        <v>228</v>
      </c>
      <c r="E269" s="2">
        <v>32</v>
      </c>
      <c r="F269" t="s">
        <v>30</v>
      </c>
      <c r="I269" s="6">
        <v>13.58</v>
      </c>
      <c r="J269" s="4">
        <v>0.21238938053097345</v>
      </c>
      <c r="K269" s="10">
        <v>117</v>
      </c>
      <c r="L269" s="6">
        <v>14.461516152716593</v>
      </c>
      <c r="M269" s="6">
        <f t="shared" si="18"/>
        <v>1.5971656777513545</v>
      </c>
      <c r="O269">
        <v>228</v>
      </c>
      <c r="R269" s="3">
        <v>11.44</v>
      </c>
      <c r="S269" s="9">
        <v>0.24670433145009416</v>
      </c>
      <c r="T269" s="11">
        <v>162</v>
      </c>
      <c r="U269" s="3">
        <v>12.600675253051753</v>
      </c>
      <c r="V269" s="3">
        <f t="shared" si="17"/>
        <v>1.6164934053444169</v>
      </c>
      <c r="W269" s="9"/>
      <c r="X269">
        <v>228</v>
      </c>
      <c r="AA269" s="3">
        <v>8.8800000000000008</v>
      </c>
      <c r="AB269" s="9">
        <v>0.2440119760479042</v>
      </c>
      <c r="AD269" s="3">
        <v>8.8800000000000008</v>
      </c>
      <c r="AE269" s="6">
        <f t="shared" si="19"/>
        <v>1.1267497005988028</v>
      </c>
      <c r="AG269" s="3">
        <f t="shared" si="20"/>
        <v>4.3404087836945742</v>
      </c>
    </row>
    <row r="270" spans="1:33" x14ac:dyDescent="0.25">
      <c r="A270" t="s">
        <v>47</v>
      </c>
      <c r="B270" t="s">
        <v>0</v>
      </c>
      <c r="C270">
        <v>64</v>
      </c>
      <c r="D270">
        <v>229</v>
      </c>
      <c r="E270" s="2">
        <v>19</v>
      </c>
      <c r="F270" t="s">
        <v>10</v>
      </c>
      <c r="G270" s="2">
        <v>704</v>
      </c>
      <c r="H270" s="2">
        <v>166</v>
      </c>
      <c r="I270" s="6">
        <v>19.059999999999999</v>
      </c>
      <c r="J270" s="4">
        <v>0.19940476190476192</v>
      </c>
      <c r="K270" s="10">
        <v>107</v>
      </c>
      <c r="L270" s="6">
        <v>19.888456834768885</v>
      </c>
      <c r="M270" s="6">
        <f t="shared" si="18"/>
        <v>2.0622435598909168</v>
      </c>
      <c r="O270">
        <v>229</v>
      </c>
      <c r="P270">
        <v>731</v>
      </c>
      <c r="Q270">
        <v>208</v>
      </c>
      <c r="R270" s="3">
        <v>15.12</v>
      </c>
      <c r="S270" s="9">
        <v>0.25178826895565093</v>
      </c>
      <c r="T270" s="11">
        <v>127</v>
      </c>
      <c r="U270" s="3">
        <v>15.95105977172607</v>
      </c>
      <c r="V270" s="3">
        <f t="shared" si="17"/>
        <v>2.0884706585241344</v>
      </c>
      <c r="W270" s="9"/>
      <c r="X270">
        <v>229</v>
      </c>
      <c r="Y270">
        <v>789</v>
      </c>
      <c r="Z270">
        <v>216</v>
      </c>
      <c r="AA270" s="3">
        <v>11.04</v>
      </c>
      <c r="AB270" s="9">
        <v>0.24306472919418759</v>
      </c>
      <c r="AD270" s="3">
        <v>11.04</v>
      </c>
      <c r="AE270" s="6">
        <f t="shared" si="19"/>
        <v>1.3953859973579921</v>
      </c>
      <c r="AG270" s="3">
        <f t="shared" si="20"/>
        <v>5.546100215773043</v>
      </c>
    </row>
    <row r="271" spans="1:33" x14ac:dyDescent="0.25">
      <c r="A271" t="s">
        <v>47</v>
      </c>
      <c r="B271" t="s">
        <v>0</v>
      </c>
      <c r="C271">
        <v>64</v>
      </c>
      <c r="D271">
        <v>230</v>
      </c>
      <c r="E271" s="2">
        <v>23</v>
      </c>
      <c r="F271" t="s">
        <v>36</v>
      </c>
      <c r="I271" s="6">
        <v>15.76</v>
      </c>
      <c r="J271" s="4">
        <v>0.19940476190476192</v>
      </c>
      <c r="K271" s="10">
        <v>124</v>
      </c>
      <c r="L271" s="6">
        <v>16.776240383983168</v>
      </c>
      <c r="M271" s="6">
        <f t="shared" si="18"/>
        <v>1.739536354101112</v>
      </c>
      <c r="O271">
        <v>230</v>
      </c>
      <c r="R271" s="3">
        <v>12.16</v>
      </c>
      <c r="S271" s="9">
        <v>0.25178826895565093</v>
      </c>
      <c r="T271" s="11">
        <v>165</v>
      </c>
      <c r="U271" s="3">
        <v>13.3234836804165</v>
      </c>
      <c r="V271" s="3">
        <f t="shared" si="17"/>
        <v>1.7444423840224865</v>
      </c>
      <c r="W271" s="9"/>
      <c r="X271">
        <v>230</v>
      </c>
      <c r="AA271" s="3">
        <v>10.82</v>
      </c>
      <c r="AB271" s="9">
        <v>0.24306472919418759</v>
      </c>
      <c r="AD271" s="3">
        <v>10.82</v>
      </c>
      <c r="AE271" s="6">
        <f t="shared" si="19"/>
        <v>1.3675793923381772</v>
      </c>
      <c r="AG271" s="3">
        <f t="shared" si="20"/>
        <v>4.8515581304617754</v>
      </c>
    </row>
    <row r="272" spans="1:33" x14ac:dyDescent="0.25">
      <c r="A272" t="s">
        <v>47</v>
      </c>
      <c r="B272" t="s">
        <v>0</v>
      </c>
      <c r="C272">
        <v>64</v>
      </c>
      <c r="D272">
        <v>231</v>
      </c>
      <c r="E272" s="2">
        <v>7</v>
      </c>
      <c r="F272" t="s">
        <v>16</v>
      </c>
      <c r="I272" s="6">
        <v>15.74</v>
      </c>
      <c r="J272" s="4">
        <v>0.19940476190476192</v>
      </c>
      <c r="K272" s="10">
        <v>132</v>
      </c>
      <c r="L272" s="6">
        <v>16.844609113025182</v>
      </c>
      <c r="M272" s="6">
        <f t="shared" si="18"/>
        <v>1.7466255401720161</v>
      </c>
      <c r="O272">
        <v>231</v>
      </c>
      <c r="R272" s="3">
        <v>13.12</v>
      </c>
      <c r="S272" s="9">
        <v>0.25178826895565093</v>
      </c>
      <c r="T272" s="11">
        <v>133</v>
      </c>
      <c r="U272" s="3">
        <v>14.00354775730877</v>
      </c>
      <c r="V272" s="3">
        <f t="shared" si="17"/>
        <v>1.8334831055062928</v>
      </c>
      <c r="W272" s="9"/>
      <c r="X272">
        <v>231</v>
      </c>
      <c r="AA272" s="3">
        <v>9.9</v>
      </c>
      <c r="AB272" s="9">
        <v>0.24306472919418759</v>
      </c>
      <c r="AC272">
        <v>84</v>
      </c>
      <c r="AD272" s="3">
        <v>10.37</v>
      </c>
      <c r="AE272" s="6">
        <f t="shared" si="19"/>
        <v>1.310702245706737</v>
      </c>
      <c r="AG272" s="3">
        <f t="shared" si="20"/>
        <v>4.8908108913850459</v>
      </c>
    </row>
    <row r="273" spans="1:33" x14ac:dyDescent="0.25">
      <c r="A273" t="s">
        <v>47</v>
      </c>
      <c r="B273" t="s">
        <v>0</v>
      </c>
      <c r="C273">
        <v>64</v>
      </c>
      <c r="D273">
        <v>232</v>
      </c>
      <c r="E273" s="2">
        <v>35</v>
      </c>
      <c r="F273" t="s">
        <v>26</v>
      </c>
      <c r="I273" s="6">
        <v>18.5</v>
      </c>
      <c r="J273" s="4">
        <v>0.19940476190476192</v>
      </c>
      <c r="K273" s="10">
        <v>93</v>
      </c>
      <c r="L273" s="6">
        <v>19.17381155894536</v>
      </c>
      <c r="M273" s="6">
        <f t="shared" si="18"/>
        <v>1.9881416509335013</v>
      </c>
      <c r="O273">
        <v>232</v>
      </c>
      <c r="R273" s="3">
        <v>14.26</v>
      </c>
      <c r="S273" s="9">
        <v>0.25178826895565093</v>
      </c>
      <c r="T273" s="11">
        <v>122</v>
      </c>
      <c r="U273" s="3">
        <v>15.047319783740488</v>
      </c>
      <c r="V273" s="3">
        <f t="shared" si="17"/>
        <v>1.9701440724004713</v>
      </c>
      <c r="W273" s="9"/>
      <c r="X273">
        <v>232</v>
      </c>
      <c r="AA273" s="3">
        <v>11.72</v>
      </c>
      <c r="AB273" s="9">
        <v>0.24306472919418759</v>
      </c>
      <c r="AD273" s="3">
        <v>11.72</v>
      </c>
      <c r="AE273" s="6">
        <f t="shared" si="19"/>
        <v>1.4813336856010568</v>
      </c>
      <c r="AG273" s="3">
        <f t="shared" si="20"/>
        <v>5.4396194089350294</v>
      </c>
    </row>
    <row r="274" spans="1:33" x14ac:dyDescent="0.25">
      <c r="A274" t="s">
        <v>47</v>
      </c>
      <c r="B274" t="s">
        <v>0</v>
      </c>
      <c r="C274">
        <v>64</v>
      </c>
      <c r="D274">
        <v>233</v>
      </c>
      <c r="E274" s="2">
        <v>9</v>
      </c>
      <c r="F274" t="s">
        <v>19</v>
      </c>
      <c r="G274" s="2">
        <v>870</v>
      </c>
      <c r="H274" s="2">
        <v>225</v>
      </c>
      <c r="I274" s="6">
        <v>16.54</v>
      </c>
      <c r="J274" s="4">
        <v>0.23031026252983294</v>
      </c>
      <c r="K274" s="10">
        <v>117</v>
      </c>
      <c r="L274" s="6">
        <v>17.352923694962453</v>
      </c>
      <c r="M274" s="6">
        <f t="shared" si="18"/>
        <v>2.07820933416042</v>
      </c>
      <c r="O274">
        <v>233</v>
      </c>
      <c r="P274">
        <v>795</v>
      </c>
      <c r="Q274">
        <v>223</v>
      </c>
      <c r="R274" s="3">
        <v>11.14</v>
      </c>
      <c r="S274" s="9">
        <v>0.25032765399737877</v>
      </c>
      <c r="T274" s="11">
        <v>148</v>
      </c>
      <c r="U274" s="3">
        <v>12.160688700786494</v>
      </c>
      <c r="V274" s="3">
        <f t="shared" si="17"/>
        <v>1.582961470199364</v>
      </c>
      <c r="W274" s="9"/>
      <c r="X274">
        <v>233</v>
      </c>
      <c r="Y274">
        <v>748</v>
      </c>
      <c r="Z274">
        <v>204</v>
      </c>
      <c r="AA274" s="3">
        <v>9</v>
      </c>
      <c r="AB274" s="9">
        <v>0.24022346368715083</v>
      </c>
      <c r="AC274">
        <v>81</v>
      </c>
      <c r="AD274" s="3">
        <v>9.4499999999999993</v>
      </c>
      <c r="AE274" s="6">
        <f t="shared" si="19"/>
        <v>1.1804581005586592</v>
      </c>
      <c r="AG274" s="3">
        <f t="shared" si="20"/>
        <v>4.8416289049184433</v>
      </c>
    </row>
    <row r="275" spans="1:33" x14ac:dyDescent="0.25">
      <c r="A275" t="s">
        <v>47</v>
      </c>
      <c r="B275" t="s">
        <v>0</v>
      </c>
      <c r="C275">
        <v>64</v>
      </c>
      <c r="D275">
        <v>234</v>
      </c>
      <c r="E275" s="2">
        <v>15</v>
      </c>
      <c r="F275" t="s">
        <v>20</v>
      </c>
      <c r="I275" s="6">
        <v>16.04</v>
      </c>
      <c r="J275" s="4">
        <v>0.23031026252983294</v>
      </c>
      <c r="K275" s="10">
        <v>114</v>
      </c>
      <c r="L275" s="6">
        <v>16.824232270434365</v>
      </c>
      <c r="M275" s="6">
        <f t="shared" si="18"/>
        <v>2.0148925425546453</v>
      </c>
      <c r="O275">
        <v>234</v>
      </c>
      <c r="R275" s="3">
        <v>12.98</v>
      </c>
      <c r="S275" s="9">
        <v>0.25032765399737877</v>
      </c>
      <c r="T275" s="11">
        <v>93</v>
      </c>
      <c r="U275" s="3">
        <v>13.516741471965311</v>
      </c>
      <c r="V275" s="3">
        <f t="shared" si="17"/>
        <v>1.7594793748303994</v>
      </c>
      <c r="W275" s="9"/>
      <c r="X275">
        <v>234</v>
      </c>
      <c r="AA275" s="3">
        <v>11.42</v>
      </c>
      <c r="AB275" s="9">
        <v>0.24022346368715083</v>
      </c>
      <c r="AD275" s="3">
        <v>11.42</v>
      </c>
      <c r="AE275" s="6">
        <f t="shared" si="19"/>
        <v>1.4265430167597766</v>
      </c>
      <c r="AG275" s="3">
        <f t="shared" si="20"/>
        <v>5.2009149341448211</v>
      </c>
    </row>
    <row r="276" spans="1:33" x14ac:dyDescent="0.25">
      <c r="A276" t="s">
        <v>47</v>
      </c>
      <c r="B276" t="s">
        <v>0</v>
      </c>
      <c r="C276">
        <v>64</v>
      </c>
      <c r="D276">
        <v>235</v>
      </c>
      <c r="E276" s="2">
        <v>26</v>
      </c>
      <c r="F276" t="s">
        <v>21</v>
      </c>
      <c r="I276" s="6">
        <v>17.52</v>
      </c>
      <c r="J276" s="4">
        <v>0.23031026252983294</v>
      </c>
      <c r="K276" s="10">
        <v>127</v>
      </c>
      <c r="L276" s="6">
        <v>18.428561776722741</v>
      </c>
      <c r="M276" s="6">
        <f t="shared" si="18"/>
        <v>2.207029188439015</v>
      </c>
      <c r="O276">
        <v>235</v>
      </c>
      <c r="R276" s="3">
        <v>10.44</v>
      </c>
      <c r="S276" s="9">
        <v>0.25032765399737877</v>
      </c>
      <c r="T276" s="11">
        <v>141</v>
      </c>
      <c r="U276" s="3">
        <v>11.399095417118343</v>
      </c>
      <c r="V276" s="3">
        <f t="shared" si="17"/>
        <v>1.4838245829989434</v>
      </c>
      <c r="W276" s="9"/>
      <c r="X276">
        <v>235</v>
      </c>
      <c r="AA276" s="3">
        <v>9.48</v>
      </c>
      <c r="AB276" s="9">
        <v>0.24022346368715083</v>
      </c>
      <c r="AD276" s="3">
        <v>9.48</v>
      </c>
      <c r="AE276" s="6">
        <f t="shared" si="19"/>
        <v>1.1842055865921788</v>
      </c>
      <c r="AG276" s="3">
        <f t="shared" si="20"/>
        <v>4.8750593580301373</v>
      </c>
    </row>
    <row r="277" spans="1:33" x14ac:dyDescent="0.25">
      <c r="A277" t="s">
        <v>47</v>
      </c>
      <c r="B277" t="s">
        <v>0</v>
      </c>
      <c r="C277">
        <v>64</v>
      </c>
      <c r="D277">
        <v>236</v>
      </c>
      <c r="E277" s="2">
        <v>8</v>
      </c>
      <c r="F277" t="s">
        <v>31</v>
      </c>
      <c r="I277" s="6">
        <v>17.8</v>
      </c>
      <c r="J277" s="4">
        <v>0.23031026252983294</v>
      </c>
      <c r="K277" s="10">
        <v>119</v>
      </c>
      <c r="L277" s="6">
        <v>18.632051311314509</v>
      </c>
      <c r="M277" s="6">
        <f t="shared" si="18"/>
        <v>2.2313993670686445</v>
      </c>
      <c r="O277">
        <v>236</v>
      </c>
      <c r="R277" s="3">
        <v>13.48</v>
      </c>
      <c r="S277" s="9">
        <v>0.25032765399737877</v>
      </c>
      <c r="T277" s="11">
        <v>112</v>
      </c>
      <c r="U277" s="3">
        <v>14.18392324192172</v>
      </c>
      <c r="V277" s="3">
        <f t="shared" si="17"/>
        <v>1.8463266794071629</v>
      </c>
      <c r="W277" s="9"/>
      <c r="X277">
        <v>236</v>
      </c>
      <c r="AA277" s="3">
        <v>9.7799999999999994</v>
      </c>
      <c r="AB277" s="9">
        <v>0.24022346368715083</v>
      </c>
      <c r="AC277">
        <v>83</v>
      </c>
      <c r="AD277" s="3">
        <v>10.25</v>
      </c>
      <c r="AE277" s="6">
        <f t="shared" si="19"/>
        <v>1.280391061452514</v>
      </c>
      <c r="AG277" s="3">
        <f t="shared" si="20"/>
        <v>5.3581171079283214</v>
      </c>
    </row>
    <row r="278" spans="1:33" x14ac:dyDescent="0.25">
      <c r="A278" t="s">
        <v>47</v>
      </c>
      <c r="B278" t="s">
        <v>0</v>
      </c>
      <c r="C278">
        <v>64</v>
      </c>
      <c r="D278">
        <v>237</v>
      </c>
      <c r="E278" s="2">
        <v>33</v>
      </c>
      <c r="F278" t="s">
        <v>23</v>
      </c>
      <c r="G278" s="2">
        <v>753</v>
      </c>
      <c r="H278" s="2">
        <v>186</v>
      </c>
      <c r="I278" s="6">
        <v>18.82</v>
      </c>
      <c r="J278" s="4">
        <v>0.21359223300970873</v>
      </c>
      <c r="K278" s="10">
        <v>128</v>
      </c>
      <c r="L278" s="6">
        <v>19.809987985582701</v>
      </c>
      <c r="M278" s="6">
        <f t="shared" si="18"/>
        <v>2.2002549762627774</v>
      </c>
      <c r="O278">
        <v>237</v>
      </c>
      <c r="P278">
        <v>852</v>
      </c>
      <c r="Q278">
        <v>234</v>
      </c>
      <c r="R278" s="3">
        <v>13.48</v>
      </c>
      <c r="S278" s="9">
        <v>0.24634146341463414</v>
      </c>
      <c r="T278" s="11">
        <v>134</v>
      </c>
      <c r="U278" s="3">
        <v>14.392025123217168</v>
      </c>
      <c r="V278" s="3">
        <f t="shared" si="17"/>
        <v>1.8435833157838186</v>
      </c>
      <c r="W278" s="9"/>
      <c r="X278">
        <v>237</v>
      </c>
      <c r="Y278">
        <v>631</v>
      </c>
      <c r="Z278">
        <v>174</v>
      </c>
      <c r="AA278" s="3">
        <v>10.46</v>
      </c>
      <c r="AB278" s="9">
        <v>0.23706176961602671</v>
      </c>
      <c r="AD278" s="3">
        <v>10.46</v>
      </c>
      <c r="AE278" s="6">
        <f t="shared" si="19"/>
        <v>1.2894263772954926</v>
      </c>
      <c r="AG278" s="3">
        <f t="shared" si="20"/>
        <v>5.3332646693420882</v>
      </c>
    </row>
    <row r="279" spans="1:33" x14ac:dyDescent="0.25">
      <c r="A279" t="s">
        <v>47</v>
      </c>
      <c r="B279" t="s">
        <v>0</v>
      </c>
      <c r="C279">
        <v>64</v>
      </c>
      <c r="D279">
        <v>238</v>
      </c>
      <c r="E279" s="2">
        <v>12</v>
      </c>
      <c r="F279" t="s">
        <v>33</v>
      </c>
      <c r="I279" s="6">
        <v>16.48</v>
      </c>
      <c r="J279" s="4">
        <v>0.21359223300970873</v>
      </c>
      <c r="K279" s="10">
        <v>172</v>
      </c>
      <c r="L279" s="6">
        <v>17.92373247897477</v>
      </c>
      <c r="M279" s="6">
        <f t="shared" si="18"/>
        <v>1.9907524229074889</v>
      </c>
      <c r="O279">
        <v>238</v>
      </c>
      <c r="R279" s="3">
        <v>12.76</v>
      </c>
      <c r="S279" s="9">
        <v>0.24634146341463414</v>
      </c>
      <c r="T279" s="11">
        <v>142</v>
      </c>
      <c r="U279" s="3">
        <v>13.743556505430279</v>
      </c>
      <c r="V279" s="3">
        <f t="shared" si="17"/>
        <v>1.7605160674760933</v>
      </c>
      <c r="W279" s="9"/>
      <c r="X279">
        <v>238</v>
      </c>
      <c r="AA279" s="3">
        <v>9.6199999999999992</v>
      </c>
      <c r="AB279" s="9">
        <v>0.23706176961602671</v>
      </c>
      <c r="AC279">
        <v>83</v>
      </c>
      <c r="AD279" s="3">
        <v>10.09</v>
      </c>
      <c r="AE279" s="6">
        <f t="shared" si="19"/>
        <v>1.2438156928213691</v>
      </c>
      <c r="AG279" s="3">
        <f t="shared" si="20"/>
        <v>4.9950841832049511</v>
      </c>
    </row>
    <row r="280" spans="1:33" x14ac:dyDescent="0.25">
      <c r="A280" t="s">
        <v>47</v>
      </c>
      <c r="B280" t="s">
        <v>0</v>
      </c>
      <c r="C280">
        <v>64</v>
      </c>
      <c r="D280">
        <v>239</v>
      </c>
      <c r="E280" s="2">
        <v>3</v>
      </c>
      <c r="F280" t="s">
        <v>3</v>
      </c>
      <c r="I280" s="6">
        <v>13.1</v>
      </c>
      <c r="J280" s="4">
        <v>0.21359223300970873</v>
      </c>
      <c r="K280" s="10">
        <v>124</v>
      </c>
      <c r="L280" s="6">
        <v>14.048738486183419</v>
      </c>
      <c r="M280" s="6">
        <f t="shared" si="18"/>
        <v>1.5603647406013428</v>
      </c>
      <c r="O280">
        <v>239</v>
      </c>
      <c r="R280" s="3">
        <v>9.6199999999999992</v>
      </c>
      <c r="S280" s="9">
        <v>0.24634146341463414</v>
      </c>
      <c r="T280" s="11">
        <v>131</v>
      </c>
      <c r="U280" s="3">
        <v>10.505200854887249</v>
      </c>
      <c r="V280" s="3">
        <f t="shared" si="17"/>
        <v>1.3456906070699473</v>
      </c>
      <c r="W280" s="9"/>
      <c r="X280">
        <v>239</v>
      </c>
      <c r="AA280" s="3">
        <v>8.66</v>
      </c>
      <c r="AB280" s="9">
        <v>0.23706176961602671</v>
      </c>
      <c r="AD280" s="3">
        <v>8.66</v>
      </c>
      <c r="AE280" s="6">
        <f t="shared" si="19"/>
        <v>1.0675365609348915</v>
      </c>
      <c r="AG280" s="3">
        <f t="shared" si="20"/>
        <v>3.9735919086061817</v>
      </c>
    </row>
    <row r="281" spans="1:33" x14ac:dyDescent="0.25">
      <c r="A281" t="s">
        <v>47</v>
      </c>
      <c r="B281" t="s">
        <v>0</v>
      </c>
      <c r="C281">
        <v>64</v>
      </c>
      <c r="D281">
        <v>240</v>
      </c>
      <c r="E281" s="2">
        <v>5</v>
      </c>
      <c r="F281" t="s">
        <v>5</v>
      </c>
      <c r="I281" s="6">
        <v>16.46</v>
      </c>
      <c r="J281" s="4">
        <v>0.21359223300970873</v>
      </c>
      <c r="K281" s="10">
        <v>102</v>
      </c>
      <c r="L281" s="6">
        <v>17.181866239487384</v>
      </c>
      <c r="M281" s="6">
        <f t="shared" si="18"/>
        <v>1.9083548522304432</v>
      </c>
      <c r="O281">
        <v>240</v>
      </c>
      <c r="R281" s="3">
        <v>13.42</v>
      </c>
      <c r="S281" s="9">
        <v>0.24634146341463414</v>
      </c>
      <c r="T281" s="11">
        <v>174</v>
      </c>
      <c r="U281" s="3">
        <v>14.689682034282724</v>
      </c>
      <c r="V281" s="3">
        <f t="shared" si="17"/>
        <v>1.8817124400988503</v>
      </c>
      <c r="W281" s="9"/>
      <c r="X281">
        <v>240</v>
      </c>
      <c r="AA281" s="3">
        <v>9.7200000000000006</v>
      </c>
      <c r="AB281" s="9">
        <v>0.23706176961602671</v>
      </c>
      <c r="AD281" s="3">
        <v>9.7200000000000006</v>
      </c>
      <c r="AE281" s="6">
        <f t="shared" si="19"/>
        <v>1.1982050083472455</v>
      </c>
      <c r="AG281" s="3">
        <f t="shared" si="20"/>
        <v>4.988272300676539</v>
      </c>
    </row>
    <row r="282" spans="1:33" x14ac:dyDescent="0.25">
      <c r="A282" t="s">
        <v>47</v>
      </c>
      <c r="B282" t="s">
        <v>0</v>
      </c>
      <c r="C282">
        <v>64</v>
      </c>
      <c r="D282">
        <v>241</v>
      </c>
      <c r="E282" s="2">
        <v>10</v>
      </c>
      <c r="F282" t="s">
        <v>35</v>
      </c>
      <c r="G282" s="2">
        <v>487</v>
      </c>
      <c r="H282" s="2">
        <v>127</v>
      </c>
      <c r="I282" s="6">
        <v>14.5</v>
      </c>
      <c r="J282" s="4">
        <v>0.2087912087912088</v>
      </c>
      <c r="K282" s="10">
        <v>87</v>
      </c>
      <c r="L282" s="6">
        <v>15.08022258288894</v>
      </c>
      <c r="M282" s="6">
        <f t="shared" si="18"/>
        <v>1.6372813089993707</v>
      </c>
      <c r="O282">
        <v>241</v>
      </c>
      <c r="P282">
        <v>536</v>
      </c>
      <c r="Q282">
        <v>163</v>
      </c>
      <c r="R282" s="3">
        <v>10.56</v>
      </c>
      <c r="S282" s="9">
        <v>0.25992063492063494</v>
      </c>
      <c r="T282" s="11">
        <v>94</v>
      </c>
      <c r="U282" s="3">
        <v>11.085406059790834</v>
      </c>
      <c r="V282" s="3">
        <f t="shared" si="17"/>
        <v>1.4982894063352217</v>
      </c>
      <c r="W282" s="9"/>
      <c r="X282">
        <v>241</v>
      </c>
      <c r="Y282">
        <v>776</v>
      </c>
      <c r="Z282">
        <v>209</v>
      </c>
      <c r="AA282" s="3">
        <v>9.44</v>
      </c>
      <c r="AB282" s="9">
        <v>0.23790322580645162</v>
      </c>
      <c r="AC282">
        <v>85</v>
      </c>
      <c r="AD282" s="3">
        <v>9.93</v>
      </c>
      <c r="AE282" s="6">
        <f t="shared" si="19"/>
        <v>1.2284370967741935</v>
      </c>
      <c r="AG282" s="3">
        <f t="shared" si="20"/>
        <v>4.3640078121087864</v>
      </c>
    </row>
    <row r="283" spans="1:33" x14ac:dyDescent="0.25">
      <c r="A283" t="s">
        <v>47</v>
      </c>
      <c r="B283" t="s">
        <v>0</v>
      </c>
      <c r="C283">
        <v>64</v>
      </c>
      <c r="D283">
        <v>242</v>
      </c>
      <c r="E283" s="2">
        <v>29</v>
      </c>
      <c r="F283" t="s">
        <v>11</v>
      </c>
      <c r="I283" s="6">
        <v>15.7</v>
      </c>
      <c r="J283" s="4">
        <v>0.2087912087912088</v>
      </c>
      <c r="K283" s="10">
        <v>151</v>
      </c>
      <c r="L283" s="6">
        <v>16.955390679341527</v>
      </c>
      <c r="M283" s="6">
        <f t="shared" si="18"/>
        <v>1.8408709880427945</v>
      </c>
      <c r="O283">
        <v>242</v>
      </c>
      <c r="R283" s="3">
        <v>13.48</v>
      </c>
      <c r="S283" s="9">
        <v>0.25992063492063494</v>
      </c>
      <c r="T283" s="11">
        <v>122</v>
      </c>
      <c r="U283" s="3">
        <v>14.242686215825403</v>
      </c>
      <c r="V283" s="3">
        <f t="shared" si="17"/>
        <v>1.9250233829802115</v>
      </c>
      <c r="W283" s="9"/>
      <c r="X283">
        <v>242</v>
      </c>
      <c r="AA283" s="3">
        <v>8.98</v>
      </c>
      <c r="AB283" s="9">
        <v>0.23790322580645162</v>
      </c>
      <c r="AD283" s="3">
        <v>8.98</v>
      </c>
      <c r="AE283" s="6">
        <f t="shared" si="19"/>
        <v>1.1109129032258067</v>
      </c>
      <c r="AG283" s="3">
        <f t="shared" si="20"/>
        <v>4.8768072742488124</v>
      </c>
    </row>
    <row r="284" spans="1:33" x14ac:dyDescent="0.25">
      <c r="A284" t="s">
        <v>47</v>
      </c>
      <c r="B284" t="s">
        <v>0</v>
      </c>
      <c r="C284">
        <v>64</v>
      </c>
      <c r="D284">
        <v>243</v>
      </c>
      <c r="E284" s="2">
        <v>17</v>
      </c>
      <c r="F284" t="s">
        <v>17</v>
      </c>
      <c r="I284" s="6">
        <v>16.3</v>
      </c>
      <c r="J284" s="4">
        <v>0.2087912087912088</v>
      </c>
      <c r="K284" s="10">
        <v>111</v>
      </c>
      <c r="L284" s="6">
        <v>17.133410619058662</v>
      </c>
      <c r="M284" s="6">
        <f t="shared" si="18"/>
        <v>1.8601988672120833</v>
      </c>
      <c r="O284">
        <v>243</v>
      </c>
      <c r="R284" s="3">
        <v>12.62</v>
      </c>
      <c r="S284" s="9">
        <v>0.25992063492063494</v>
      </c>
      <c r="T284" s="11">
        <v>150</v>
      </c>
      <c r="U284" s="3">
        <v>13.619966371859972</v>
      </c>
      <c r="V284" s="3">
        <f t="shared" si="17"/>
        <v>1.8408573596252011</v>
      </c>
      <c r="W284" s="9"/>
      <c r="X284">
        <v>243</v>
      </c>
      <c r="AA284" s="3">
        <v>9.4600000000000009</v>
      </c>
      <c r="AB284" s="9">
        <v>0.23790322580645162</v>
      </c>
      <c r="AD284" s="3">
        <v>9.4600000000000009</v>
      </c>
      <c r="AE284" s="6">
        <f t="shared" si="19"/>
        <v>1.1702935483870971</v>
      </c>
      <c r="AG284" s="3">
        <f t="shared" si="20"/>
        <v>4.8713497752243811</v>
      </c>
    </row>
    <row r="285" spans="1:33" x14ac:dyDescent="0.25">
      <c r="A285" t="s">
        <v>47</v>
      </c>
      <c r="B285" t="s">
        <v>0</v>
      </c>
      <c r="C285">
        <v>64</v>
      </c>
      <c r="D285">
        <v>244</v>
      </c>
      <c r="E285" s="2">
        <v>31</v>
      </c>
      <c r="F285" t="s">
        <v>29</v>
      </c>
      <c r="I285" s="6">
        <v>17.82</v>
      </c>
      <c r="J285" s="4">
        <v>0.2087912087912088</v>
      </c>
      <c r="K285" s="10">
        <v>126</v>
      </c>
      <c r="L285" s="6">
        <v>18.811653141664735</v>
      </c>
      <c r="M285" s="6">
        <f t="shared" si="18"/>
        <v>2.0424080553807427</v>
      </c>
      <c r="O285">
        <v>244</v>
      </c>
      <c r="R285" s="3">
        <v>13.88</v>
      </c>
      <c r="S285" s="9">
        <v>0.25992063492063494</v>
      </c>
      <c r="T285" s="11">
        <v>116</v>
      </c>
      <c r="U285" s="3">
        <v>14.59184046810371</v>
      </c>
      <c r="V285" s="3">
        <f t="shared" si="17"/>
        <v>1.9722146283476685</v>
      </c>
      <c r="W285" s="9"/>
      <c r="X285">
        <v>244</v>
      </c>
      <c r="AA285" s="3">
        <v>12.84</v>
      </c>
      <c r="AB285" s="9">
        <v>0.23790322580645162</v>
      </c>
      <c r="AD285" s="3">
        <v>12.84</v>
      </c>
      <c r="AE285" s="6">
        <f t="shared" si="19"/>
        <v>1.5884322580645163</v>
      </c>
      <c r="AG285" s="3">
        <f t="shared" si="20"/>
        <v>5.6030549417929274</v>
      </c>
    </row>
    <row r="286" spans="1:33" x14ac:dyDescent="0.25">
      <c r="A286" t="s">
        <v>47</v>
      </c>
      <c r="B286" t="s">
        <v>0</v>
      </c>
      <c r="C286">
        <v>64</v>
      </c>
      <c r="D286">
        <v>245</v>
      </c>
      <c r="E286" s="2">
        <v>4</v>
      </c>
      <c r="F286" t="s">
        <v>2</v>
      </c>
      <c r="G286" s="2">
        <v>637</v>
      </c>
      <c r="H286" s="2">
        <v>165</v>
      </c>
      <c r="I286" s="6">
        <v>16.62</v>
      </c>
      <c r="J286" s="4">
        <v>0.21983471074380165</v>
      </c>
      <c r="K286" s="10">
        <v>74</v>
      </c>
      <c r="L286" s="6">
        <v>17.04082077440297</v>
      </c>
      <c r="M286" s="6">
        <f t="shared" si="18"/>
        <v>1.9480052310044784</v>
      </c>
      <c r="O286">
        <v>245</v>
      </c>
      <c r="P286">
        <v>650</v>
      </c>
      <c r="Q286">
        <v>186</v>
      </c>
      <c r="R286" s="3">
        <v>11.12</v>
      </c>
      <c r="S286" s="9">
        <v>0.24919093851132687</v>
      </c>
      <c r="T286" s="11">
        <v>202</v>
      </c>
      <c r="U286" s="3">
        <v>12.622660335259454</v>
      </c>
      <c r="V286" s="3">
        <f t="shared" si="17"/>
        <v>1.6356353392355616</v>
      </c>
      <c r="W286" s="9"/>
      <c r="X286">
        <v>245</v>
      </c>
      <c r="Y286">
        <v>655</v>
      </c>
      <c r="Z286">
        <v>181</v>
      </c>
      <c r="AA286" s="3">
        <v>10.68</v>
      </c>
      <c r="AB286" s="9">
        <v>0.2391653290529695</v>
      </c>
      <c r="AD286" s="3">
        <v>10.68</v>
      </c>
      <c r="AE286" s="6">
        <f t="shared" si="19"/>
        <v>1.3282285714285715</v>
      </c>
      <c r="AG286" s="3">
        <f t="shared" si="20"/>
        <v>4.9118691416686113</v>
      </c>
    </row>
    <row r="287" spans="1:33" x14ac:dyDescent="0.25">
      <c r="A287" t="s">
        <v>47</v>
      </c>
      <c r="B287" t="s">
        <v>0</v>
      </c>
      <c r="C287">
        <v>64</v>
      </c>
      <c r="D287">
        <v>246</v>
      </c>
      <c r="E287" s="2">
        <v>36</v>
      </c>
      <c r="F287" t="s">
        <v>27</v>
      </c>
      <c r="I287" s="6">
        <v>20.12</v>
      </c>
      <c r="J287" s="4">
        <v>0.21983471074380165</v>
      </c>
      <c r="K287" s="10">
        <v>116</v>
      </c>
      <c r="L287" s="6">
        <v>20.961641548805936</v>
      </c>
      <c r="M287" s="6">
        <f t="shared" si="18"/>
        <v>2.3962101314304438</v>
      </c>
      <c r="O287">
        <v>246</v>
      </c>
      <c r="R287" s="3">
        <v>13.32</v>
      </c>
      <c r="S287" s="9">
        <v>0.24919093851132687</v>
      </c>
      <c r="T287" s="11">
        <v>175</v>
      </c>
      <c r="U287" s="3">
        <v>14.584002517306482</v>
      </c>
      <c r="V287" s="3">
        <f t="shared" si="17"/>
        <v>1.8897846627603612</v>
      </c>
      <c r="W287" s="9"/>
      <c r="X287">
        <v>246</v>
      </c>
      <c r="AA287" s="3">
        <v>10.84</v>
      </c>
      <c r="AB287" s="9">
        <v>0.2391653290529695</v>
      </c>
      <c r="AD287" s="3">
        <v>10.84</v>
      </c>
      <c r="AE287" s="6">
        <f t="shared" si="19"/>
        <v>1.3481271268057786</v>
      </c>
      <c r="AG287" s="3">
        <f t="shared" si="20"/>
        <v>5.6341219209965843</v>
      </c>
    </row>
    <row r="288" spans="1:33" x14ac:dyDescent="0.25">
      <c r="A288" t="s">
        <v>47</v>
      </c>
      <c r="B288" t="s">
        <v>0</v>
      </c>
      <c r="C288">
        <v>64</v>
      </c>
      <c r="D288">
        <v>247</v>
      </c>
      <c r="E288" s="2">
        <v>28</v>
      </c>
      <c r="F288" t="s">
        <v>13</v>
      </c>
      <c r="I288" s="6">
        <v>18.36</v>
      </c>
      <c r="J288" s="4">
        <v>0.21983471074380165</v>
      </c>
      <c r="K288" s="10">
        <v>142</v>
      </c>
      <c r="L288" s="6">
        <v>19.462149647245866</v>
      </c>
      <c r="M288" s="6">
        <f t="shared" si="18"/>
        <v>2.2247971398405357</v>
      </c>
      <c r="O288">
        <v>247</v>
      </c>
      <c r="R288" s="3">
        <v>12.46</v>
      </c>
      <c r="S288" s="9">
        <v>0.24919093851132687</v>
      </c>
      <c r="T288" s="11">
        <v>157</v>
      </c>
      <c r="U288" s="3">
        <v>13.564897305337835</v>
      </c>
      <c r="V288" s="3">
        <f t="shared" si="17"/>
        <v>1.7577297349699901</v>
      </c>
      <c r="W288" s="9"/>
      <c r="X288">
        <v>247</v>
      </c>
      <c r="AA288" s="3">
        <v>11.26</v>
      </c>
      <c r="AB288" s="9">
        <v>0.2391653290529695</v>
      </c>
      <c r="AD288" s="3">
        <v>11.26</v>
      </c>
      <c r="AE288" s="6">
        <f t="shared" si="19"/>
        <v>1.4003608346709471</v>
      </c>
      <c r="AG288" s="3">
        <f t="shared" si="20"/>
        <v>5.3828877094814729</v>
      </c>
    </row>
    <row r="289" spans="1:33" x14ac:dyDescent="0.25">
      <c r="A289" t="s">
        <v>47</v>
      </c>
      <c r="B289" t="s">
        <v>0</v>
      </c>
      <c r="C289">
        <v>64</v>
      </c>
      <c r="D289">
        <v>248</v>
      </c>
      <c r="E289" s="2">
        <v>30</v>
      </c>
      <c r="F289" t="s">
        <v>9</v>
      </c>
      <c r="I289" s="6">
        <v>16.059999999999999</v>
      </c>
      <c r="J289" s="4">
        <v>0.21983471074380165</v>
      </c>
      <c r="K289" s="10">
        <v>107</v>
      </c>
      <c r="L289" s="6">
        <v>16.811465668576727</v>
      </c>
      <c r="M289" s="6">
        <f t="shared" si="18"/>
        <v>1.9217867200640768</v>
      </c>
      <c r="O289">
        <v>248</v>
      </c>
      <c r="R289" s="3">
        <v>13.36</v>
      </c>
      <c r="S289" s="9">
        <v>0.24919093851132687</v>
      </c>
      <c r="T289" s="11">
        <v>150</v>
      </c>
      <c r="U289" s="3">
        <v>14.403023056238915</v>
      </c>
      <c r="V289" s="3">
        <f t="shared" si="17"/>
        <v>1.8663334730479166</v>
      </c>
      <c r="W289" s="9"/>
      <c r="X289">
        <v>248</v>
      </c>
      <c r="AA289" s="3">
        <v>10.02</v>
      </c>
      <c r="AB289" s="9">
        <v>0.2391653290529695</v>
      </c>
      <c r="AD289" s="3">
        <v>10.02</v>
      </c>
      <c r="AE289" s="6">
        <f t="shared" si="19"/>
        <v>1.2461470304975921</v>
      </c>
      <c r="AG289" s="3">
        <f t="shared" si="20"/>
        <v>5.0342672236095858</v>
      </c>
    </row>
    <row r="290" spans="1:33" x14ac:dyDescent="0.25">
      <c r="A290" t="s">
        <v>47</v>
      </c>
      <c r="B290" t="s">
        <v>0</v>
      </c>
      <c r="C290">
        <v>64</v>
      </c>
      <c r="D290">
        <v>301</v>
      </c>
      <c r="E290" s="2">
        <v>9</v>
      </c>
      <c r="F290" t="s">
        <v>19</v>
      </c>
      <c r="G290" s="2">
        <v>908</v>
      </c>
      <c r="H290" s="2">
        <v>218</v>
      </c>
      <c r="I290" s="6">
        <v>16.04</v>
      </c>
      <c r="J290" s="4">
        <v>0.21232876712328766</v>
      </c>
      <c r="K290" s="10">
        <v>110</v>
      </c>
      <c r="L290" s="6">
        <v>16.849151627113827</v>
      </c>
      <c r="M290" s="6">
        <f t="shared" si="18"/>
        <v>1.860330987870376</v>
      </c>
      <c r="O290">
        <v>301</v>
      </c>
      <c r="R290" s="3"/>
      <c r="S290" s="9"/>
      <c r="T290" s="11"/>
      <c r="U290" s="9"/>
      <c r="V290" s="11"/>
      <c r="W290" s="9"/>
      <c r="X290">
        <v>301</v>
      </c>
      <c r="Y290">
        <v>837</v>
      </c>
      <c r="Z290">
        <v>222</v>
      </c>
      <c r="AA290" s="3">
        <v>12.92</v>
      </c>
      <c r="AB290" s="9">
        <v>0.2360248447204969</v>
      </c>
      <c r="AD290" s="3">
        <v>12.92</v>
      </c>
      <c r="AE290" s="6">
        <f t="shared" si="19"/>
        <v>1.5857093167701863</v>
      </c>
      <c r="AG290" s="3"/>
    </row>
    <row r="291" spans="1:33" x14ac:dyDescent="0.25">
      <c r="A291" t="s">
        <v>47</v>
      </c>
      <c r="B291" t="s">
        <v>0</v>
      </c>
      <c r="C291">
        <v>64</v>
      </c>
      <c r="D291">
        <v>302</v>
      </c>
      <c r="E291" s="2">
        <v>11</v>
      </c>
      <c r="F291" t="s">
        <v>15</v>
      </c>
      <c r="I291" s="6">
        <v>18.3</v>
      </c>
      <c r="J291" s="4">
        <v>0.21232876712328766</v>
      </c>
      <c r="K291" s="10">
        <v>141</v>
      </c>
      <c r="L291" s="6">
        <v>19.430737530197529</v>
      </c>
      <c r="M291" s="6">
        <f t="shared" si="18"/>
        <v>2.1453663629231792</v>
      </c>
      <c r="O291">
        <v>302</v>
      </c>
      <c r="R291" s="3"/>
      <c r="S291" s="9"/>
      <c r="T291" s="11"/>
      <c r="U291" s="9"/>
      <c r="V291" s="11"/>
      <c r="W291" s="9"/>
      <c r="X291">
        <v>302</v>
      </c>
      <c r="AA291" s="3">
        <v>13.36</v>
      </c>
      <c r="AB291" s="9">
        <v>0.2360248447204969</v>
      </c>
      <c r="AD291" s="3">
        <v>13.36</v>
      </c>
      <c r="AE291" s="6">
        <f t="shared" si="19"/>
        <v>1.639711801242236</v>
      </c>
      <c r="AG291" s="3"/>
    </row>
    <row r="292" spans="1:33" x14ac:dyDescent="0.25">
      <c r="A292" t="s">
        <v>47</v>
      </c>
      <c r="B292" t="s">
        <v>0</v>
      </c>
      <c r="C292">
        <v>64</v>
      </c>
      <c r="D292">
        <v>303</v>
      </c>
      <c r="E292" s="2">
        <v>12</v>
      </c>
      <c r="F292" t="s">
        <v>33</v>
      </c>
      <c r="I292" s="6">
        <v>17.7</v>
      </c>
      <c r="J292" s="4">
        <v>0.21232876712328766</v>
      </c>
      <c r="K292" s="10">
        <v>124</v>
      </c>
      <c r="L292" s="6">
        <v>18.654383970441948</v>
      </c>
      <c r="M292" s="6">
        <f t="shared" si="18"/>
        <v>2.0596484219419469</v>
      </c>
      <c r="O292">
        <v>303</v>
      </c>
      <c r="R292" s="3"/>
      <c r="S292" s="9"/>
      <c r="T292" s="11"/>
      <c r="U292" s="9"/>
      <c r="V292" s="11"/>
      <c r="W292" s="9"/>
      <c r="X292">
        <v>303</v>
      </c>
      <c r="AA292" s="3">
        <v>12.28</v>
      </c>
      <c r="AB292" s="9">
        <v>0.2360248447204969</v>
      </c>
      <c r="AD292" s="3">
        <v>12.28</v>
      </c>
      <c r="AE292" s="6">
        <f t="shared" si="19"/>
        <v>1.5071602484472049</v>
      </c>
      <c r="AG292" s="3"/>
    </row>
    <row r="293" spans="1:33" x14ac:dyDescent="0.25">
      <c r="A293" t="s">
        <v>47</v>
      </c>
      <c r="B293" t="s">
        <v>0</v>
      </c>
      <c r="C293">
        <v>64</v>
      </c>
      <c r="D293">
        <v>304</v>
      </c>
      <c r="E293" s="2">
        <v>7</v>
      </c>
      <c r="F293" t="s">
        <v>16</v>
      </c>
      <c r="I293" s="6">
        <v>17.579999999999998</v>
      </c>
      <c r="J293" s="4">
        <v>0.21232876712328766</v>
      </c>
      <c r="K293" s="10">
        <v>86</v>
      </c>
      <c r="L293" s="6">
        <v>18.140181895694187</v>
      </c>
      <c r="M293" s="6">
        <f t="shared" si="18"/>
        <v>2.0028748777985639</v>
      </c>
      <c r="O293">
        <v>304</v>
      </c>
      <c r="R293" s="3"/>
      <c r="S293" s="9"/>
      <c r="T293" s="11"/>
      <c r="U293" s="9"/>
      <c r="V293" s="11"/>
      <c r="W293" s="9"/>
      <c r="X293">
        <v>304</v>
      </c>
      <c r="AA293" s="3">
        <v>12.46</v>
      </c>
      <c r="AB293" s="9">
        <v>0.2360248447204969</v>
      </c>
      <c r="AD293" s="3">
        <v>12.46</v>
      </c>
      <c r="AE293" s="6">
        <f t="shared" si="19"/>
        <v>1.5292521739130438</v>
      </c>
      <c r="AG293" s="3"/>
    </row>
    <row r="294" spans="1:33" x14ac:dyDescent="0.25">
      <c r="A294" t="s">
        <v>47</v>
      </c>
      <c r="B294" t="s">
        <v>0</v>
      </c>
      <c r="C294">
        <v>64</v>
      </c>
      <c r="D294">
        <v>305</v>
      </c>
      <c r="E294" s="2">
        <v>10</v>
      </c>
      <c r="F294" t="s">
        <v>35</v>
      </c>
      <c r="G294" s="2">
        <v>801</v>
      </c>
      <c r="H294" s="2">
        <v>211</v>
      </c>
      <c r="I294" s="6">
        <v>17.12</v>
      </c>
      <c r="J294" s="4">
        <v>0.23276983094928477</v>
      </c>
      <c r="K294" s="10">
        <v>92</v>
      </c>
      <c r="L294" s="6">
        <v>17.687765117023112</v>
      </c>
      <c r="M294" s="6">
        <f t="shared" si="18"/>
        <v>2.1409326100032655</v>
      </c>
      <c r="O294">
        <v>305</v>
      </c>
      <c r="R294" s="3"/>
      <c r="S294" s="9"/>
      <c r="T294" s="11"/>
      <c r="U294" s="9"/>
      <c r="V294" s="11"/>
      <c r="W294" s="9"/>
      <c r="X294">
        <v>305</v>
      </c>
      <c r="Y294">
        <v>760</v>
      </c>
      <c r="Z294">
        <v>198</v>
      </c>
      <c r="AA294" s="3">
        <v>12.54</v>
      </c>
      <c r="AB294" s="9">
        <v>0.22802197802197802</v>
      </c>
      <c r="AD294" s="3">
        <v>12.54</v>
      </c>
      <c r="AE294" s="6">
        <f t="shared" si="19"/>
        <v>1.4868857142857141</v>
      </c>
      <c r="AG294" s="3"/>
    </row>
    <row r="295" spans="1:33" x14ac:dyDescent="0.25">
      <c r="A295" t="s">
        <v>47</v>
      </c>
      <c r="B295" t="s">
        <v>0</v>
      </c>
      <c r="C295">
        <v>64</v>
      </c>
      <c r="D295">
        <v>306</v>
      </c>
      <c r="E295" s="2">
        <v>8</v>
      </c>
      <c r="F295" t="s">
        <v>31</v>
      </c>
      <c r="I295" s="6">
        <v>18.86</v>
      </c>
      <c r="J295" s="4">
        <v>0.23276983094928477</v>
      </c>
      <c r="K295" s="10">
        <v>130</v>
      </c>
      <c r="L295" s="6">
        <v>19.787349691137745</v>
      </c>
      <c r="M295" s="6">
        <f t="shared" si="18"/>
        <v>2.3950669821210679</v>
      </c>
      <c r="O295">
        <v>306</v>
      </c>
      <c r="R295" s="3"/>
      <c r="S295" s="9"/>
      <c r="T295" s="11"/>
      <c r="U295" s="9"/>
      <c r="V295" s="11"/>
      <c r="W295" s="9"/>
      <c r="X295">
        <v>306</v>
      </c>
      <c r="AA295" s="3">
        <v>12.42</v>
      </c>
      <c r="AB295" s="9">
        <v>0.22802197802197802</v>
      </c>
      <c r="AD295" s="3">
        <v>12.42</v>
      </c>
      <c r="AE295" s="6">
        <f t="shared" si="19"/>
        <v>1.4726571428571429</v>
      </c>
      <c r="AG295" s="3"/>
    </row>
    <row r="296" spans="1:33" x14ac:dyDescent="0.25">
      <c r="A296" t="s">
        <v>47</v>
      </c>
      <c r="B296" t="s">
        <v>0</v>
      </c>
      <c r="C296">
        <v>64</v>
      </c>
      <c r="D296">
        <v>307</v>
      </c>
      <c r="E296" s="2">
        <v>7</v>
      </c>
      <c r="F296" t="s">
        <v>16</v>
      </c>
      <c r="I296" s="6">
        <v>16.059999999999999</v>
      </c>
      <c r="J296" s="4">
        <v>0.23276983094928477</v>
      </c>
      <c r="K296" s="10">
        <v>92</v>
      </c>
      <c r="L296" s="6">
        <v>16.62776511702311</v>
      </c>
      <c r="M296" s="6">
        <f t="shared" si="18"/>
        <v>2.0126298791840198</v>
      </c>
      <c r="O296">
        <v>307</v>
      </c>
      <c r="R296" s="3"/>
      <c r="S296" s="9"/>
      <c r="T296" s="11"/>
      <c r="U296" s="9"/>
      <c r="V296" s="11"/>
      <c r="W296" s="9"/>
      <c r="X296">
        <v>307</v>
      </c>
      <c r="AA296" s="3">
        <v>9.94</v>
      </c>
      <c r="AB296" s="9">
        <v>0.22802197802197802</v>
      </c>
      <c r="AD296" s="3">
        <v>9.94</v>
      </c>
      <c r="AE296" s="6">
        <f t="shared" si="19"/>
        <v>1.1785999999999999</v>
      </c>
      <c r="AG296" s="3"/>
    </row>
    <row r="297" spans="1:33" x14ac:dyDescent="0.25">
      <c r="A297" t="s">
        <v>47</v>
      </c>
      <c r="B297" t="s">
        <v>0</v>
      </c>
      <c r="C297">
        <v>64</v>
      </c>
      <c r="D297">
        <v>308</v>
      </c>
      <c r="E297" s="2">
        <v>12</v>
      </c>
      <c r="F297" t="s">
        <v>33</v>
      </c>
      <c r="I297" s="6">
        <v>17.64</v>
      </c>
      <c r="J297" s="4">
        <v>0.23276983094928477</v>
      </c>
      <c r="K297" s="10">
        <v>163</v>
      </c>
      <c r="L297" s="6">
        <v>18.879620505500455</v>
      </c>
      <c r="M297" s="6">
        <f t="shared" si="18"/>
        <v>2.2851951581950356</v>
      </c>
      <c r="O297">
        <v>308</v>
      </c>
      <c r="R297" s="3"/>
      <c r="S297" s="9"/>
      <c r="T297" s="11"/>
      <c r="U297" s="9"/>
      <c r="V297" s="11"/>
      <c r="W297" s="9"/>
      <c r="X297">
        <v>308</v>
      </c>
      <c r="AA297" s="3">
        <v>11.28</v>
      </c>
      <c r="AB297" s="9">
        <v>0.22802197802197802</v>
      </c>
      <c r="AD297" s="3">
        <v>11.28</v>
      </c>
      <c r="AE297" s="6">
        <f t="shared" si="19"/>
        <v>1.3374857142857144</v>
      </c>
      <c r="AG297" s="3"/>
    </row>
    <row r="298" spans="1:33" x14ac:dyDescent="0.25">
      <c r="A298" t="s">
        <v>47</v>
      </c>
      <c r="B298" t="s">
        <v>0</v>
      </c>
      <c r="C298">
        <v>64</v>
      </c>
      <c r="D298">
        <v>309</v>
      </c>
      <c r="E298" s="2">
        <v>8</v>
      </c>
      <c r="F298" t="s">
        <v>31</v>
      </c>
      <c r="G298" s="2">
        <v>870</v>
      </c>
      <c r="H298" s="2">
        <v>215</v>
      </c>
      <c r="I298" s="6">
        <v>17.82</v>
      </c>
      <c r="J298" s="4">
        <v>0.21837708830548927</v>
      </c>
      <c r="K298" s="10">
        <v>95</v>
      </c>
      <c r="L298" s="6">
        <v>18.455444500613851</v>
      </c>
      <c r="M298" s="6">
        <f t="shared" si="18"/>
        <v>2.0957280413823556</v>
      </c>
      <c r="O298">
        <v>309</v>
      </c>
      <c r="R298" s="3"/>
      <c r="S298" s="9"/>
      <c r="T298" s="11"/>
      <c r="U298" s="9"/>
      <c r="V298" s="11"/>
      <c r="W298" s="9"/>
      <c r="X298">
        <v>309</v>
      </c>
      <c r="Y298">
        <v>605</v>
      </c>
      <c r="Z298">
        <v>176</v>
      </c>
      <c r="AA298" s="3">
        <v>11.58</v>
      </c>
      <c r="AB298" s="9">
        <v>0.2513089005235602</v>
      </c>
      <c r="AD298" s="3">
        <v>11.58</v>
      </c>
      <c r="AE298" s="6">
        <f t="shared" si="19"/>
        <v>1.5132816753926703</v>
      </c>
      <c r="AG298" s="3"/>
    </row>
    <row r="299" spans="1:33" x14ac:dyDescent="0.25">
      <c r="A299" t="s">
        <v>47</v>
      </c>
      <c r="B299" t="s">
        <v>0</v>
      </c>
      <c r="C299">
        <v>64</v>
      </c>
      <c r="D299">
        <v>310</v>
      </c>
      <c r="E299" s="2">
        <v>9</v>
      </c>
      <c r="F299" t="s">
        <v>19</v>
      </c>
      <c r="I299" s="6">
        <v>16.46</v>
      </c>
      <c r="J299" s="4">
        <v>0.21837708830548927</v>
      </c>
      <c r="K299" s="10">
        <v>87</v>
      </c>
      <c r="L299" s="6">
        <v>17.014753135456537</v>
      </c>
      <c r="M299" s="6">
        <f t="shared" si="18"/>
        <v>1.9321287689380005</v>
      </c>
      <c r="O299">
        <v>310</v>
      </c>
      <c r="R299" s="3"/>
      <c r="S299" s="9"/>
      <c r="T299" s="11"/>
      <c r="U299" s="9"/>
      <c r="V299" s="11"/>
      <c r="W299" s="9"/>
      <c r="X299">
        <v>310</v>
      </c>
      <c r="AA299" s="3">
        <v>12.22</v>
      </c>
      <c r="AB299" s="9">
        <v>0.2513089005235602</v>
      </c>
      <c r="AD299" s="3">
        <v>12.22</v>
      </c>
      <c r="AE299" s="6">
        <f t="shared" si="19"/>
        <v>1.5969172774869109</v>
      </c>
      <c r="AG299" s="3"/>
    </row>
    <row r="300" spans="1:33" x14ac:dyDescent="0.25">
      <c r="A300" t="s">
        <v>47</v>
      </c>
      <c r="B300" t="s">
        <v>0</v>
      </c>
      <c r="C300">
        <v>64</v>
      </c>
      <c r="D300">
        <v>311</v>
      </c>
      <c r="E300" s="2">
        <v>10</v>
      </c>
      <c r="F300" t="s">
        <v>35</v>
      </c>
      <c r="I300" s="6">
        <v>15.8</v>
      </c>
      <c r="J300" s="4">
        <v>0.21837708830548927</v>
      </c>
      <c r="K300" s="10">
        <v>187</v>
      </c>
      <c r="L300" s="6">
        <v>17.363395199922969</v>
      </c>
      <c r="M300" s="6">
        <f t="shared" si="18"/>
        <v>1.9717191971654773</v>
      </c>
      <c r="O300">
        <v>311</v>
      </c>
      <c r="R300" s="3"/>
      <c r="S300" s="9"/>
      <c r="T300" s="11"/>
      <c r="U300" s="9"/>
      <c r="V300" s="11"/>
      <c r="W300" s="9"/>
      <c r="X300">
        <v>311</v>
      </c>
      <c r="AA300" s="3">
        <v>11.36</v>
      </c>
      <c r="AB300" s="9">
        <v>0.2513089005235602</v>
      </c>
      <c r="AD300" s="3">
        <v>11.36</v>
      </c>
      <c r="AE300" s="6">
        <f t="shared" si="19"/>
        <v>1.4845319371727748</v>
      </c>
      <c r="AG300" s="3"/>
    </row>
    <row r="301" spans="1:33" x14ac:dyDescent="0.25">
      <c r="A301" t="s">
        <v>47</v>
      </c>
      <c r="B301" t="s">
        <v>0</v>
      </c>
      <c r="C301">
        <v>64</v>
      </c>
      <c r="D301">
        <v>312</v>
      </c>
      <c r="E301" s="2">
        <v>11</v>
      </c>
      <c r="F301" t="s">
        <v>15</v>
      </c>
      <c r="I301" s="6">
        <v>18.86</v>
      </c>
      <c r="J301" s="4">
        <v>0.21837708830548927</v>
      </c>
      <c r="K301" s="10">
        <v>89</v>
      </c>
      <c r="L301" s="6">
        <v>19.434925976745866</v>
      </c>
      <c r="M301" s="6">
        <f t="shared" si="18"/>
        <v>2.2069541240419293</v>
      </c>
      <c r="O301">
        <v>312</v>
      </c>
      <c r="R301" s="3"/>
      <c r="S301" s="9"/>
      <c r="T301" s="11"/>
      <c r="U301" s="9"/>
      <c r="V301" s="11"/>
      <c r="W301" s="9"/>
      <c r="X301">
        <v>312</v>
      </c>
      <c r="AA301" s="3">
        <v>10.68</v>
      </c>
      <c r="AB301" s="9">
        <v>0.2513089005235602</v>
      </c>
      <c r="AD301" s="3">
        <v>10.68</v>
      </c>
      <c r="AE301" s="6">
        <f t="shared" si="19"/>
        <v>1.3956691099476439</v>
      </c>
      <c r="AG301" s="3"/>
    </row>
    <row r="302" spans="1:33" x14ac:dyDescent="0.25">
      <c r="A302" t="s">
        <v>47</v>
      </c>
      <c r="B302" t="s">
        <v>0</v>
      </c>
      <c r="C302">
        <v>64</v>
      </c>
      <c r="D302">
        <v>313</v>
      </c>
      <c r="E302" s="2">
        <v>4</v>
      </c>
      <c r="F302" t="s">
        <v>2</v>
      </c>
      <c r="G302" s="2">
        <v>926</v>
      </c>
      <c r="H302" s="2">
        <v>225</v>
      </c>
      <c r="I302" s="6">
        <v>16.260000000000002</v>
      </c>
      <c r="J302" s="4">
        <v>0.21588366890380314</v>
      </c>
      <c r="K302" s="10">
        <v>79</v>
      </c>
      <c r="L302" s="6">
        <v>16.739537102554156</v>
      </c>
      <c r="M302" s="6">
        <f t="shared" si="18"/>
        <v>1.8791721964343795</v>
      </c>
      <c r="O302">
        <v>313</v>
      </c>
      <c r="P302">
        <v>563</v>
      </c>
      <c r="Q302">
        <v>163</v>
      </c>
      <c r="R302" s="3">
        <v>13.46</v>
      </c>
      <c r="S302" s="9">
        <v>0.24670433145009416</v>
      </c>
      <c r="T302" s="11">
        <v>141</v>
      </c>
      <c r="U302" s="3">
        <v>14.433181558328009</v>
      </c>
      <c r="V302" s="3">
        <f>S302*U302*0.52</f>
        <v>1.8515787716634726</v>
      </c>
      <c r="W302" s="9"/>
      <c r="X302">
        <v>313</v>
      </c>
      <c r="Y302">
        <v>812</v>
      </c>
      <c r="Z302">
        <v>210</v>
      </c>
      <c r="AA302" s="3">
        <v>11.62</v>
      </c>
      <c r="AB302" s="9">
        <v>0.2282051282051282</v>
      </c>
      <c r="AD302" s="3">
        <v>11.62</v>
      </c>
      <c r="AE302" s="6">
        <f t="shared" si="19"/>
        <v>1.3789066666666667</v>
      </c>
      <c r="AG302" s="3">
        <f t="shared" si="20"/>
        <v>5.1096576347645186</v>
      </c>
    </row>
    <row r="303" spans="1:33" x14ac:dyDescent="0.25">
      <c r="A303" t="s">
        <v>47</v>
      </c>
      <c r="B303" t="s">
        <v>0</v>
      </c>
      <c r="C303">
        <v>64</v>
      </c>
      <c r="D303">
        <v>314</v>
      </c>
      <c r="E303" s="2">
        <v>10</v>
      </c>
      <c r="F303" t="s">
        <v>35</v>
      </c>
      <c r="I303" s="6">
        <v>14.78</v>
      </c>
      <c r="J303" s="4">
        <v>0.21588366890380314</v>
      </c>
      <c r="K303" s="10">
        <v>122</v>
      </c>
      <c r="L303" s="6">
        <v>15.698262536805824</v>
      </c>
      <c r="M303" s="6">
        <f t="shared" si="18"/>
        <v>1.7622792261675979</v>
      </c>
      <c r="O303">
        <v>314</v>
      </c>
      <c r="R303" s="3">
        <v>12.78</v>
      </c>
      <c r="S303" s="9">
        <v>0.24670433145009416</v>
      </c>
      <c r="T303" s="11">
        <v>153</v>
      </c>
      <c r="U303" s="3">
        <v>13.860320812455862</v>
      </c>
      <c r="V303" s="3">
        <f t="shared" ref="V303:V337" si="21">S303*U303*0.52</f>
        <v>1.7780886134547897</v>
      </c>
      <c r="W303" s="9"/>
      <c r="X303">
        <v>314</v>
      </c>
      <c r="AA303" s="3">
        <v>10.92</v>
      </c>
      <c r="AB303" s="9">
        <v>0.2282051282051282</v>
      </c>
      <c r="AC303">
        <v>81</v>
      </c>
      <c r="AD303" s="3">
        <v>11.39</v>
      </c>
      <c r="AE303" s="6">
        <f t="shared" si="19"/>
        <v>1.3516133333333333</v>
      </c>
      <c r="AG303" s="3">
        <f t="shared" si="20"/>
        <v>4.8919811729557203</v>
      </c>
    </row>
    <row r="304" spans="1:33" x14ac:dyDescent="0.25">
      <c r="A304" t="s">
        <v>47</v>
      </c>
      <c r="B304" t="s">
        <v>0</v>
      </c>
      <c r="C304">
        <v>64</v>
      </c>
      <c r="D304">
        <v>315</v>
      </c>
      <c r="E304" s="2">
        <v>2</v>
      </c>
      <c r="F304" t="s">
        <v>4</v>
      </c>
      <c r="I304" s="6">
        <v>20</v>
      </c>
      <c r="J304" s="4">
        <v>0.21588366890380314</v>
      </c>
      <c r="K304" s="10">
        <v>103</v>
      </c>
      <c r="L304" s="6">
        <v>20.72440711236904</v>
      </c>
      <c r="M304" s="6">
        <f t="shared" si="18"/>
        <v>2.3265117425026363</v>
      </c>
      <c r="O304">
        <v>315</v>
      </c>
      <c r="R304" s="3">
        <v>14.64</v>
      </c>
      <c r="S304" s="9">
        <v>0.24670433145009416</v>
      </c>
      <c r="T304" s="11">
        <v>143</v>
      </c>
      <c r="U304" s="3">
        <v>15.631038100682652</v>
      </c>
      <c r="V304" s="3">
        <f t="shared" si="21"/>
        <v>2.005247298339929</v>
      </c>
      <c r="W304" s="9"/>
      <c r="X304">
        <v>315</v>
      </c>
      <c r="AA304" s="3">
        <v>12.88</v>
      </c>
      <c r="AB304" s="9">
        <v>0.2282051282051282</v>
      </c>
      <c r="AD304" s="3">
        <v>12.88</v>
      </c>
      <c r="AE304" s="6">
        <f t="shared" si="19"/>
        <v>1.5284266666666668</v>
      </c>
      <c r="AG304" s="3">
        <f t="shared" si="20"/>
        <v>5.8601857075092312</v>
      </c>
    </row>
    <row r="305" spans="1:33" x14ac:dyDescent="0.25">
      <c r="A305" t="s">
        <v>47</v>
      </c>
      <c r="B305" t="s">
        <v>0</v>
      </c>
      <c r="C305">
        <v>64</v>
      </c>
      <c r="D305">
        <v>316</v>
      </c>
      <c r="E305" s="2">
        <v>5</v>
      </c>
      <c r="F305" t="s">
        <v>5</v>
      </c>
      <c r="I305" s="6">
        <v>15.62</v>
      </c>
      <c r="J305" s="4">
        <v>0.21588366890380314</v>
      </c>
      <c r="K305" s="10">
        <v>87</v>
      </c>
      <c r="L305" s="6">
        <v>16.181160439159115</v>
      </c>
      <c r="M305" s="6">
        <f t="shared" si="18"/>
        <v>1.816489107017907</v>
      </c>
      <c r="O305">
        <v>316</v>
      </c>
      <c r="R305" s="3">
        <v>14.2</v>
      </c>
      <c r="S305" s="9">
        <v>0.24670433145009416</v>
      </c>
      <c r="T305" s="11">
        <v>147</v>
      </c>
      <c r="U305" s="3">
        <v>15.226751185391935</v>
      </c>
      <c r="V305" s="3">
        <f t="shared" si="21"/>
        <v>1.9533828451015038</v>
      </c>
      <c r="W305" s="9"/>
      <c r="X305">
        <v>316</v>
      </c>
      <c r="AA305" s="3">
        <v>10.28</v>
      </c>
      <c r="AB305" s="9">
        <v>0.2282051282051282</v>
      </c>
      <c r="AD305" s="3">
        <v>10.28</v>
      </c>
      <c r="AE305" s="6">
        <f t="shared" si="19"/>
        <v>1.2198933333333333</v>
      </c>
      <c r="AG305" s="3">
        <f t="shared" si="20"/>
        <v>4.9897652854527443</v>
      </c>
    </row>
    <row r="306" spans="1:33" x14ac:dyDescent="0.25">
      <c r="A306" t="s">
        <v>47</v>
      </c>
      <c r="B306" t="s">
        <v>0</v>
      </c>
      <c r="C306">
        <v>64</v>
      </c>
      <c r="D306">
        <v>317</v>
      </c>
      <c r="E306" s="2">
        <v>5</v>
      </c>
      <c r="F306" t="s">
        <v>5</v>
      </c>
      <c r="G306" s="2">
        <v>853</v>
      </c>
      <c r="H306" s="2">
        <v>216</v>
      </c>
      <c r="I306" s="6">
        <v>14.8</v>
      </c>
      <c r="J306" s="4">
        <v>0.22411693057247259</v>
      </c>
      <c r="K306" s="10">
        <v>121</v>
      </c>
      <c r="L306" s="6">
        <v>15.674700727829919</v>
      </c>
      <c r="M306" s="6">
        <f t="shared" si="18"/>
        <v>1.8267422236769386</v>
      </c>
      <c r="O306">
        <v>317</v>
      </c>
      <c r="P306">
        <v>599</v>
      </c>
      <c r="Q306">
        <v>164</v>
      </c>
      <c r="R306" s="3">
        <v>13.8</v>
      </c>
      <c r="S306" s="9">
        <v>0.23280423280423279</v>
      </c>
      <c r="T306" s="11">
        <v>132</v>
      </c>
      <c r="U306" s="3">
        <v>14.746135362434922</v>
      </c>
      <c r="V306" s="3">
        <f t="shared" si="21"/>
        <v>1.7851406195370951</v>
      </c>
      <c r="W306" s="9"/>
      <c r="X306">
        <v>317</v>
      </c>
      <c r="Y306">
        <v>726</v>
      </c>
      <c r="Z306">
        <v>185</v>
      </c>
      <c r="AA306" s="3">
        <v>9.9600000000000009</v>
      </c>
      <c r="AB306" s="9">
        <v>0.22046109510086456</v>
      </c>
      <c r="AD306" s="3">
        <v>9.9600000000000009</v>
      </c>
      <c r="AE306" s="6">
        <f t="shared" si="19"/>
        <v>1.1418121037463977</v>
      </c>
      <c r="AG306" s="3">
        <f t="shared" si="20"/>
        <v>4.7536949469604313</v>
      </c>
    </row>
    <row r="307" spans="1:33" x14ac:dyDescent="0.25">
      <c r="A307" t="s">
        <v>47</v>
      </c>
      <c r="B307" t="s">
        <v>0</v>
      </c>
      <c r="C307">
        <v>64</v>
      </c>
      <c r="D307">
        <v>318</v>
      </c>
      <c r="E307" s="2">
        <v>8</v>
      </c>
      <c r="F307" t="s">
        <v>31</v>
      </c>
      <c r="I307" s="6">
        <v>18.899999999999999</v>
      </c>
      <c r="J307" s="4">
        <v>0.22411693057247259</v>
      </c>
      <c r="K307" s="10">
        <v>93</v>
      </c>
      <c r="L307" s="6">
        <v>19.499513981995786</v>
      </c>
      <c r="M307" s="6">
        <f t="shared" si="18"/>
        <v>2.2724890350759521</v>
      </c>
      <c r="O307">
        <v>318</v>
      </c>
      <c r="R307" s="3">
        <v>14.78</v>
      </c>
      <c r="S307" s="9">
        <v>0.23280423280423279</v>
      </c>
      <c r="T307" s="11">
        <v>193</v>
      </c>
      <c r="U307" s="3">
        <v>16.303277933520224</v>
      </c>
      <c r="V307" s="3">
        <f t="shared" si="21"/>
        <v>1.973645497983824</v>
      </c>
      <c r="W307" s="9"/>
      <c r="X307">
        <v>318</v>
      </c>
      <c r="AA307" s="3">
        <v>9.5399999999999991</v>
      </c>
      <c r="AB307" s="9">
        <v>0.22046109510086456</v>
      </c>
      <c r="AC307">
        <v>86</v>
      </c>
      <c r="AD307" s="3">
        <v>10.08</v>
      </c>
      <c r="AE307" s="6">
        <f t="shared" si="19"/>
        <v>1.1555688760806917</v>
      </c>
      <c r="AG307" s="3">
        <f t="shared" si="20"/>
        <v>5.4017034091404685</v>
      </c>
    </row>
    <row r="308" spans="1:33" x14ac:dyDescent="0.25">
      <c r="A308" t="s">
        <v>47</v>
      </c>
      <c r="B308" t="s">
        <v>0</v>
      </c>
      <c r="C308">
        <v>64</v>
      </c>
      <c r="D308">
        <v>319</v>
      </c>
      <c r="E308" s="2">
        <v>7</v>
      </c>
      <c r="F308" t="s">
        <v>16</v>
      </c>
      <c r="I308" s="6">
        <v>14.46</v>
      </c>
      <c r="J308" s="4">
        <v>0.22411693057247259</v>
      </c>
      <c r="K308" s="10">
        <v>108</v>
      </c>
      <c r="L308" s="6">
        <v>15.206935452978357</v>
      </c>
      <c r="M308" s="6">
        <f t="shared" si="18"/>
        <v>1.7722284825103158</v>
      </c>
      <c r="O308">
        <v>319</v>
      </c>
      <c r="R308" s="3">
        <v>13.96</v>
      </c>
      <c r="S308" s="9">
        <v>0.23280423280423279</v>
      </c>
      <c r="T308" s="11">
        <v>115</v>
      </c>
      <c r="U308" s="3">
        <v>14.745292350820986</v>
      </c>
      <c r="V308" s="3">
        <f t="shared" si="21"/>
        <v>1.7850385660676409</v>
      </c>
      <c r="W308" s="9"/>
      <c r="X308">
        <v>319</v>
      </c>
      <c r="AA308" s="3">
        <v>9.58</v>
      </c>
      <c r="AB308" s="9">
        <v>0.22046109510086456</v>
      </c>
      <c r="AC308">
        <v>72</v>
      </c>
      <c r="AD308" s="3">
        <v>9.98</v>
      </c>
      <c r="AE308" s="6">
        <f t="shared" si="19"/>
        <v>1.1441048991354468</v>
      </c>
      <c r="AG308" s="3">
        <f t="shared" si="20"/>
        <v>4.7013719477134037</v>
      </c>
    </row>
    <row r="309" spans="1:33" x14ac:dyDescent="0.25">
      <c r="A309" t="s">
        <v>47</v>
      </c>
      <c r="B309" t="s">
        <v>0</v>
      </c>
      <c r="C309">
        <v>64</v>
      </c>
      <c r="D309">
        <v>320</v>
      </c>
      <c r="E309" s="2">
        <v>15</v>
      </c>
      <c r="F309" t="s">
        <v>20</v>
      </c>
      <c r="I309" s="6">
        <v>15.8</v>
      </c>
      <c r="J309" s="4">
        <v>0.22411693057247259</v>
      </c>
      <c r="K309" s="10">
        <v>116</v>
      </c>
      <c r="L309" s="6">
        <v>16.625560237502395</v>
      </c>
      <c r="M309" s="6">
        <f t="shared" si="18"/>
        <v>1.9375561553279281</v>
      </c>
      <c r="O309">
        <v>320</v>
      </c>
      <c r="R309" s="3">
        <v>13.6</v>
      </c>
      <c r="S309" s="9">
        <v>0.23280423280423279</v>
      </c>
      <c r="T309" s="11">
        <v>154</v>
      </c>
      <c r="U309" s="3">
        <v>14.754285142170604</v>
      </c>
      <c r="V309" s="3">
        <f t="shared" si="21"/>
        <v>1.7861272172109175</v>
      </c>
      <c r="W309" s="9"/>
      <c r="X309">
        <v>320</v>
      </c>
      <c r="AA309" s="3">
        <v>11.06</v>
      </c>
      <c r="AB309" s="9">
        <v>0.22046109510086456</v>
      </c>
      <c r="AD309" s="3">
        <v>11.06</v>
      </c>
      <c r="AE309" s="6">
        <f t="shared" si="19"/>
        <v>1.2679158501440924</v>
      </c>
      <c r="AG309" s="3">
        <f t="shared" si="20"/>
        <v>4.9915992226829378</v>
      </c>
    </row>
    <row r="310" spans="1:33" x14ac:dyDescent="0.25">
      <c r="A310" t="s">
        <v>47</v>
      </c>
      <c r="B310" t="s">
        <v>0</v>
      </c>
      <c r="C310">
        <v>64</v>
      </c>
      <c r="D310">
        <v>321</v>
      </c>
      <c r="E310" s="2">
        <v>13</v>
      </c>
      <c r="F310" t="s">
        <v>24</v>
      </c>
      <c r="G310" s="2">
        <v>684</v>
      </c>
      <c r="H310" s="2">
        <v>175</v>
      </c>
      <c r="I310" s="6">
        <v>15.78</v>
      </c>
      <c r="J310" s="4">
        <v>0.21932515337423314</v>
      </c>
      <c r="K310" s="10">
        <v>112</v>
      </c>
      <c r="L310" s="6">
        <v>16.583425649240628</v>
      </c>
      <c r="M310" s="6">
        <f t="shared" si="18"/>
        <v>1.8913244344747442</v>
      </c>
      <c r="O310">
        <v>321</v>
      </c>
      <c r="P310">
        <v>633</v>
      </c>
      <c r="Q310">
        <v>178</v>
      </c>
      <c r="R310" s="3">
        <v>13.88</v>
      </c>
      <c r="S310" s="9">
        <v>0.24292845257903495</v>
      </c>
      <c r="T310" s="11">
        <v>173</v>
      </c>
      <c r="U310" s="3">
        <v>15.158453322068675</v>
      </c>
      <c r="V310" s="3">
        <f t="shared" si="21"/>
        <v>1.9148581966912712</v>
      </c>
      <c r="W310" s="9"/>
      <c r="X310">
        <v>321</v>
      </c>
      <c r="Y310">
        <v>612</v>
      </c>
      <c r="Z310">
        <v>169</v>
      </c>
      <c r="AA310" s="3">
        <v>9.36</v>
      </c>
      <c r="AB310" s="9">
        <v>0.23620689655172414</v>
      </c>
      <c r="AD310" s="3">
        <v>9.36</v>
      </c>
      <c r="AE310" s="6">
        <f t="shared" si="19"/>
        <v>1.1496662068965517</v>
      </c>
      <c r="AG310" s="3">
        <f t="shared" si="20"/>
        <v>4.9558488380625665</v>
      </c>
    </row>
    <row r="311" spans="1:33" x14ac:dyDescent="0.25">
      <c r="A311" t="s">
        <v>47</v>
      </c>
      <c r="B311" t="s">
        <v>0</v>
      </c>
      <c r="C311">
        <v>64</v>
      </c>
      <c r="D311">
        <v>322</v>
      </c>
      <c r="E311" s="2">
        <v>30</v>
      </c>
      <c r="F311" t="s">
        <v>9</v>
      </c>
      <c r="I311" s="6">
        <v>14.22</v>
      </c>
      <c r="J311" s="4">
        <v>0.21932515337423314</v>
      </c>
      <c r="K311" s="10">
        <v>103</v>
      </c>
      <c r="L311" s="6">
        <v>14.933040263701058</v>
      </c>
      <c r="M311" s="6">
        <f t="shared" si="18"/>
        <v>1.7030995000135134</v>
      </c>
      <c r="O311">
        <v>322</v>
      </c>
      <c r="R311" s="3">
        <v>13.56</v>
      </c>
      <c r="S311" s="9">
        <v>0.24292845257903495</v>
      </c>
      <c r="T311" s="11">
        <v>137</v>
      </c>
      <c r="U311" s="3">
        <v>14.512039707923481</v>
      </c>
      <c r="V311" s="3">
        <f t="shared" si="21"/>
        <v>1.8332014220059081</v>
      </c>
      <c r="W311" s="9"/>
      <c r="X311">
        <v>322</v>
      </c>
      <c r="AA311" s="3">
        <v>9.8800000000000008</v>
      </c>
      <c r="AB311" s="9">
        <v>0.23620689655172414</v>
      </c>
      <c r="AD311" s="3">
        <v>9.8800000000000008</v>
      </c>
      <c r="AE311" s="6">
        <f t="shared" si="19"/>
        <v>1.2135365517241381</v>
      </c>
      <c r="AG311" s="3">
        <f t="shared" si="20"/>
        <v>4.7498374737435594</v>
      </c>
    </row>
    <row r="312" spans="1:33" x14ac:dyDescent="0.25">
      <c r="A312" t="s">
        <v>47</v>
      </c>
      <c r="B312" t="s">
        <v>0</v>
      </c>
      <c r="C312">
        <v>64</v>
      </c>
      <c r="D312">
        <v>323</v>
      </c>
      <c r="E312" s="2">
        <v>11</v>
      </c>
      <c r="F312" t="s">
        <v>15</v>
      </c>
      <c r="I312" s="6">
        <v>15.26</v>
      </c>
      <c r="J312" s="4">
        <v>0.21932515337423314</v>
      </c>
      <c r="K312" s="10">
        <v>139</v>
      </c>
      <c r="L312" s="6">
        <v>16.33458180585934</v>
      </c>
      <c r="M312" s="6">
        <f t="shared" si="18"/>
        <v>1.8629440231345102</v>
      </c>
      <c r="O312">
        <v>323</v>
      </c>
      <c r="R312" s="3">
        <v>14.24</v>
      </c>
      <c r="S312" s="9">
        <v>0.24292845257903495</v>
      </c>
      <c r="T312" s="11">
        <v>120</v>
      </c>
      <c r="U312" s="3">
        <v>15.037899945688251</v>
      </c>
      <c r="V312" s="3">
        <f t="shared" si="21"/>
        <v>1.8996295571990884</v>
      </c>
      <c r="W312" s="9"/>
      <c r="X312">
        <v>323</v>
      </c>
      <c r="AA312" s="3">
        <v>9.9</v>
      </c>
      <c r="AB312" s="9">
        <v>0.23620689655172414</v>
      </c>
      <c r="AC312">
        <v>97</v>
      </c>
      <c r="AD312" s="3">
        <v>10.51</v>
      </c>
      <c r="AE312" s="6">
        <f t="shared" si="19"/>
        <v>1.2909179310344827</v>
      </c>
      <c r="AG312" s="3">
        <f t="shared" si="20"/>
        <v>5.0534915113680814</v>
      </c>
    </row>
    <row r="313" spans="1:33" x14ac:dyDescent="0.25">
      <c r="A313" t="s">
        <v>47</v>
      </c>
      <c r="B313" t="s">
        <v>0</v>
      </c>
      <c r="C313">
        <v>64</v>
      </c>
      <c r="D313">
        <v>324</v>
      </c>
      <c r="E313" s="2">
        <v>16</v>
      </c>
      <c r="F313" t="s">
        <v>12</v>
      </c>
      <c r="I313" s="6">
        <v>12.94</v>
      </c>
      <c r="J313" s="4">
        <v>0.21932515337423314</v>
      </c>
      <c r="K313" s="10">
        <v>90</v>
      </c>
      <c r="L313" s="6">
        <v>13.522483595699454</v>
      </c>
      <c r="M313" s="6">
        <f t="shared" si="18"/>
        <v>1.542226810086214</v>
      </c>
      <c r="O313">
        <v>324</v>
      </c>
      <c r="R313" s="3">
        <v>12.66</v>
      </c>
      <c r="S313" s="9">
        <v>0.24292845257903495</v>
      </c>
      <c r="T313" s="11">
        <v>152</v>
      </c>
      <c r="U313" s="3">
        <v>13.748045380483978</v>
      </c>
      <c r="V313" s="3">
        <f t="shared" si="21"/>
        <v>1.7366915229390076</v>
      </c>
      <c r="W313" s="9"/>
      <c r="X313">
        <v>324</v>
      </c>
      <c r="AA313" s="3">
        <v>9.0399999999999991</v>
      </c>
      <c r="AB313" s="9">
        <v>0.23620689655172414</v>
      </c>
      <c r="AD313" s="3">
        <v>9.0399999999999991</v>
      </c>
      <c r="AE313" s="6">
        <f t="shared" si="19"/>
        <v>1.1103613793103448</v>
      </c>
      <c r="AG313" s="3">
        <f t="shared" si="20"/>
        <v>4.3892797123355667</v>
      </c>
    </row>
    <row r="314" spans="1:33" x14ac:dyDescent="0.25">
      <c r="A314" t="s">
        <v>47</v>
      </c>
      <c r="B314" t="s">
        <v>0</v>
      </c>
      <c r="C314">
        <v>64</v>
      </c>
      <c r="D314">
        <v>325</v>
      </c>
      <c r="E314" s="2">
        <v>17</v>
      </c>
      <c r="F314" t="s">
        <v>17</v>
      </c>
      <c r="G314" s="2">
        <v>786</v>
      </c>
      <c r="H314" s="2">
        <v>209</v>
      </c>
      <c r="I314" s="6">
        <v>13.78</v>
      </c>
      <c r="J314" s="4">
        <v>0.23474801061007958</v>
      </c>
      <c r="K314" s="10">
        <v>115</v>
      </c>
      <c r="L314" s="6">
        <v>14.558789915129793</v>
      </c>
      <c r="M314" s="6">
        <f t="shared" si="18"/>
        <v>1.7771764241227404</v>
      </c>
      <c r="O314">
        <v>325</v>
      </c>
      <c r="P314">
        <v>889</v>
      </c>
      <c r="Q314">
        <v>242</v>
      </c>
      <c r="R314" s="3">
        <v>12.46</v>
      </c>
      <c r="S314" s="9">
        <v>0.24504084014002334</v>
      </c>
      <c r="T314" s="11">
        <v>139</v>
      </c>
      <c r="U314" s="3">
        <v>13.421810362911685</v>
      </c>
      <c r="V314" s="3">
        <f t="shared" si="21"/>
        <v>1.7102236775145345</v>
      </c>
      <c r="W314" s="9"/>
      <c r="X314">
        <v>325</v>
      </c>
      <c r="Y314">
        <v>621</v>
      </c>
      <c r="Z314">
        <v>180</v>
      </c>
      <c r="AA314" s="3">
        <v>9.14</v>
      </c>
      <c r="AB314" s="9">
        <v>0.25127334465195245</v>
      </c>
      <c r="AD314" s="3">
        <v>9.14</v>
      </c>
      <c r="AE314" s="6">
        <f t="shared" si="19"/>
        <v>1.1942519524617998</v>
      </c>
      <c r="AG314" s="3">
        <f t="shared" si="20"/>
        <v>4.6816520540990743</v>
      </c>
    </row>
    <row r="315" spans="1:33" x14ac:dyDescent="0.25">
      <c r="A315" t="s">
        <v>47</v>
      </c>
      <c r="B315" t="s">
        <v>0</v>
      </c>
      <c r="C315">
        <v>64</v>
      </c>
      <c r="D315">
        <v>326</v>
      </c>
      <c r="E315" s="2">
        <v>3</v>
      </c>
      <c r="F315" t="s">
        <v>3</v>
      </c>
      <c r="I315" s="6">
        <v>13.96</v>
      </c>
      <c r="J315" s="4">
        <v>0.23474801061007958</v>
      </c>
      <c r="K315" s="10">
        <v>90</v>
      </c>
      <c r="L315" s="6">
        <v>14.504214639488291</v>
      </c>
      <c r="M315" s="6">
        <f t="shared" si="18"/>
        <v>1.7705144766823639</v>
      </c>
      <c r="O315">
        <v>326</v>
      </c>
      <c r="R315" s="3">
        <v>10.98</v>
      </c>
      <c r="S315" s="9">
        <v>0.24504084014002334</v>
      </c>
      <c r="T315" s="11">
        <v>157</v>
      </c>
      <c r="U315" s="3">
        <v>12.103610237046361</v>
      </c>
      <c r="V315" s="3">
        <f t="shared" si="21"/>
        <v>1.5422569870308782</v>
      </c>
      <c r="W315" s="9"/>
      <c r="X315">
        <v>326</v>
      </c>
      <c r="AA315" s="3">
        <v>9.86</v>
      </c>
      <c r="AB315" s="9">
        <v>0.25127334465195245</v>
      </c>
      <c r="AD315" s="3">
        <v>9.86</v>
      </c>
      <c r="AE315" s="6">
        <f t="shared" si="19"/>
        <v>1.2883286926994906</v>
      </c>
      <c r="AG315" s="3">
        <f t="shared" si="20"/>
        <v>4.6011001564127323</v>
      </c>
    </row>
    <row r="316" spans="1:33" x14ac:dyDescent="0.25">
      <c r="A316" t="s">
        <v>47</v>
      </c>
      <c r="B316" t="s">
        <v>0</v>
      </c>
      <c r="C316">
        <v>64</v>
      </c>
      <c r="D316">
        <v>327</v>
      </c>
      <c r="E316" s="2">
        <v>34</v>
      </c>
      <c r="F316" t="s">
        <v>34</v>
      </c>
      <c r="I316" s="6">
        <v>16.68</v>
      </c>
      <c r="J316" s="4">
        <v>0.23474801061007958</v>
      </c>
      <c r="K316" s="10">
        <v>131</v>
      </c>
      <c r="L316" s="6">
        <v>17.608918091540357</v>
      </c>
      <c r="M316" s="6">
        <f t="shared" si="18"/>
        <v>2.1495024153121678</v>
      </c>
      <c r="O316">
        <v>327</v>
      </c>
      <c r="R316" s="3">
        <v>13.66</v>
      </c>
      <c r="S316" s="9">
        <v>0.24504084014002334</v>
      </c>
      <c r="T316" s="11">
        <v>153</v>
      </c>
      <c r="U316" s="3">
        <v>14.747654709460877</v>
      </c>
      <c r="V316" s="3">
        <f t="shared" si="21"/>
        <v>1.8791644040526578</v>
      </c>
      <c r="W316" s="9"/>
      <c r="X316">
        <v>327</v>
      </c>
      <c r="AA316" s="3">
        <v>9.76</v>
      </c>
      <c r="AB316" s="9">
        <v>0.25127334465195245</v>
      </c>
      <c r="AD316" s="3">
        <v>9.76</v>
      </c>
      <c r="AE316" s="6">
        <f t="shared" si="19"/>
        <v>1.2752624787775892</v>
      </c>
      <c r="AG316" s="3">
        <f t="shared" si="20"/>
        <v>5.3039292981424158</v>
      </c>
    </row>
    <row r="317" spans="1:33" x14ac:dyDescent="0.25">
      <c r="A317" t="s">
        <v>47</v>
      </c>
      <c r="B317" t="s">
        <v>0</v>
      </c>
      <c r="C317">
        <v>64</v>
      </c>
      <c r="D317">
        <v>328</v>
      </c>
      <c r="E317" s="2">
        <v>27</v>
      </c>
      <c r="F317" t="s">
        <v>14</v>
      </c>
      <c r="I317" s="6">
        <v>15.72</v>
      </c>
      <c r="J317" s="4">
        <v>0.23474801061007958</v>
      </c>
      <c r="K317" s="10">
        <v>140</v>
      </c>
      <c r="L317" s="6">
        <v>16.733365190771298</v>
      </c>
      <c r="M317" s="6">
        <f t="shared" si="18"/>
        <v>2.042624578459669</v>
      </c>
      <c r="O317">
        <v>328</v>
      </c>
      <c r="R317" s="3">
        <v>13.12</v>
      </c>
      <c r="S317" s="9">
        <v>0.24504084014002334</v>
      </c>
      <c r="T317" s="11">
        <v>134</v>
      </c>
      <c r="U317" s="3">
        <v>14.03686595342983</v>
      </c>
      <c r="V317" s="3">
        <f t="shared" si="21"/>
        <v>1.7885948216038945</v>
      </c>
      <c r="W317" s="9"/>
      <c r="X317">
        <v>328</v>
      </c>
      <c r="AA317" s="3">
        <v>11.1</v>
      </c>
      <c r="AB317" s="9">
        <v>0.25127334465195245</v>
      </c>
      <c r="AD317" s="3">
        <v>11.1</v>
      </c>
      <c r="AE317" s="6">
        <f t="shared" si="19"/>
        <v>1.4503497453310694</v>
      </c>
      <c r="AG317" s="3">
        <f t="shared" si="20"/>
        <v>5.2815691453946325</v>
      </c>
    </row>
    <row r="318" spans="1:33" x14ac:dyDescent="0.25">
      <c r="A318" t="s">
        <v>47</v>
      </c>
      <c r="B318" t="s">
        <v>0</v>
      </c>
      <c r="C318">
        <v>64</v>
      </c>
      <c r="D318">
        <v>329</v>
      </c>
      <c r="E318" s="2">
        <v>14</v>
      </c>
      <c r="F318" t="s">
        <v>25</v>
      </c>
      <c r="G318" s="2">
        <v>630</v>
      </c>
      <c r="H318" s="2">
        <v>167</v>
      </c>
      <c r="I318" s="6">
        <v>14.52</v>
      </c>
      <c r="J318" s="4">
        <v>0.225752508361204</v>
      </c>
      <c r="K318" s="10">
        <v>93</v>
      </c>
      <c r="L318" s="6">
        <v>15.115170500897372</v>
      </c>
      <c r="M318" s="6">
        <f t="shared" si="18"/>
        <v>1.7743895805401262</v>
      </c>
      <c r="O318">
        <v>329</v>
      </c>
      <c r="P318">
        <v>914</v>
      </c>
      <c r="Q318">
        <v>238</v>
      </c>
      <c r="R318" s="3">
        <v>9.48</v>
      </c>
      <c r="S318" s="9">
        <v>0.23356009070294784</v>
      </c>
      <c r="T318" s="11">
        <v>159</v>
      </c>
      <c r="U318" s="3">
        <v>10.677703263333477</v>
      </c>
      <c r="V318" s="3">
        <f t="shared" si="21"/>
        <v>1.2968203781953311</v>
      </c>
      <c r="W318" s="9"/>
      <c r="X318">
        <v>329</v>
      </c>
      <c r="Y318">
        <v>580</v>
      </c>
      <c r="Z318">
        <v>159</v>
      </c>
      <c r="AA318" s="3">
        <v>9.34</v>
      </c>
      <c r="AB318" s="9">
        <v>0.23175182481751824</v>
      </c>
      <c r="AD318" s="3">
        <v>9.34</v>
      </c>
      <c r="AE318" s="6">
        <f t="shared" si="19"/>
        <v>1.1255722627737228</v>
      </c>
      <c r="AG318" s="3">
        <f t="shared" si="20"/>
        <v>4.1967822215091797</v>
      </c>
    </row>
    <row r="319" spans="1:33" x14ac:dyDescent="0.25">
      <c r="A319" t="s">
        <v>47</v>
      </c>
      <c r="B319" t="s">
        <v>0</v>
      </c>
      <c r="C319">
        <v>64</v>
      </c>
      <c r="D319">
        <v>330</v>
      </c>
      <c r="E319" s="2">
        <v>28</v>
      </c>
      <c r="F319" t="s">
        <v>13</v>
      </c>
      <c r="I319" s="6">
        <v>15.94</v>
      </c>
      <c r="J319" s="4">
        <v>0.225752508361204</v>
      </c>
      <c r="K319" s="10">
        <v>79</v>
      </c>
      <c r="L319" s="6">
        <v>16.398573992494697</v>
      </c>
      <c r="M319" s="6">
        <f t="shared" si="18"/>
        <v>1.9250499904232905</v>
      </c>
      <c r="O319">
        <v>330</v>
      </c>
      <c r="R319" s="3">
        <v>11.02</v>
      </c>
      <c r="S319" s="9">
        <v>0.23356009070294784</v>
      </c>
      <c r="T319" s="11">
        <v>197</v>
      </c>
      <c r="U319" s="3">
        <v>12.576071168897823</v>
      </c>
      <c r="V319" s="3">
        <f t="shared" si="21"/>
        <v>1.5273795279051414</v>
      </c>
      <c r="W319" s="9"/>
      <c r="X319">
        <v>330</v>
      </c>
      <c r="AA319" s="3">
        <v>11.86</v>
      </c>
      <c r="AB319" s="9">
        <v>0.23175182481751824</v>
      </c>
      <c r="AD319" s="3">
        <v>11.86</v>
      </c>
      <c r="AE319" s="6">
        <f t="shared" si="19"/>
        <v>1.4292598540145984</v>
      </c>
      <c r="AG319" s="3">
        <f t="shared" si="20"/>
        <v>4.8816893723430308</v>
      </c>
    </row>
    <row r="320" spans="1:33" x14ac:dyDescent="0.25">
      <c r="A320" t="s">
        <v>47</v>
      </c>
      <c r="B320" t="s">
        <v>0</v>
      </c>
      <c r="C320">
        <v>64</v>
      </c>
      <c r="D320">
        <v>331</v>
      </c>
      <c r="E320" s="2">
        <v>36</v>
      </c>
      <c r="F320" t="s">
        <v>27</v>
      </c>
      <c r="I320" s="6">
        <v>14.38</v>
      </c>
      <c r="J320" s="4">
        <v>0.225752508361204</v>
      </c>
      <c r="K320" s="10">
        <v>116</v>
      </c>
      <c r="L320" s="6">
        <v>15.199579050416055</v>
      </c>
      <c r="M320" s="6">
        <f t="shared" si="18"/>
        <v>1.7842984102662327</v>
      </c>
      <c r="O320">
        <v>331</v>
      </c>
      <c r="R320" s="3">
        <v>10.92</v>
      </c>
      <c r="S320" s="9">
        <v>0.23356009070294784</v>
      </c>
      <c r="T320" s="11">
        <v>138</v>
      </c>
      <c r="U320" s="3">
        <v>11.91965784183739</v>
      </c>
      <c r="V320" s="3">
        <f t="shared" si="21"/>
        <v>1.447657310677575</v>
      </c>
      <c r="W320" s="9"/>
      <c r="X320">
        <v>331</v>
      </c>
      <c r="AA320" s="3">
        <v>11.36</v>
      </c>
      <c r="AB320" s="9">
        <v>0.23175182481751824</v>
      </c>
      <c r="AD320" s="3">
        <v>11.36</v>
      </c>
      <c r="AE320" s="6">
        <f t="shared" si="19"/>
        <v>1.3690043795620437</v>
      </c>
      <c r="AG320" s="3">
        <f t="shared" si="20"/>
        <v>4.6009601005058514</v>
      </c>
    </row>
    <row r="321" spans="1:33" x14ac:dyDescent="0.25">
      <c r="A321" t="s">
        <v>47</v>
      </c>
      <c r="B321" t="s">
        <v>0</v>
      </c>
      <c r="C321">
        <v>64</v>
      </c>
      <c r="D321">
        <v>332</v>
      </c>
      <c r="E321" s="2">
        <v>29</v>
      </c>
      <c r="F321" t="s">
        <v>11</v>
      </c>
      <c r="I321" s="6">
        <v>14.66</v>
      </c>
      <c r="J321" s="4">
        <v>0.225752508361204</v>
      </c>
      <c r="K321" s="10">
        <v>104</v>
      </c>
      <c r="L321" s="6">
        <v>15.362496328928048</v>
      </c>
      <c r="M321" s="6">
        <f t="shared" si="18"/>
        <v>1.8034234820915536</v>
      </c>
      <c r="O321">
        <v>332</v>
      </c>
      <c r="R321" s="3">
        <v>13.56</v>
      </c>
      <c r="S321" s="9">
        <v>0.23356009070294784</v>
      </c>
      <c r="T321" s="11">
        <v>127</v>
      </c>
      <c r="U321" s="3">
        <v>14.455919763910869</v>
      </c>
      <c r="V321" s="3">
        <f t="shared" si="21"/>
        <v>1.7556894842518507</v>
      </c>
      <c r="W321" s="9"/>
      <c r="X321">
        <v>332</v>
      </c>
      <c r="AA321" s="3">
        <v>8.94</v>
      </c>
      <c r="AB321" s="9">
        <v>0.23175182481751824</v>
      </c>
      <c r="AD321" s="3">
        <v>8.94</v>
      </c>
      <c r="AE321" s="6">
        <f t="shared" si="19"/>
        <v>1.0773678832116789</v>
      </c>
      <c r="AG321" s="3">
        <f t="shared" si="20"/>
        <v>4.6364808495550829</v>
      </c>
    </row>
    <row r="322" spans="1:33" x14ac:dyDescent="0.25">
      <c r="A322" t="s">
        <v>47</v>
      </c>
      <c r="B322" t="s">
        <v>0</v>
      </c>
      <c r="C322">
        <v>64</v>
      </c>
      <c r="D322">
        <v>333</v>
      </c>
      <c r="E322" s="2">
        <v>31</v>
      </c>
      <c r="F322" t="s">
        <v>29</v>
      </c>
      <c r="G322" s="2">
        <v>754</v>
      </c>
      <c r="H322" s="2">
        <v>195</v>
      </c>
      <c r="I322" s="6">
        <v>15.42</v>
      </c>
      <c r="J322" s="4">
        <v>0.2257617728531856</v>
      </c>
      <c r="K322" s="10">
        <v>109</v>
      </c>
      <c r="L322" s="6">
        <v>16.171249966217129</v>
      </c>
      <c r="M322" s="6">
        <f t="shared" si="18"/>
        <v>1.8984420320451023</v>
      </c>
      <c r="O322">
        <v>333</v>
      </c>
      <c r="P322">
        <v>702</v>
      </c>
      <c r="Q322">
        <v>209</v>
      </c>
      <c r="R322" s="3">
        <v>13.1</v>
      </c>
      <c r="S322" s="9">
        <v>0.26417910447761195</v>
      </c>
      <c r="T322" s="11">
        <v>107</v>
      </c>
      <c r="U322" s="3">
        <v>13.725326663182258</v>
      </c>
      <c r="V322" s="3">
        <f t="shared" si="21"/>
        <v>1.885491143401933</v>
      </c>
      <c r="W322" s="9"/>
      <c r="X322">
        <v>333</v>
      </c>
      <c r="Y322">
        <v>625</v>
      </c>
      <c r="Z322">
        <v>169</v>
      </c>
      <c r="AA322" s="3">
        <v>12.08</v>
      </c>
      <c r="AB322" s="9">
        <v>0.23102866779089376</v>
      </c>
      <c r="AD322" s="3">
        <v>12.08</v>
      </c>
      <c r="AE322" s="6">
        <f t="shared" si="19"/>
        <v>1.4512296795952782</v>
      </c>
      <c r="AG322" s="3">
        <f t="shared" si="20"/>
        <v>5.2351628550423133</v>
      </c>
    </row>
    <row r="323" spans="1:33" x14ac:dyDescent="0.25">
      <c r="A323" t="s">
        <v>47</v>
      </c>
      <c r="B323" t="s">
        <v>0</v>
      </c>
      <c r="C323">
        <v>64</v>
      </c>
      <c r="D323">
        <v>334</v>
      </c>
      <c r="E323" s="2">
        <v>23</v>
      </c>
      <c r="F323" t="s">
        <v>36</v>
      </c>
      <c r="I323" s="6">
        <v>14.5</v>
      </c>
      <c r="J323" s="4">
        <v>0.2257617728531856</v>
      </c>
      <c r="K323" s="10">
        <v>85</v>
      </c>
      <c r="L323" s="6">
        <v>15.01709413259101</v>
      </c>
      <c r="M323" s="6">
        <f t="shared" ref="M323:M385" si="22">J323*L323*0.52</f>
        <v>1.7629486131279974</v>
      </c>
      <c r="O323">
        <v>334</v>
      </c>
      <c r="R323" s="3">
        <v>12.06</v>
      </c>
      <c r="S323" s="9">
        <v>0.26417910447761195</v>
      </c>
      <c r="T323" s="11">
        <v>145</v>
      </c>
      <c r="U323" s="3">
        <v>13.002158839194605</v>
      </c>
      <c r="V323" s="3">
        <f t="shared" si="21"/>
        <v>1.7861473127753307</v>
      </c>
      <c r="W323" s="9"/>
      <c r="X323">
        <v>334</v>
      </c>
      <c r="AA323" s="3">
        <v>10.9</v>
      </c>
      <c r="AB323" s="9">
        <v>0.23102866779089376</v>
      </c>
      <c r="AD323" s="3">
        <v>10.9</v>
      </c>
      <c r="AE323" s="6">
        <f t="shared" ref="AE323:AE385" si="23">AB323*AD323*0.52</f>
        <v>1.3094704890387858</v>
      </c>
      <c r="AG323" s="3">
        <f t="shared" ref="AG323:AG385" si="24">M323+V323+AE323</f>
        <v>4.8585664149421142</v>
      </c>
    </row>
    <row r="324" spans="1:33" x14ac:dyDescent="0.25">
      <c r="A324" t="s">
        <v>47</v>
      </c>
      <c r="B324" t="s">
        <v>0</v>
      </c>
      <c r="C324">
        <v>64</v>
      </c>
      <c r="D324">
        <v>335</v>
      </c>
      <c r="E324" s="2">
        <v>1</v>
      </c>
      <c r="F324" t="s">
        <v>6</v>
      </c>
      <c r="I324" s="6">
        <v>17.32</v>
      </c>
      <c r="J324" s="4">
        <v>0.2257617728531856</v>
      </c>
      <c r="K324" s="10">
        <v>117</v>
      </c>
      <c r="L324" s="6">
        <v>18.149301910759171</v>
      </c>
      <c r="M324" s="6">
        <f t="shared" si="22"/>
        <v>2.1306576592187638</v>
      </c>
      <c r="O324">
        <v>335</v>
      </c>
      <c r="R324" s="3">
        <v>14.08</v>
      </c>
      <c r="S324" s="9">
        <v>0.26417910447761195</v>
      </c>
      <c r="T324" s="11">
        <v>204</v>
      </c>
      <c r="U324" s="3">
        <v>15.514082480897981</v>
      </c>
      <c r="V324" s="3">
        <f t="shared" si="21"/>
        <v>2.1312181366296272</v>
      </c>
      <c r="W324" s="9"/>
      <c r="X324">
        <v>335</v>
      </c>
      <c r="AA324" s="3">
        <v>11.04</v>
      </c>
      <c r="AB324" s="9">
        <v>0.23102866779089376</v>
      </c>
      <c r="AD324" s="3">
        <v>11.04</v>
      </c>
      <c r="AE324" s="6">
        <f t="shared" si="23"/>
        <v>1.3262893760539629</v>
      </c>
      <c r="AG324" s="3">
        <f t="shared" si="24"/>
        <v>5.5881651719023546</v>
      </c>
    </row>
    <row r="325" spans="1:33" x14ac:dyDescent="0.25">
      <c r="A325" t="s">
        <v>47</v>
      </c>
      <c r="B325" t="s">
        <v>0</v>
      </c>
      <c r="C325">
        <v>64</v>
      </c>
      <c r="D325">
        <v>336</v>
      </c>
      <c r="E325" s="2">
        <v>22</v>
      </c>
      <c r="F325" t="s">
        <v>7</v>
      </c>
      <c r="I325" s="6">
        <v>16.48</v>
      </c>
      <c r="J325" s="4">
        <v>0.2257617728531856</v>
      </c>
      <c r="K325" s="10">
        <v>91</v>
      </c>
      <c r="L325" s="6">
        <v>17.055633090997542</v>
      </c>
      <c r="M325" s="6">
        <f t="shared" si="22"/>
        <v>2.0022651811536729</v>
      </c>
      <c r="O325">
        <v>336</v>
      </c>
      <c r="R325" s="3">
        <v>14.42</v>
      </c>
      <c r="S325" s="9">
        <v>0.26417910447761195</v>
      </c>
      <c r="T325" s="11">
        <v>101</v>
      </c>
      <c r="U325" s="3">
        <v>14.995300530127679</v>
      </c>
      <c r="V325" s="3">
        <f t="shared" si="21"/>
        <v>2.059951434019331</v>
      </c>
      <c r="W325" s="9"/>
      <c r="X325">
        <v>336</v>
      </c>
      <c r="AA325" s="3">
        <v>9.6</v>
      </c>
      <c r="AB325" s="9">
        <v>0.23102866779089376</v>
      </c>
      <c r="AD325" s="3">
        <v>9.6</v>
      </c>
      <c r="AE325" s="6">
        <f t="shared" si="23"/>
        <v>1.1532951096121418</v>
      </c>
      <c r="AG325" s="3">
        <f t="shared" si="24"/>
        <v>5.215511724785145</v>
      </c>
    </row>
    <row r="326" spans="1:33" x14ac:dyDescent="0.25">
      <c r="A326" t="s">
        <v>47</v>
      </c>
      <c r="B326" t="s">
        <v>0</v>
      </c>
      <c r="C326">
        <v>64</v>
      </c>
      <c r="D326">
        <v>337</v>
      </c>
      <c r="E326" s="2">
        <v>25</v>
      </c>
      <c r="F326" t="s">
        <v>8</v>
      </c>
      <c r="G326" s="2">
        <v>859</v>
      </c>
      <c r="H326" s="2">
        <v>216</v>
      </c>
      <c r="I326" s="6">
        <v>13.76</v>
      </c>
      <c r="J326" s="4">
        <v>0.22249093107617895</v>
      </c>
      <c r="K326" s="10">
        <v>163</v>
      </c>
      <c r="L326" s="6">
        <v>15.056889963608505</v>
      </c>
      <c r="M326" s="6">
        <f t="shared" si="22"/>
        <v>1.7420111628997121</v>
      </c>
      <c r="O326">
        <v>337</v>
      </c>
      <c r="P326">
        <v>545</v>
      </c>
      <c r="Q326">
        <v>154</v>
      </c>
      <c r="R326" s="3">
        <v>12.14</v>
      </c>
      <c r="S326" s="9">
        <v>0.23781676413255359</v>
      </c>
      <c r="T326" s="11">
        <v>158</v>
      </c>
      <c r="U326" s="3">
        <v>13.307003683108254</v>
      </c>
      <c r="V326" s="3">
        <f t="shared" si="21"/>
        <v>1.6456068492327243</v>
      </c>
      <c r="W326" s="9"/>
      <c r="X326">
        <v>337</v>
      </c>
      <c r="Y326">
        <v>670</v>
      </c>
      <c r="Z326">
        <v>186</v>
      </c>
      <c r="AA326" s="3">
        <v>8.2200000000000006</v>
      </c>
      <c r="AB326" s="9">
        <v>0.2413793103448276</v>
      </c>
      <c r="AD326" s="3">
        <v>8.2200000000000006</v>
      </c>
      <c r="AE326" s="6">
        <f t="shared" si="23"/>
        <v>1.0317517241379313</v>
      </c>
      <c r="AG326" s="3">
        <f t="shared" si="24"/>
        <v>4.419369736270367</v>
      </c>
    </row>
    <row r="327" spans="1:33" x14ac:dyDescent="0.25">
      <c r="A327" t="s">
        <v>47</v>
      </c>
      <c r="B327" t="s">
        <v>0</v>
      </c>
      <c r="C327">
        <v>64</v>
      </c>
      <c r="D327">
        <v>338</v>
      </c>
      <c r="E327" s="2">
        <v>18</v>
      </c>
      <c r="F327" t="s">
        <v>18</v>
      </c>
      <c r="I327" s="6">
        <v>16.5</v>
      </c>
      <c r="J327" s="4">
        <v>0.22249093107617895</v>
      </c>
      <c r="K327" s="10">
        <v>129</v>
      </c>
      <c r="L327" s="6">
        <v>17.460292568473474</v>
      </c>
      <c r="M327" s="6">
        <f t="shared" si="22"/>
        <v>2.0200735102195186</v>
      </c>
      <c r="O327">
        <v>338</v>
      </c>
      <c r="R327" s="3">
        <v>11.72</v>
      </c>
      <c r="S327" s="9">
        <v>0.23781676413255359</v>
      </c>
      <c r="T327" s="11">
        <v>216</v>
      </c>
      <c r="U327" s="3">
        <v>13.42419585469777</v>
      </c>
      <c r="V327" s="3">
        <f t="shared" si="21"/>
        <v>1.660099386007849</v>
      </c>
      <c r="W327" s="9"/>
      <c r="X327">
        <v>338</v>
      </c>
      <c r="AA327" s="3">
        <v>11.38</v>
      </c>
      <c r="AB327" s="9">
        <v>0.2413793103448276</v>
      </c>
      <c r="AD327" s="3">
        <v>11.38</v>
      </c>
      <c r="AE327" s="6">
        <f t="shared" si="23"/>
        <v>1.428386206896552</v>
      </c>
      <c r="AG327" s="3">
        <f t="shared" si="24"/>
        <v>5.1085591031239197</v>
      </c>
    </row>
    <row r="328" spans="1:33" x14ac:dyDescent="0.25">
      <c r="A328" t="s">
        <v>47</v>
      </c>
      <c r="B328" t="s">
        <v>0</v>
      </c>
      <c r="C328">
        <v>64</v>
      </c>
      <c r="D328">
        <v>339</v>
      </c>
      <c r="E328" s="2">
        <v>21</v>
      </c>
      <c r="F328" t="s">
        <v>22</v>
      </c>
      <c r="I328" s="6">
        <v>13.66</v>
      </c>
      <c r="J328" s="4">
        <v>0.22249093107617895</v>
      </c>
      <c r="K328" s="10">
        <v>96</v>
      </c>
      <c r="L328" s="6">
        <v>14.293595096724765</v>
      </c>
      <c r="M328" s="6">
        <f t="shared" si="22"/>
        <v>1.6537015463780236</v>
      </c>
      <c r="O328">
        <v>339</v>
      </c>
      <c r="R328" s="3">
        <v>11.8</v>
      </c>
      <c r="S328" s="9">
        <v>0.23781676413255359</v>
      </c>
      <c r="T328" s="11">
        <v>114</v>
      </c>
      <c r="U328" s="3">
        <v>12.559478587419658</v>
      </c>
      <c r="V328" s="3">
        <f t="shared" si="21"/>
        <v>1.5531643695631638</v>
      </c>
      <c r="W328" s="9"/>
      <c r="X328">
        <v>339</v>
      </c>
      <c r="AA328" s="3">
        <v>9.8000000000000007</v>
      </c>
      <c r="AB328" s="9">
        <v>0.2413793103448276</v>
      </c>
      <c r="AD328" s="3">
        <v>9.8000000000000007</v>
      </c>
      <c r="AE328" s="6">
        <f t="shared" si="23"/>
        <v>1.2300689655172414</v>
      </c>
      <c r="AG328" s="3">
        <f t="shared" si="24"/>
        <v>4.4369348814584288</v>
      </c>
    </row>
    <row r="329" spans="1:33" x14ac:dyDescent="0.25">
      <c r="A329" t="s">
        <v>47</v>
      </c>
      <c r="B329" t="s">
        <v>0</v>
      </c>
      <c r="C329">
        <v>64</v>
      </c>
      <c r="D329">
        <v>340</v>
      </c>
      <c r="E329" s="2">
        <v>6</v>
      </c>
      <c r="F329" t="s">
        <v>1</v>
      </c>
      <c r="I329" s="6">
        <v>15.36</v>
      </c>
      <c r="J329" s="4">
        <v>0.22249093107617895</v>
      </c>
      <c r="K329" s="10">
        <v>119</v>
      </c>
      <c r="L329" s="6">
        <v>16.221293334610227</v>
      </c>
      <c r="M329" s="6">
        <f t="shared" si="22"/>
        <v>1.8767271417841676</v>
      </c>
      <c r="O329">
        <v>340</v>
      </c>
      <c r="R329" s="3">
        <v>13.58</v>
      </c>
      <c r="S329" s="9">
        <v>0.23781676413255359</v>
      </c>
      <c r="T329" s="11">
        <v>150</v>
      </c>
      <c r="U329" s="3">
        <v>14.672908211164874</v>
      </c>
      <c r="V329" s="3">
        <f t="shared" si="21"/>
        <v>1.8145210466204669</v>
      </c>
      <c r="W329" s="9"/>
      <c r="X329">
        <v>340</v>
      </c>
      <c r="AA329" s="3">
        <v>10.1</v>
      </c>
      <c r="AB329" s="9">
        <v>0.2413793103448276</v>
      </c>
      <c r="AD329" s="3">
        <v>10.1</v>
      </c>
      <c r="AE329" s="6">
        <f t="shared" si="23"/>
        <v>1.2677241379310347</v>
      </c>
      <c r="AG329" s="3">
        <f t="shared" si="24"/>
        <v>4.9589723263356689</v>
      </c>
    </row>
    <row r="330" spans="1:33" x14ac:dyDescent="0.25">
      <c r="A330" t="s">
        <v>47</v>
      </c>
      <c r="B330" t="s">
        <v>0</v>
      </c>
      <c r="C330">
        <v>64</v>
      </c>
      <c r="D330">
        <v>341</v>
      </c>
      <c r="E330" s="2">
        <v>19</v>
      </c>
      <c r="F330" t="s">
        <v>10</v>
      </c>
      <c r="G330" s="2">
        <v>740</v>
      </c>
      <c r="H330" s="2">
        <v>183</v>
      </c>
      <c r="I330" s="6">
        <v>16.3</v>
      </c>
      <c r="J330" s="4">
        <v>0.2132768361581921</v>
      </c>
      <c r="K330" s="10">
        <v>143</v>
      </c>
      <c r="L330" s="6">
        <v>17.446366368118564</v>
      </c>
      <c r="M330" s="6">
        <f t="shared" si="22"/>
        <v>1.9348710271534884</v>
      </c>
      <c r="O330">
        <v>341</v>
      </c>
      <c r="P330">
        <v>779</v>
      </c>
      <c r="Q330">
        <v>211</v>
      </c>
      <c r="R330" s="3">
        <v>14.38</v>
      </c>
      <c r="S330" s="9">
        <v>0.23962516733601072</v>
      </c>
      <c r="T330" s="11">
        <v>139</v>
      </c>
      <c r="U330" s="3">
        <v>15.363547855191594</v>
      </c>
      <c r="V330" s="3">
        <f t="shared" si="21"/>
        <v>1.914376217351049</v>
      </c>
      <c r="W330" s="9"/>
      <c r="X330">
        <v>341</v>
      </c>
      <c r="Y330">
        <v>610</v>
      </c>
      <c r="Z330">
        <v>172</v>
      </c>
      <c r="AA330" s="3">
        <v>9.56</v>
      </c>
      <c r="AB330" s="9">
        <v>0.24221453287197231</v>
      </c>
      <c r="AD330" s="3">
        <v>9.56</v>
      </c>
      <c r="AE330" s="6">
        <f t="shared" si="23"/>
        <v>1.2040968858131489</v>
      </c>
      <c r="AG330" s="3">
        <f t="shared" si="24"/>
        <v>5.0533441303176865</v>
      </c>
    </row>
    <row r="331" spans="1:33" x14ac:dyDescent="0.25">
      <c r="A331" t="s">
        <v>47</v>
      </c>
      <c r="B331" t="s">
        <v>0</v>
      </c>
      <c r="C331">
        <v>64</v>
      </c>
      <c r="D331">
        <v>342</v>
      </c>
      <c r="E331" s="2">
        <v>24</v>
      </c>
      <c r="F331" t="s">
        <v>32</v>
      </c>
      <c r="I331" s="6">
        <v>16.84</v>
      </c>
      <c r="J331" s="4">
        <v>0.2132768361581921</v>
      </c>
      <c r="K331" s="10">
        <v>95</v>
      </c>
      <c r="L331" s="6">
        <v>17.490640371094319</v>
      </c>
      <c r="M331" s="6">
        <f t="shared" si="22"/>
        <v>1.9397811891784267</v>
      </c>
      <c r="O331">
        <v>342</v>
      </c>
      <c r="R331" s="3">
        <v>13.64</v>
      </c>
      <c r="S331" s="9">
        <v>0.23962516733601072</v>
      </c>
      <c r="T331" s="11">
        <v>131</v>
      </c>
      <c r="U331" s="3">
        <v>14.550011566952969</v>
      </c>
      <c r="V331" s="3">
        <f t="shared" si="21"/>
        <v>1.8130054573654384</v>
      </c>
      <c r="W331" s="9"/>
      <c r="X331">
        <v>342</v>
      </c>
      <c r="AA331" s="3">
        <v>11.14</v>
      </c>
      <c r="AB331" s="9">
        <v>0.24221453287197231</v>
      </c>
      <c r="AD331" s="3">
        <v>11.14</v>
      </c>
      <c r="AE331" s="6">
        <f t="shared" si="23"/>
        <v>1.4031003460207614</v>
      </c>
      <c r="AG331" s="3">
        <f t="shared" si="24"/>
        <v>5.1558869925646267</v>
      </c>
    </row>
    <row r="332" spans="1:33" x14ac:dyDescent="0.25">
      <c r="A332" t="s">
        <v>47</v>
      </c>
      <c r="B332" t="s">
        <v>0</v>
      </c>
      <c r="C332">
        <v>64</v>
      </c>
      <c r="D332">
        <v>343</v>
      </c>
      <c r="E332" s="2">
        <v>35</v>
      </c>
      <c r="F332" t="s">
        <v>26</v>
      </c>
      <c r="I332" s="6">
        <v>17.62</v>
      </c>
      <c r="J332" s="4">
        <v>0.2132768361581921</v>
      </c>
      <c r="K332" s="10">
        <v>117</v>
      </c>
      <c r="L332" s="6">
        <v>18.497848119730431</v>
      </c>
      <c r="M332" s="6">
        <f t="shared" si="22"/>
        <v>2.0514845118096519</v>
      </c>
      <c r="O332">
        <v>343</v>
      </c>
      <c r="R332" s="3">
        <v>14.46</v>
      </c>
      <c r="S332" s="9">
        <v>0.23962516733601072</v>
      </c>
      <c r="T332" s="11">
        <v>160</v>
      </c>
      <c r="U332" s="3">
        <v>15.636580611817982</v>
      </c>
      <c r="V332" s="3">
        <f t="shared" si="21"/>
        <v>1.9483974877483505</v>
      </c>
      <c r="W332" s="9"/>
      <c r="X332">
        <v>343</v>
      </c>
      <c r="AA332" s="3">
        <v>10.52</v>
      </c>
      <c r="AB332" s="9">
        <v>0.24221453287197231</v>
      </c>
      <c r="AD332" s="3">
        <v>10.52</v>
      </c>
      <c r="AE332" s="6">
        <f t="shared" si="23"/>
        <v>1.3250103806228375</v>
      </c>
      <c r="AG332" s="3">
        <f t="shared" si="24"/>
        <v>5.3248923801808399</v>
      </c>
    </row>
    <row r="333" spans="1:33" x14ac:dyDescent="0.25">
      <c r="A333" t="s">
        <v>47</v>
      </c>
      <c r="B333" t="s">
        <v>0</v>
      </c>
      <c r="C333">
        <v>64</v>
      </c>
      <c r="D333">
        <v>344</v>
      </c>
      <c r="E333" s="2">
        <v>32</v>
      </c>
      <c r="F333" t="s">
        <v>30</v>
      </c>
      <c r="I333" s="6">
        <v>14.3</v>
      </c>
      <c r="J333" s="4">
        <v>0.2132768361581921</v>
      </c>
      <c r="K333" s="10">
        <v>121</v>
      </c>
      <c r="L333" s="6">
        <v>15.219158619482453</v>
      </c>
      <c r="M333" s="6">
        <f t="shared" si="22"/>
        <v>1.6878648796635061</v>
      </c>
      <c r="O333">
        <v>344</v>
      </c>
      <c r="R333" s="3">
        <v>13</v>
      </c>
      <c r="S333" s="9">
        <v>0.23962516733601072</v>
      </c>
      <c r="T333" s="11">
        <v>102</v>
      </c>
      <c r="U333" s="3">
        <v>13.643442522087959</v>
      </c>
      <c r="V333" s="3">
        <f t="shared" si="21"/>
        <v>1.700042342645177</v>
      </c>
      <c r="W333" s="9"/>
      <c r="X333">
        <v>344</v>
      </c>
      <c r="AA333" s="3">
        <v>10.06</v>
      </c>
      <c r="AB333" s="9">
        <v>0.24221453287197231</v>
      </c>
      <c r="AD333" s="3">
        <v>10.06</v>
      </c>
      <c r="AE333" s="6">
        <f t="shared" si="23"/>
        <v>1.2670726643598618</v>
      </c>
      <c r="AG333" s="3">
        <f t="shared" si="24"/>
        <v>4.6549798866685448</v>
      </c>
    </row>
    <row r="334" spans="1:33" x14ac:dyDescent="0.25">
      <c r="A334" t="s">
        <v>47</v>
      </c>
      <c r="B334" t="s">
        <v>0</v>
      </c>
      <c r="C334">
        <v>64</v>
      </c>
      <c r="D334">
        <v>345</v>
      </c>
      <c r="E334" s="2">
        <v>9</v>
      </c>
      <c r="F334" t="s">
        <v>19</v>
      </c>
      <c r="G334" s="2">
        <v>542</v>
      </c>
      <c r="H334" s="2">
        <v>151</v>
      </c>
      <c r="I334" s="6">
        <v>15.96</v>
      </c>
      <c r="J334" s="4">
        <v>0.23333333333333334</v>
      </c>
      <c r="K334" s="10">
        <v>173</v>
      </c>
      <c r="L334" s="6">
        <v>17.291025802391442</v>
      </c>
      <c r="M334" s="6">
        <f t="shared" si="22"/>
        <v>2.0979777973568283</v>
      </c>
      <c r="O334">
        <v>345</v>
      </c>
      <c r="P334">
        <v>669</v>
      </c>
      <c r="Q334">
        <v>191</v>
      </c>
      <c r="R334" s="3">
        <v>12.7</v>
      </c>
      <c r="S334" s="9">
        <v>0.24960753532182103</v>
      </c>
      <c r="T334" s="11">
        <v>150</v>
      </c>
      <c r="U334" s="3">
        <v>13.741282243094227</v>
      </c>
      <c r="V334" s="3">
        <f t="shared" si="21"/>
        <v>1.7835623482873324</v>
      </c>
      <c r="W334" s="9"/>
      <c r="X334">
        <v>345</v>
      </c>
      <c r="Y334">
        <v>672</v>
      </c>
      <c r="Z334">
        <v>181</v>
      </c>
      <c r="AA334" s="3">
        <v>10.039999999999999</v>
      </c>
      <c r="AB334" s="9">
        <v>0.23281250000000001</v>
      </c>
      <c r="AC334">
        <v>75</v>
      </c>
      <c r="AD334" s="3">
        <v>10.45</v>
      </c>
      <c r="AE334" s="6">
        <f t="shared" si="23"/>
        <v>1.265103125</v>
      </c>
      <c r="AG334" s="3">
        <f t="shared" si="24"/>
        <v>5.1466432706441605</v>
      </c>
    </row>
    <row r="335" spans="1:33" x14ac:dyDescent="0.25">
      <c r="A335" t="s">
        <v>47</v>
      </c>
      <c r="B335" t="s">
        <v>0</v>
      </c>
      <c r="C335">
        <v>64</v>
      </c>
      <c r="D335">
        <v>346</v>
      </c>
      <c r="E335" s="2">
        <v>33</v>
      </c>
      <c r="F335" t="s">
        <v>23</v>
      </c>
      <c r="I335" s="6">
        <v>18.559999999999999</v>
      </c>
      <c r="J335" s="4">
        <v>0.23333333333333334</v>
      </c>
      <c r="K335" s="10">
        <v>137</v>
      </c>
      <c r="L335" s="6">
        <v>19.551189427312774</v>
      </c>
      <c r="M335" s="6">
        <f t="shared" si="22"/>
        <v>2.3722109838472836</v>
      </c>
      <c r="O335">
        <v>346</v>
      </c>
      <c r="R335" s="3">
        <v>15.4</v>
      </c>
      <c r="S335" s="9">
        <v>0.24960753532182103</v>
      </c>
      <c r="T335" s="11">
        <v>202</v>
      </c>
      <c r="U335" s="3">
        <v>16.900152384118805</v>
      </c>
      <c r="V335" s="3">
        <f t="shared" si="21"/>
        <v>2.1935707992448079</v>
      </c>
      <c r="W335" s="9"/>
      <c r="X335">
        <v>346</v>
      </c>
      <c r="AA335" s="3">
        <v>12.2</v>
      </c>
      <c r="AB335" s="9">
        <v>0.23281250000000001</v>
      </c>
      <c r="AD335" s="3">
        <v>12.2</v>
      </c>
      <c r="AE335" s="6">
        <f t="shared" si="23"/>
        <v>1.4769625</v>
      </c>
      <c r="AG335" s="3">
        <f t="shared" si="24"/>
        <v>6.0427442830920919</v>
      </c>
    </row>
    <row r="336" spans="1:33" x14ac:dyDescent="0.25">
      <c r="A336" t="s">
        <v>47</v>
      </c>
      <c r="B336" t="s">
        <v>0</v>
      </c>
      <c r="C336">
        <v>64</v>
      </c>
      <c r="D336">
        <v>347</v>
      </c>
      <c r="E336" s="2">
        <v>26</v>
      </c>
      <c r="F336" t="s">
        <v>21</v>
      </c>
      <c r="I336" s="6">
        <v>17.38</v>
      </c>
      <c r="J336" s="4">
        <v>0.23333333333333334</v>
      </c>
      <c r="K336" s="10">
        <v>144</v>
      </c>
      <c r="L336" s="6">
        <v>18.43726872246696</v>
      </c>
      <c r="M336" s="6">
        <f t="shared" si="22"/>
        <v>2.2370552716593246</v>
      </c>
      <c r="O336">
        <v>347</v>
      </c>
      <c r="R336" s="3">
        <v>11.4</v>
      </c>
      <c r="S336" s="9">
        <v>0.24960753532182103</v>
      </c>
      <c r="T336" s="11">
        <v>140</v>
      </c>
      <c r="U336" s="3">
        <v>12.353037985204887</v>
      </c>
      <c r="V336" s="3">
        <f t="shared" si="21"/>
        <v>1.6033739099163895</v>
      </c>
      <c r="W336" s="9"/>
      <c r="X336">
        <v>347</v>
      </c>
      <c r="AA336" s="3">
        <v>10.98</v>
      </c>
      <c r="AB336" s="9">
        <v>0.23281250000000001</v>
      </c>
      <c r="AD336" s="3">
        <v>10.98</v>
      </c>
      <c r="AE336" s="6">
        <f t="shared" si="23"/>
        <v>1.3292662500000001</v>
      </c>
      <c r="AG336" s="3">
        <f t="shared" si="24"/>
        <v>5.1696954315757138</v>
      </c>
    </row>
    <row r="337" spans="1:33" x14ac:dyDescent="0.25">
      <c r="A337" t="s">
        <v>47</v>
      </c>
      <c r="B337" t="s">
        <v>0</v>
      </c>
      <c r="C337">
        <v>64</v>
      </c>
      <c r="D337">
        <v>348</v>
      </c>
      <c r="E337" s="2">
        <v>12</v>
      </c>
      <c r="F337" t="s">
        <v>33</v>
      </c>
      <c r="I337" s="6">
        <v>15.94</v>
      </c>
      <c r="J337" s="4">
        <v>0.23333333333333334</v>
      </c>
      <c r="K337" s="10">
        <v>121</v>
      </c>
      <c r="L337" s="6">
        <v>16.780151038388922</v>
      </c>
      <c r="M337" s="6">
        <f t="shared" si="22"/>
        <v>2.0359916593245226</v>
      </c>
      <c r="O337">
        <v>348</v>
      </c>
      <c r="R337" s="3">
        <v>12.76</v>
      </c>
      <c r="S337" s="9">
        <v>0.24960753532182103</v>
      </c>
      <c r="T337" s="11">
        <v>115</v>
      </c>
      <c r="U337" s="3">
        <v>13.492427340481534</v>
      </c>
      <c r="V337" s="3">
        <f t="shared" si="21"/>
        <v>1.751261997662501</v>
      </c>
      <c r="W337" s="9"/>
      <c r="X337">
        <v>348</v>
      </c>
      <c r="AA337" s="3">
        <v>10.16</v>
      </c>
      <c r="AB337" s="9">
        <v>0.23281250000000001</v>
      </c>
      <c r="AC337">
        <v>88</v>
      </c>
      <c r="AD337" s="3">
        <v>10.69</v>
      </c>
      <c r="AE337" s="6">
        <f t="shared" si="23"/>
        <v>1.294158125</v>
      </c>
      <c r="AG337" s="3">
        <f t="shared" si="24"/>
        <v>5.0814117819870237</v>
      </c>
    </row>
    <row r="338" spans="1:33" x14ac:dyDescent="0.25">
      <c r="A338" t="s">
        <v>47</v>
      </c>
      <c r="B338" t="s">
        <v>0</v>
      </c>
      <c r="C338">
        <v>64</v>
      </c>
      <c r="D338">
        <v>401</v>
      </c>
      <c r="E338" s="2">
        <v>9</v>
      </c>
      <c r="F338" t="s">
        <v>19</v>
      </c>
      <c r="G338" s="2">
        <v>497</v>
      </c>
      <c r="H338" s="2">
        <v>139</v>
      </c>
      <c r="I338" s="6">
        <v>14.9</v>
      </c>
      <c r="J338" s="4">
        <v>0.23010752688172043</v>
      </c>
      <c r="K338" s="10"/>
      <c r="L338" s="6">
        <v>14.9</v>
      </c>
      <c r="M338" s="6">
        <f t="shared" si="22"/>
        <v>1.7828731182795701</v>
      </c>
      <c r="O338">
        <v>401</v>
      </c>
      <c r="R338" s="3"/>
      <c r="S338" s="9"/>
      <c r="T338" s="11"/>
      <c r="U338" s="9"/>
      <c r="V338" s="11"/>
      <c r="W338" s="9"/>
      <c r="X338">
        <v>401</v>
      </c>
      <c r="Y338">
        <v>985</v>
      </c>
      <c r="Z338">
        <v>238</v>
      </c>
      <c r="AA338" s="3">
        <v>14.08</v>
      </c>
      <c r="AB338" s="9">
        <v>0.21615949632738721</v>
      </c>
      <c r="AD338" s="3">
        <v>14.08</v>
      </c>
      <c r="AE338" s="6">
        <f t="shared" si="23"/>
        <v>1.5826333683105984</v>
      </c>
      <c r="AG338" s="3"/>
    </row>
    <row r="339" spans="1:33" x14ac:dyDescent="0.25">
      <c r="A339" t="s">
        <v>47</v>
      </c>
      <c r="B339" t="s">
        <v>0</v>
      </c>
      <c r="C339">
        <v>64</v>
      </c>
      <c r="D339">
        <v>402</v>
      </c>
      <c r="E339" s="2">
        <v>11</v>
      </c>
      <c r="F339" t="s">
        <v>15</v>
      </c>
      <c r="I339" s="6">
        <v>18.079999999999998</v>
      </c>
      <c r="J339" s="4">
        <v>0.23010752688172043</v>
      </c>
      <c r="K339" s="10"/>
      <c r="L339" s="6">
        <v>18.079999999999998</v>
      </c>
      <c r="M339" s="6">
        <f t="shared" si="22"/>
        <v>2.1633789247311825</v>
      </c>
      <c r="O339">
        <v>402</v>
      </c>
      <c r="R339" s="3"/>
      <c r="S339" s="9"/>
      <c r="T339" s="11"/>
      <c r="U339" s="9"/>
      <c r="V339" s="11"/>
      <c r="W339" s="9"/>
      <c r="X339">
        <v>402</v>
      </c>
      <c r="AA339" s="3">
        <v>13.94</v>
      </c>
      <c r="AB339" s="9">
        <v>0.21615949632738721</v>
      </c>
      <c r="AD339" s="3">
        <v>13.94</v>
      </c>
      <c r="AE339" s="6">
        <f t="shared" si="23"/>
        <v>1.5668969569779643</v>
      </c>
      <c r="AG339" s="3"/>
    </row>
    <row r="340" spans="1:33" x14ac:dyDescent="0.25">
      <c r="A340" t="s">
        <v>47</v>
      </c>
      <c r="B340" t="s">
        <v>0</v>
      </c>
      <c r="C340">
        <v>64</v>
      </c>
      <c r="D340">
        <v>403</v>
      </c>
      <c r="E340" s="2">
        <v>10</v>
      </c>
      <c r="F340" t="s">
        <v>35</v>
      </c>
      <c r="I340" s="6">
        <v>16.3</v>
      </c>
      <c r="J340" s="4">
        <v>0.23010752688172043</v>
      </c>
      <c r="K340" s="10"/>
      <c r="L340" s="6">
        <v>16.3</v>
      </c>
      <c r="M340" s="6">
        <f t="shared" si="22"/>
        <v>1.9503913978494625</v>
      </c>
      <c r="O340">
        <v>403</v>
      </c>
      <c r="R340" s="3"/>
      <c r="S340" s="9"/>
      <c r="T340" s="11"/>
      <c r="U340" s="9"/>
      <c r="V340" s="11"/>
      <c r="W340" s="9"/>
      <c r="X340">
        <v>403</v>
      </c>
      <c r="AA340" s="3">
        <v>12.44</v>
      </c>
      <c r="AB340" s="9">
        <v>0.21615949632738721</v>
      </c>
      <c r="AD340" s="3">
        <v>12.44</v>
      </c>
      <c r="AE340" s="6">
        <f t="shared" si="23"/>
        <v>1.3982925498426024</v>
      </c>
      <c r="AG340" s="3"/>
    </row>
    <row r="341" spans="1:33" x14ac:dyDescent="0.25">
      <c r="A341" t="s">
        <v>47</v>
      </c>
      <c r="B341" t="s">
        <v>0</v>
      </c>
      <c r="C341">
        <v>64</v>
      </c>
      <c r="D341">
        <v>404</v>
      </c>
      <c r="E341" s="2">
        <v>12</v>
      </c>
      <c r="F341" t="s">
        <v>33</v>
      </c>
      <c r="I341" s="6">
        <v>17.98</v>
      </c>
      <c r="J341" s="4">
        <v>0.23010752688172043</v>
      </c>
      <c r="K341" s="10"/>
      <c r="L341" s="6">
        <v>17.98</v>
      </c>
      <c r="M341" s="6">
        <f t="shared" si="22"/>
        <v>2.1514133333333332</v>
      </c>
      <c r="O341">
        <v>404</v>
      </c>
      <c r="R341" s="3"/>
      <c r="S341" s="9"/>
      <c r="T341" s="11"/>
      <c r="U341" s="9"/>
      <c r="V341" s="11"/>
      <c r="W341" s="9"/>
      <c r="X341">
        <v>404</v>
      </c>
      <c r="Y341" t="s">
        <v>48</v>
      </c>
      <c r="AA341" s="3">
        <v>13.5</v>
      </c>
      <c r="AB341" s="9">
        <v>0.21615949632738721</v>
      </c>
      <c r="AD341" s="3">
        <v>13.5</v>
      </c>
      <c r="AE341" s="6">
        <f t="shared" si="23"/>
        <v>1.5174396642182582</v>
      </c>
      <c r="AG341" s="3"/>
    </row>
    <row r="342" spans="1:33" x14ac:dyDescent="0.25">
      <c r="A342" t="s">
        <v>47</v>
      </c>
      <c r="B342" t="s">
        <v>0</v>
      </c>
      <c r="C342">
        <v>64</v>
      </c>
      <c r="D342">
        <v>405</v>
      </c>
      <c r="E342" s="2">
        <v>9</v>
      </c>
      <c r="F342" t="s">
        <v>19</v>
      </c>
      <c r="G342" s="2">
        <v>623</v>
      </c>
      <c r="H342" s="2">
        <v>151</v>
      </c>
      <c r="I342" s="6">
        <v>14.94</v>
      </c>
      <c r="J342" s="4">
        <v>0.20135363790186125</v>
      </c>
      <c r="K342" s="10"/>
      <c r="L342" s="6">
        <v>14.94</v>
      </c>
      <c r="M342" s="6">
        <f t="shared" si="22"/>
        <v>1.5642761421319797</v>
      </c>
      <c r="O342">
        <v>405</v>
      </c>
      <c r="R342" s="3"/>
      <c r="S342" s="9"/>
      <c r="T342" s="11"/>
      <c r="U342" s="9"/>
      <c r="V342" s="11"/>
      <c r="W342" s="9"/>
      <c r="X342">
        <v>405</v>
      </c>
      <c r="Y342">
        <v>863</v>
      </c>
      <c r="Z342">
        <v>209</v>
      </c>
      <c r="AA342" s="3">
        <v>12.82</v>
      </c>
      <c r="AB342" s="9">
        <v>0.21299638989169675</v>
      </c>
      <c r="AD342" s="3">
        <v>12.82</v>
      </c>
      <c r="AE342" s="6">
        <f t="shared" si="23"/>
        <v>1.4199191335740073</v>
      </c>
      <c r="AG342" s="3"/>
    </row>
    <row r="343" spans="1:33" x14ac:dyDescent="0.25">
      <c r="A343" t="s">
        <v>47</v>
      </c>
      <c r="B343" t="s">
        <v>0</v>
      </c>
      <c r="C343">
        <v>64</v>
      </c>
      <c r="D343">
        <v>406</v>
      </c>
      <c r="E343" s="2">
        <v>12</v>
      </c>
      <c r="F343" t="s">
        <v>33</v>
      </c>
      <c r="I343" s="6">
        <v>15.76</v>
      </c>
      <c r="J343" s="4">
        <v>0.20135363790186125</v>
      </c>
      <c r="K343" s="10"/>
      <c r="L343" s="6">
        <v>15.76</v>
      </c>
      <c r="M343" s="6">
        <f t="shared" si="22"/>
        <v>1.6501333333333335</v>
      </c>
      <c r="O343">
        <v>406</v>
      </c>
      <c r="R343" s="3"/>
      <c r="S343" s="9"/>
      <c r="T343" s="11"/>
      <c r="U343" s="9"/>
      <c r="V343" s="11"/>
      <c r="W343" s="9"/>
      <c r="X343">
        <v>406</v>
      </c>
      <c r="AA343" s="3">
        <v>12.8</v>
      </c>
      <c r="AB343" s="9">
        <v>0.21299638989169675</v>
      </c>
      <c r="AD343" s="3">
        <v>12.8</v>
      </c>
      <c r="AE343" s="6">
        <f t="shared" si="23"/>
        <v>1.4177039711191337</v>
      </c>
      <c r="AG343" s="3"/>
    </row>
    <row r="344" spans="1:33" x14ac:dyDescent="0.25">
      <c r="A344" t="s">
        <v>47</v>
      </c>
      <c r="B344" t="s">
        <v>0</v>
      </c>
      <c r="C344">
        <v>64</v>
      </c>
      <c r="D344">
        <v>407</v>
      </c>
      <c r="E344" s="2">
        <v>10</v>
      </c>
      <c r="F344" t="s">
        <v>35</v>
      </c>
      <c r="I344" s="6">
        <v>14.6</v>
      </c>
      <c r="J344" s="4">
        <v>0.20135363790186125</v>
      </c>
      <c r="K344" s="10"/>
      <c r="L344" s="6">
        <v>14.6</v>
      </c>
      <c r="M344" s="6">
        <f t="shared" si="22"/>
        <v>1.5286768189509308</v>
      </c>
      <c r="O344">
        <v>407</v>
      </c>
      <c r="R344" s="3"/>
      <c r="S344" s="9"/>
      <c r="T344" s="11"/>
      <c r="U344" s="9"/>
      <c r="V344" s="11"/>
      <c r="W344" s="9"/>
      <c r="X344">
        <v>407</v>
      </c>
      <c r="Y344" t="s">
        <v>48</v>
      </c>
      <c r="AA344" s="3">
        <v>12.14</v>
      </c>
      <c r="AB344" s="9">
        <v>0.21299638989169675</v>
      </c>
      <c r="AD344" s="3">
        <v>12.14</v>
      </c>
      <c r="AE344" s="6">
        <f t="shared" si="23"/>
        <v>1.3446036101083034</v>
      </c>
      <c r="AG344" s="3"/>
    </row>
    <row r="345" spans="1:33" x14ac:dyDescent="0.25">
      <c r="A345" t="s">
        <v>47</v>
      </c>
      <c r="B345" t="s">
        <v>0</v>
      </c>
      <c r="C345">
        <v>64</v>
      </c>
      <c r="D345">
        <v>408</v>
      </c>
      <c r="E345" s="2">
        <v>8</v>
      </c>
      <c r="F345" t="s">
        <v>31</v>
      </c>
      <c r="I345" s="6">
        <v>13.08</v>
      </c>
      <c r="J345" s="4">
        <v>0.20135363790186125</v>
      </c>
      <c r="K345" s="10"/>
      <c r="L345" s="6">
        <v>13.08</v>
      </c>
      <c r="M345" s="6">
        <f t="shared" si="22"/>
        <v>1.3695269035532995</v>
      </c>
      <c r="O345">
        <v>408</v>
      </c>
      <c r="R345" s="3"/>
      <c r="S345" s="9"/>
      <c r="T345" s="11"/>
      <c r="U345" s="9"/>
      <c r="V345" s="11"/>
      <c r="W345" s="9"/>
      <c r="X345">
        <v>408</v>
      </c>
      <c r="AA345" s="3">
        <v>12.14</v>
      </c>
      <c r="AB345" s="9">
        <v>0.21299638989169675</v>
      </c>
      <c r="AD345" s="3">
        <v>12.14</v>
      </c>
      <c r="AE345" s="6">
        <f t="shared" si="23"/>
        <v>1.3446036101083034</v>
      </c>
      <c r="AG345" s="3"/>
    </row>
    <row r="346" spans="1:33" x14ac:dyDescent="0.25">
      <c r="A346" t="s">
        <v>47</v>
      </c>
      <c r="B346" t="s">
        <v>0</v>
      </c>
      <c r="C346">
        <v>64</v>
      </c>
      <c r="D346">
        <v>409</v>
      </c>
      <c r="E346" s="2">
        <v>11</v>
      </c>
      <c r="F346" t="s">
        <v>15</v>
      </c>
      <c r="G346" s="2">
        <v>765</v>
      </c>
      <c r="H346" s="2">
        <v>188</v>
      </c>
      <c r="I346" s="6">
        <v>13.12</v>
      </c>
      <c r="J346" s="4">
        <v>0.21282401091405184</v>
      </c>
      <c r="K346" s="10"/>
      <c r="L346" s="6">
        <v>13.12</v>
      </c>
      <c r="M346" s="6">
        <f t="shared" si="22"/>
        <v>1.4519705320600271</v>
      </c>
      <c r="O346">
        <v>409</v>
      </c>
      <c r="R346" s="3"/>
      <c r="S346" s="9"/>
      <c r="T346" s="11"/>
      <c r="U346" s="9"/>
      <c r="V346" s="11"/>
      <c r="W346" s="9"/>
      <c r="X346">
        <v>409</v>
      </c>
      <c r="Y346">
        <v>668</v>
      </c>
      <c r="Z346">
        <v>184</v>
      </c>
      <c r="AA346" s="3">
        <v>12.5</v>
      </c>
      <c r="AB346" s="9">
        <v>0.2389937106918239</v>
      </c>
      <c r="AD346" s="3">
        <v>12.5</v>
      </c>
      <c r="AE346" s="6">
        <f t="shared" si="23"/>
        <v>1.5534591194968554</v>
      </c>
      <c r="AG346" s="3"/>
    </row>
    <row r="347" spans="1:33" x14ac:dyDescent="0.25">
      <c r="A347" t="s">
        <v>47</v>
      </c>
      <c r="B347" t="s">
        <v>0</v>
      </c>
      <c r="C347">
        <v>64</v>
      </c>
      <c r="D347">
        <v>410</v>
      </c>
      <c r="E347" s="2">
        <v>8</v>
      </c>
      <c r="F347" t="s">
        <v>31</v>
      </c>
      <c r="I347" s="6">
        <v>15.4</v>
      </c>
      <c r="J347" s="4">
        <v>0.21282401091405184</v>
      </c>
      <c r="K347" s="10"/>
      <c r="L347" s="6">
        <v>15.4</v>
      </c>
      <c r="M347" s="6">
        <f t="shared" si="22"/>
        <v>1.7042946793997273</v>
      </c>
      <c r="O347">
        <v>410</v>
      </c>
      <c r="R347" s="3"/>
      <c r="S347" s="9"/>
      <c r="T347" s="11"/>
      <c r="U347" s="9"/>
      <c r="V347" s="11"/>
      <c r="W347" s="9"/>
      <c r="X347">
        <v>410</v>
      </c>
      <c r="AA347" s="3">
        <v>11.88</v>
      </c>
      <c r="AB347" s="9">
        <v>0.2389937106918239</v>
      </c>
      <c r="AD347" s="3">
        <v>11.88</v>
      </c>
      <c r="AE347" s="6">
        <f t="shared" si="23"/>
        <v>1.4764075471698117</v>
      </c>
      <c r="AG347" s="3"/>
    </row>
    <row r="348" spans="1:33" x14ac:dyDescent="0.25">
      <c r="A348" t="s">
        <v>47</v>
      </c>
      <c r="B348" t="s">
        <v>0</v>
      </c>
      <c r="C348">
        <v>64</v>
      </c>
      <c r="D348">
        <v>411</v>
      </c>
      <c r="E348" s="2">
        <v>7</v>
      </c>
      <c r="F348" t="s">
        <v>16</v>
      </c>
      <c r="I348" s="6">
        <v>14.74</v>
      </c>
      <c r="J348" s="4">
        <v>0.21282401091405184</v>
      </c>
      <c r="K348" s="10"/>
      <c r="L348" s="6">
        <v>14.74</v>
      </c>
      <c r="M348" s="6">
        <f t="shared" si="22"/>
        <v>1.6312534788540247</v>
      </c>
      <c r="O348">
        <v>411</v>
      </c>
      <c r="R348" s="3"/>
      <c r="S348" s="9"/>
      <c r="T348" s="11"/>
      <c r="U348" s="9"/>
      <c r="V348" s="11"/>
      <c r="W348" s="9"/>
      <c r="X348">
        <v>411</v>
      </c>
      <c r="AA348" s="3">
        <v>11.6</v>
      </c>
      <c r="AB348" s="9">
        <v>0.2389937106918239</v>
      </c>
      <c r="AD348" s="3">
        <v>11.6</v>
      </c>
      <c r="AE348" s="6">
        <f t="shared" si="23"/>
        <v>1.4416100628930817</v>
      </c>
      <c r="AG348" s="3"/>
    </row>
    <row r="349" spans="1:33" x14ac:dyDescent="0.25">
      <c r="A349" t="s">
        <v>47</v>
      </c>
      <c r="B349" t="s">
        <v>0</v>
      </c>
      <c r="C349">
        <v>64</v>
      </c>
      <c r="D349">
        <v>412</v>
      </c>
      <c r="E349" s="2">
        <v>7</v>
      </c>
      <c r="F349" t="s">
        <v>16</v>
      </c>
      <c r="I349" s="6">
        <v>15.66</v>
      </c>
      <c r="J349" s="4">
        <v>0.21282401091405184</v>
      </c>
      <c r="K349" s="10"/>
      <c r="L349" s="6">
        <v>15.66</v>
      </c>
      <c r="M349" s="6">
        <f t="shared" si="22"/>
        <v>1.7330684856753071</v>
      </c>
      <c r="O349">
        <v>412</v>
      </c>
      <c r="R349" s="3"/>
      <c r="S349" s="9"/>
      <c r="T349" s="11"/>
      <c r="U349" s="9"/>
      <c r="V349" s="11"/>
      <c r="W349" s="9"/>
      <c r="X349">
        <v>412</v>
      </c>
      <c r="AA349" s="3">
        <v>11.3</v>
      </c>
      <c r="AB349" s="9">
        <v>0.2389937106918239</v>
      </c>
      <c r="AD349" s="3">
        <v>11.3</v>
      </c>
      <c r="AE349" s="6">
        <f t="shared" si="23"/>
        <v>1.4043270440251574</v>
      </c>
      <c r="AG349" s="3"/>
    </row>
    <row r="350" spans="1:33" x14ac:dyDescent="0.25">
      <c r="A350" t="s">
        <v>47</v>
      </c>
      <c r="B350" t="s">
        <v>0</v>
      </c>
      <c r="C350">
        <v>64</v>
      </c>
      <c r="D350">
        <v>413</v>
      </c>
      <c r="E350" s="2">
        <v>35</v>
      </c>
      <c r="F350" t="s">
        <v>26</v>
      </c>
      <c r="G350" s="2">
        <v>721</v>
      </c>
      <c r="H350" s="2">
        <v>178</v>
      </c>
      <c r="I350" s="6">
        <v>16.22</v>
      </c>
      <c r="J350" s="4">
        <v>0.21190130624092887</v>
      </c>
      <c r="K350" s="10"/>
      <c r="L350" s="6">
        <v>16.22</v>
      </c>
      <c r="M350" s="6">
        <f t="shared" si="22"/>
        <v>1.7872603773584903</v>
      </c>
      <c r="O350">
        <v>413</v>
      </c>
      <c r="P350">
        <v>736</v>
      </c>
      <c r="Q350">
        <v>214</v>
      </c>
      <c r="R350" s="3">
        <v>14</v>
      </c>
      <c r="S350" s="9">
        <v>0.25852272727272729</v>
      </c>
      <c r="T350" s="11"/>
      <c r="U350" s="3">
        <v>14</v>
      </c>
      <c r="V350" s="3">
        <f>S350*U350*0.52</f>
        <v>1.8820454545454548</v>
      </c>
      <c r="W350" s="9"/>
      <c r="X350">
        <v>413</v>
      </c>
      <c r="Y350">
        <v>809</v>
      </c>
      <c r="Z350">
        <v>201</v>
      </c>
      <c r="AA350" s="3">
        <v>13.52</v>
      </c>
      <c r="AB350" s="9">
        <v>0.21750321750321749</v>
      </c>
      <c r="AD350" s="3">
        <v>13.52</v>
      </c>
      <c r="AE350" s="6">
        <f t="shared" si="23"/>
        <v>1.5291346203346203</v>
      </c>
      <c r="AG350" s="3">
        <f t="shared" si="24"/>
        <v>5.1984404522385654</v>
      </c>
    </row>
    <row r="351" spans="1:33" x14ac:dyDescent="0.25">
      <c r="A351" t="s">
        <v>47</v>
      </c>
      <c r="B351" t="s">
        <v>0</v>
      </c>
      <c r="C351">
        <v>64</v>
      </c>
      <c r="D351">
        <v>414</v>
      </c>
      <c r="E351" s="2">
        <v>23</v>
      </c>
      <c r="F351" t="s">
        <v>36</v>
      </c>
      <c r="I351" s="6">
        <v>15.16</v>
      </c>
      <c r="J351" s="4">
        <v>0.21190130624092887</v>
      </c>
      <c r="K351" s="10"/>
      <c r="L351" s="6">
        <v>15.16</v>
      </c>
      <c r="M351" s="6">
        <f t="shared" si="22"/>
        <v>1.6704603773584905</v>
      </c>
      <c r="O351">
        <v>414</v>
      </c>
      <c r="R351" s="3">
        <v>13.06</v>
      </c>
      <c r="S351" s="9">
        <v>0.25852272727272729</v>
      </c>
      <c r="T351" s="11"/>
      <c r="U351" s="3">
        <v>13.06</v>
      </c>
      <c r="V351" s="3">
        <f t="shared" ref="V351:V385" si="25">S351*U351*0.52</f>
        <v>1.7556795454545457</v>
      </c>
      <c r="W351" s="9"/>
      <c r="X351">
        <v>414</v>
      </c>
      <c r="AA351" s="3">
        <v>12.9</v>
      </c>
      <c r="AB351" s="9">
        <v>0.21750321750321749</v>
      </c>
      <c r="AD351" s="3">
        <v>12.9</v>
      </c>
      <c r="AE351" s="6">
        <f t="shared" si="23"/>
        <v>1.4590115830115831</v>
      </c>
      <c r="AG351" s="3">
        <f t="shared" si="24"/>
        <v>4.8851515058246191</v>
      </c>
    </row>
    <row r="352" spans="1:33" x14ac:dyDescent="0.25">
      <c r="A352" t="s">
        <v>47</v>
      </c>
      <c r="B352" t="s">
        <v>0</v>
      </c>
      <c r="C352">
        <v>64</v>
      </c>
      <c r="D352">
        <v>415</v>
      </c>
      <c r="E352" s="2">
        <v>8</v>
      </c>
      <c r="F352" t="s">
        <v>31</v>
      </c>
      <c r="I352" s="6">
        <v>16.440000000000001</v>
      </c>
      <c r="J352" s="4">
        <v>0.21190130624092887</v>
      </c>
      <c r="K352" s="10"/>
      <c r="L352" s="6">
        <v>16.440000000000001</v>
      </c>
      <c r="M352" s="6">
        <f t="shared" si="22"/>
        <v>1.8115018867924531</v>
      </c>
      <c r="O352">
        <v>415</v>
      </c>
      <c r="R352" s="3">
        <v>14.3</v>
      </c>
      <c r="S352" s="9">
        <v>0.25852272727272729</v>
      </c>
      <c r="T352" s="11"/>
      <c r="U352" s="3">
        <v>14.3</v>
      </c>
      <c r="V352" s="3">
        <f t="shared" si="25"/>
        <v>1.9223750000000002</v>
      </c>
      <c r="W352" s="9"/>
      <c r="X352">
        <v>415</v>
      </c>
      <c r="AA352" s="3">
        <v>12.04</v>
      </c>
      <c r="AB352" s="9">
        <v>0.21750321750321749</v>
      </c>
      <c r="AD352" s="3">
        <v>12.04</v>
      </c>
      <c r="AE352" s="6">
        <f t="shared" si="23"/>
        <v>1.3617441441441442</v>
      </c>
      <c r="AG352" s="3">
        <f t="shared" si="24"/>
        <v>5.0956210309365977</v>
      </c>
    </row>
    <row r="353" spans="1:33" x14ac:dyDescent="0.25">
      <c r="A353" t="s">
        <v>47</v>
      </c>
      <c r="B353" t="s">
        <v>0</v>
      </c>
      <c r="C353">
        <v>64</v>
      </c>
      <c r="D353">
        <v>416</v>
      </c>
      <c r="E353" s="2">
        <v>34</v>
      </c>
      <c r="F353" t="s">
        <v>34</v>
      </c>
      <c r="I353" s="6">
        <v>17.82</v>
      </c>
      <c r="J353" s="4">
        <v>0.21190130624092887</v>
      </c>
      <c r="K353" s="10"/>
      <c r="L353" s="6">
        <v>17.82</v>
      </c>
      <c r="M353" s="6">
        <f t="shared" si="22"/>
        <v>1.9635622641509436</v>
      </c>
      <c r="O353">
        <v>416</v>
      </c>
      <c r="R353" s="3">
        <v>14.88</v>
      </c>
      <c r="S353" s="9">
        <v>0.25852272727272729</v>
      </c>
      <c r="T353" s="11"/>
      <c r="U353" s="3">
        <v>14.88</v>
      </c>
      <c r="V353" s="3">
        <f t="shared" si="25"/>
        <v>2.0003454545454549</v>
      </c>
      <c r="W353" s="9"/>
      <c r="X353">
        <v>416</v>
      </c>
      <c r="AA353" s="3">
        <v>12.88</v>
      </c>
      <c r="AB353" s="9">
        <v>0.21750321750321749</v>
      </c>
      <c r="AD353" s="3">
        <v>12.88</v>
      </c>
      <c r="AE353" s="6">
        <f t="shared" si="23"/>
        <v>1.4567495495495497</v>
      </c>
      <c r="AG353" s="3">
        <f t="shared" si="24"/>
        <v>5.4206572682459484</v>
      </c>
    </row>
    <row r="354" spans="1:33" x14ac:dyDescent="0.25">
      <c r="A354" t="s">
        <v>47</v>
      </c>
      <c r="B354" t="s">
        <v>0</v>
      </c>
      <c r="C354">
        <v>64</v>
      </c>
      <c r="D354">
        <v>417</v>
      </c>
      <c r="E354" s="2">
        <v>12</v>
      </c>
      <c r="F354" t="s">
        <v>33</v>
      </c>
      <c r="G354" s="2">
        <v>796</v>
      </c>
      <c r="H354" s="2">
        <v>199</v>
      </c>
      <c r="I354" s="6">
        <v>15.86</v>
      </c>
      <c r="J354" s="4">
        <v>0.21858638743455497</v>
      </c>
      <c r="K354" s="10"/>
      <c r="L354" s="6">
        <v>15.86</v>
      </c>
      <c r="M354" s="6">
        <f t="shared" si="22"/>
        <v>1.8027256544502617</v>
      </c>
      <c r="O354">
        <v>417</v>
      </c>
      <c r="P354">
        <v>666</v>
      </c>
      <c r="Q354">
        <v>191</v>
      </c>
      <c r="R354" s="3">
        <v>13.9</v>
      </c>
      <c r="S354" s="9">
        <v>0.25078864353312302</v>
      </c>
      <c r="T354" s="11"/>
      <c r="U354" s="3">
        <v>13.9</v>
      </c>
      <c r="V354" s="3">
        <f t="shared" si="25"/>
        <v>1.8127003154574133</v>
      </c>
      <c r="W354" s="9"/>
      <c r="X354">
        <v>417</v>
      </c>
      <c r="Y354">
        <v>757</v>
      </c>
      <c r="Z354">
        <v>192</v>
      </c>
      <c r="AA354" s="3">
        <v>12.36</v>
      </c>
      <c r="AB354" s="9">
        <v>0.22068965517241379</v>
      </c>
      <c r="AD354" s="3">
        <v>12.36</v>
      </c>
      <c r="AE354" s="6">
        <f t="shared" si="23"/>
        <v>1.4184165517241378</v>
      </c>
      <c r="AG354" s="3">
        <f t="shared" si="24"/>
        <v>5.0338425216318132</v>
      </c>
    </row>
    <row r="355" spans="1:33" x14ac:dyDescent="0.25">
      <c r="A355" t="s">
        <v>47</v>
      </c>
      <c r="B355" t="s">
        <v>0</v>
      </c>
      <c r="C355">
        <v>64</v>
      </c>
      <c r="D355">
        <v>418</v>
      </c>
      <c r="E355" s="2">
        <v>17</v>
      </c>
      <c r="F355" t="s">
        <v>17</v>
      </c>
      <c r="I355" s="6">
        <v>14.44</v>
      </c>
      <c r="J355" s="4">
        <v>0.21858638743455497</v>
      </c>
      <c r="K355" s="10"/>
      <c r="L355" s="6">
        <v>14.44</v>
      </c>
      <c r="M355" s="6">
        <f t="shared" si="22"/>
        <v>1.6413214659685864</v>
      </c>
      <c r="O355">
        <v>418</v>
      </c>
      <c r="R355" s="3">
        <v>12.98</v>
      </c>
      <c r="S355" s="9">
        <v>0.25078864353312302</v>
      </c>
      <c r="T355" s="11"/>
      <c r="U355" s="3">
        <v>12.98</v>
      </c>
      <c r="V355" s="3">
        <f t="shared" si="25"/>
        <v>1.6927230283911672</v>
      </c>
      <c r="W355" s="9"/>
      <c r="X355">
        <v>418</v>
      </c>
      <c r="AA355" s="3">
        <v>10.82</v>
      </c>
      <c r="AB355" s="9">
        <v>0.22068965517241379</v>
      </c>
      <c r="AD355" s="3">
        <v>10.82</v>
      </c>
      <c r="AE355" s="6">
        <f t="shared" si="23"/>
        <v>1.2416882758620691</v>
      </c>
      <c r="AG355" s="3">
        <f t="shared" si="24"/>
        <v>4.5757327702218227</v>
      </c>
    </row>
    <row r="356" spans="1:33" x14ac:dyDescent="0.25">
      <c r="A356" t="s">
        <v>47</v>
      </c>
      <c r="B356" t="s">
        <v>0</v>
      </c>
      <c r="C356">
        <v>64</v>
      </c>
      <c r="D356">
        <v>419</v>
      </c>
      <c r="E356" s="2">
        <v>28</v>
      </c>
      <c r="F356" t="s">
        <v>13</v>
      </c>
      <c r="I356" s="6">
        <v>15.66</v>
      </c>
      <c r="J356" s="4">
        <v>0.21858638743455497</v>
      </c>
      <c r="K356" s="10"/>
      <c r="L356" s="6">
        <v>15.66</v>
      </c>
      <c r="M356" s="6">
        <f t="shared" si="22"/>
        <v>1.7799926701570681</v>
      </c>
      <c r="O356">
        <v>419</v>
      </c>
      <c r="R356" s="3">
        <v>12.2</v>
      </c>
      <c r="S356" s="9">
        <v>0.25078864353312302</v>
      </c>
      <c r="T356" s="11"/>
      <c r="U356" s="3">
        <v>12.2</v>
      </c>
      <c r="V356" s="3">
        <f t="shared" si="25"/>
        <v>1.5910031545741323</v>
      </c>
      <c r="W356" s="9"/>
      <c r="X356">
        <v>419</v>
      </c>
      <c r="AA356" s="3">
        <v>12.48</v>
      </c>
      <c r="AB356" s="9">
        <v>0.22068965517241379</v>
      </c>
      <c r="AD356" s="3">
        <v>12.48</v>
      </c>
      <c r="AE356" s="6">
        <f t="shared" si="23"/>
        <v>1.4321875862068967</v>
      </c>
      <c r="AG356" s="3">
        <f t="shared" si="24"/>
        <v>4.8031834109380966</v>
      </c>
    </row>
    <row r="357" spans="1:33" x14ac:dyDescent="0.25">
      <c r="A357" t="s">
        <v>47</v>
      </c>
      <c r="B357" t="s">
        <v>0</v>
      </c>
      <c r="C357">
        <v>64</v>
      </c>
      <c r="D357">
        <v>420</v>
      </c>
      <c r="E357" s="2">
        <v>25</v>
      </c>
      <c r="F357" t="s">
        <v>8</v>
      </c>
      <c r="I357" s="6">
        <v>15.26</v>
      </c>
      <c r="J357" s="4">
        <v>0.21858638743455497</v>
      </c>
      <c r="K357" s="10"/>
      <c r="L357" s="6">
        <v>15.26</v>
      </c>
      <c r="M357" s="6">
        <f t="shared" si="22"/>
        <v>1.7345267015706807</v>
      </c>
      <c r="O357">
        <v>420</v>
      </c>
      <c r="R357" s="3">
        <v>13.58</v>
      </c>
      <c r="S357" s="9">
        <v>0.25078864353312302</v>
      </c>
      <c r="T357" s="11"/>
      <c r="U357" s="3">
        <v>13.58</v>
      </c>
      <c r="V357" s="3">
        <f t="shared" si="25"/>
        <v>1.7709690851735016</v>
      </c>
      <c r="W357" s="9"/>
      <c r="X357">
        <v>420</v>
      </c>
      <c r="AA357" s="3">
        <v>10.74</v>
      </c>
      <c r="AB357" s="9">
        <v>0.22068965517241379</v>
      </c>
      <c r="AD357" s="3">
        <v>10.74</v>
      </c>
      <c r="AE357" s="6">
        <f t="shared" si="23"/>
        <v>1.2325075862068966</v>
      </c>
      <c r="AG357" s="3">
        <f t="shared" si="24"/>
        <v>4.7380033729510789</v>
      </c>
    </row>
    <row r="358" spans="1:33" x14ac:dyDescent="0.25">
      <c r="A358" t="s">
        <v>47</v>
      </c>
      <c r="B358" t="s">
        <v>0</v>
      </c>
      <c r="C358">
        <v>64</v>
      </c>
      <c r="D358">
        <v>421</v>
      </c>
      <c r="E358" s="2">
        <v>16</v>
      </c>
      <c r="F358" t="s">
        <v>12</v>
      </c>
      <c r="G358" s="2">
        <v>822</v>
      </c>
      <c r="H358" s="2">
        <v>204</v>
      </c>
      <c r="I358" s="6">
        <v>13.52</v>
      </c>
      <c r="J358" s="4">
        <v>0.21772151898734177</v>
      </c>
      <c r="K358" s="10"/>
      <c r="L358" s="6">
        <v>13.52</v>
      </c>
      <c r="M358" s="6">
        <f t="shared" si="22"/>
        <v>1.5306693670886076</v>
      </c>
      <c r="O358">
        <v>421</v>
      </c>
      <c r="P358">
        <v>637</v>
      </c>
      <c r="Q358">
        <v>180</v>
      </c>
      <c r="R358" s="3">
        <v>11.84</v>
      </c>
      <c r="S358" s="9">
        <v>0.24462809917355371</v>
      </c>
      <c r="T358" s="11"/>
      <c r="U358" s="3">
        <v>11.84</v>
      </c>
      <c r="V358" s="3">
        <f t="shared" si="25"/>
        <v>1.5061262809917355</v>
      </c>
      <c r="W358" s="9"/>
      <c r="X358">
        <v>421</v>
      </c>
      <c r="Y358">
        <v>540</v>
      </c>
      <c r="Z358">
        <v>148</v>
      </c>
      <c r="AA358" s="3">
        <v>9.68</v>
      </c>
      <c r="AB358" s="9">
        <v>0.2283464566929134</v>
      </c>
      <c r="AD358" s="3">
        <v>9.68</v>
      </c>
      <c r="AE358" s="6">
        <f t="shared" si="23"/>
        <v>1.149404724409449</v>
      </c>
      <c r="AG358" s="3">
        <f t="shared" si="24"/>
        <v>4.1862003724897914</v>
      </c>
    </row>
    <row r="359" spans="1:33" x14ac:dyDescent="0.25">
      <c r="A359" t="s">
        <v>47</v>
      </c>
      <c r="B359" t="s">
        <v>0</v>
      </c>
      <c r="C359">
        <v>64</v>
      </c>
      <c r="D359">
        <v>422</v>
      </c>
      <c r="E359" s="2">
        <v>19</v>
      </c>
      <c r="F359" t="s">
        <v>10</v>
      </c>
      <c r="I359" s="6">
        <v>17.88</v>
      </c>
      <c r="J359" s="4">
        <v>0.21772151898734177</v>
      </c>
      <c r="K359" s="10"/>
      <c r="L359" s="6">
        <v>17.88</v>
      </c>
      <c r="M359" s="6">
        <f t="shared" si="22"/>
        <v>2.0242875949367085</v>
      </c>
      <c r="O359">
        <v>422</v>
      </c>
      <c r="R359" s="3">
        <v>14.7</v>
      </c>
      <c r="S359" s="9">
        <v>0.24462809917355371</v>
      </c>
      <c r="T359" s="11"/>
      <c r="U359" s="3">
        <v>14.7</v>
      </c>
      <c r="V359" s="3">
        <f t="shared" si="25"/>
        <v>1.8699371900826447</v>
      </c>
      <c r="W359" s="9"/>
      <c r="X359">
        <v>422</v>
      </c>
      <c r="AA359" s="3">
        <v>12.74</v>
      </c>
      <c r="AB359" s="9">
        <v>0.2283464566929134</v>
      </c>
      <c r="AD359" s="3">
        <v>12.74</v>
      </c>
      <c r="AE359" s="6">
        <f t="shared" si="23"/>
        <v>1.5127496062992127</v>
      </c>
      <c r="AG359" s="3">
        <f t="shared" si="24"/>
        <v>5.4069743913185659</v>
      </c>
    </row>
    <row r="360" spans="1:33" x14ac:dyDescent="0.25">
      <c r="A360" t="s">
        <v>47</v>
      </c>
      <c r="B360" t="s">
        <v>0</v>
      </c>
      <c r="C360">
        <v>64</v>
      </c>
      <c r="D360">
        <v>423</v>
      </c>
      <c r="E360" s="2">
        <v>4</v>
      </c>
      <c r="F360" t="s">
        <v>2</v>
      </c>
      <c r="I360" s="6">
        <v>13</v>
      </c>
      <c r="J360" s="4">
        <v>0.21772151898734177</v>
      </c>
      <c r="K360" s="10"/>
      <c r="L360" s="6">
        <v>13</v>
      </c>
      <c r="M360" s="6">
        <f t="shared" si="22"/>
        <v>1.4717974683544304</v>
      </c>
      <c r="O360">
        <v>423</v>
      </c>
      <c r="R360" s="3">
        <v>11.18</v>
      </c>
      <c r="S360" s="9">
        <v>0.24462809917355371</v>
      </c>
      <c r="T360" s="11"/>
      <c r="U360" s="3">
        <v>11.18</v>
      </c>
      <c r="V360" s="3">
        <f t="shared" si="25"/>
        <v>1.4221699173553719</v>
      </c>
      <c r="W360" s="9"/>
      <c r="X360">
        <v>423</v>
      </c>
      <c r="AA360" s="3">
        <v>11.1</v>
      </c>
      <c r="AB360" s="9">
        <v>0.2283464566929134</v>
      </c>
      <c r="AD360" s="3">
        <v>11.1</v>
      </c>
      <c r="AE360" s="6">
        <f t="shared" si="23"/>
        <v>1.318015748031496</v>
      </c>
      <c r="AG360" s="3">
        <f t="shared" si="24"/>
        <v>4.2119831337412981</v>
      </c>
    </row>
    <row r="361" spans="1:33" x14ac:dyDescent="0.25">
      <c r="A361" t="s">
        <v>47</v>
      </c>
      <c r="B361" t="s">
        <v>0</v>
      </c>
      <c r="C361">
        <v>64</v>
      </c>
      <c r="D361">
        <v>424</v>
      </c>
      <c r="E361" s="2">
        <v>3</v>
      </c>
      <c r="F361" t="s">
        <v>3</v>
      </c>
      <c r="I361" s="6">
        <v>16.579999999999998</v>
      </c>
      <c r="J361" s="4">
        <v>0.21772151898734177</v>
      </c>
      <c r="K361" s="10"/>
      <c r="L361" s="6">
        <v>16.579999999999998</v>
      </c>
      <c r="M361" s="6">
        <f t="shared" si="22"/>
        <v>1.8771078481012655</v>
      </c>
      <c r="O361">
        <v>424</v>
      </c>
      <c r="R361" s="3">
        <v>12.98</v>
      </c>
      <c r="S361" s="9">
        <v>0.24462809917355371</v>
      </c>
      <c r="T361" s="11"/>
      <c r="U361" s="3">
        <v>12.98</v>
      </c>
      <c r="V361" s="3">
        <f t="shared" si="25"/>
        <v>1.6511418181818183</v>
      </c>
      <c r="W361" s="9"/>
      <c r="X361">
        <v>424</v>
      </c>
      <c r="AA361" s="3">
        <v>11.38</v>
      </c>
      <c r="AB361" s="9">
        <v>0.2283464566929134</v>
      </c>
      <c r="AD361" s="3">
        <v>11.38</v>
      </c>
      <c r="AE361" s="6">
        <f t="shared" si="23"/>
        <v>1.3512629921259847</v>
      </c>
      <c r="AG361" s="3">
        <f t="shared" si="24"/>
        <v>4.8795126584090678</v>
      </c>
    </row>
    <row r="362" spans="1:33" x14ac:dyDescent="0.25">
      <c r="A362" t="s">
        <v>47</v>
      </c>
      <c r="B362" t="s">
        <v>0</v>
      </c>
      <c r="C362">
        <v>64</v>
      </c>
      <c r="D362">
        <v>425</v>
      </c>
      <c r="E362" s="2">
        <v>15</v>
      </c>
      <c r="F362" t="s">
        <v>20</v>
      </c>
      <c r="G362" s="2">
        <v>682</v>
      </c>
      <c r="H362" s="2">
        <v>174</v>
      </c>
      <c r="I362" s="6">
        <v>14.36</v>
      </c>
      <c r="J362" s="4">
        <v>0.21846153846153846</v>
      </c>
      <c r="K362" s="10"/>
      <c r="L362" s="6">
        <v>14.36</v>
      </c>
      <c r="M362" s="6">
        <f t="shared" si="22"/>
        <v>1.6312959999999999</v>
      </c>
      <c r="O362">
        <v>425</v>
      </c>
      <c r="P362">
        <v>693</v>
      </c>
      <c r="Q362">
        <v>198</v>
      </c>
      <c r="R362" s="3">
        <v>13.08</v>
      </c>
      <c r="S362" s="9">
        <v>0.25113464447806355</v>
      </c>
      <c r="T362" s="11"/>
      <c r="U362" s="3">
        <v>13.08</v>
      </c>
      <c r="V362" s="3">
        <f t="shared" si="25"/>
        <v>1.7081173978819972</v>
      </c>
      <c r="W362" s="9"/>
      <c r="X362">
        <v>425</v>
      </c>
      <c r="Y362">
        <v>593</v>
      </c>
      <c r="Z362">
        <v>164</v>
      </c>
      <c r="AA362" s="3">
        <v>12.54</v>
      </c>
      <c r="AB362" s="9">
        <v>0.23529411764705882</v>
      </c>
      <c r="AD362" s="3">
        <v>12.54</v>
      </c>
      <c r="AE362" s="6">
        <f t="shared" si="23"/>
        <v>1.534305882352941</v>
      </c>
      <c r="AG362" s="3">
        <f t="shared" si="24"/>
        <v>4.8737192802349378</v>
      </c>
    </row>
    <row r="363" spans="1:33" x14ac:dyDescent="0.25">
      <c r="A363" t="s">
        <v>47</v>
      </c>
      <c r="B363" t="s">
        <v>0</v>
      </c>
      <c r="C363">
        <v>64</v>
      </c>
      <c r="D363">
        <v>426</v>
      </c>
      <c r="E363" s="2">
        <v>9</v>
      </c>
      <c r="F363" t="s">
        <v>19</v>
      </c>
      <c r="I363" s="6">
        <v>13.06</v>
      </c>
      <c r="J363" s="4">
        <v>0.21846153846153846</v>
      </c>
      <c r="K363" s="10"/>
      <c r="L363" s="6">
        <v>13.06</v>
      </c>
      <c r="M363" s="6">
        <f t="shared" si="22"/>
        <v>1.4836160000000003</v>
      </c>
      <c r="O363">
        <v>426</v>
      </c>
      <c r="R363" s="3">
        <v>11.54</v>
      </c>
      <c r="S363" s="9">
        <v>0.25113464447806355</v>
      </c>
      <c r="T363" s="11"/>
      <c r="U363" s="3">
        <v>11.54</v>
      </c>
      <c r="V363" s="3">
        <f t="shared" si="25"/>
        <v>1.5070087745839638</v>
      </c>
      <c r="W363" s="9"/>
      <c r="X363">
        <v>426</v>
      </c>
      <c r="AA363" s="3">
        <v>10.54</v>
      </c>
      <c r="AB363" s="9">
        <v>0.23529411764705882</v>
      </c>
      <c r="AD363" s="3">
        <v>10.54</v>
      </c>
      <c r="AE363" s="6">
        <f t="shared" si="23"/>
        <v>1.2896000000000001</v>
      </c>
      <c r="AG363" s="3">
        <f t="shared" si="24"/>
        <v>4.2802247745839637</v>
      </c>
    </row>
    <row r="364" spans="1:33" x14ac:dyDescent="0.25">
      <c r="A364" t="s">
        <v>47</v>
      </c>
      <c r="B364" t="s">
        <v>0</v>
      </c>
      <c r="C364">
        <v>64</v>
      </c>
      <c r="D364">
        <v>427</v>
      </c>
      <c r="E364" s="2">
        <v>31</v>
      </c>
      <c r="F364" t="s">
        <v>29</v>
      </c>
      <c r="I364" s="6">
        <v>14.82</v>
      </c>
      <c r="J364" s="4">
        <v>0.21846153846153846</v>
      </c>
      <c r="K364" s="10"/>
      <c r="L364" s="6">
        <v>14.82</v>
      </c>
      <c r="M364" s="6">
        <f t="shared" si="22"/>
        <v>1.6835520000000002</v>
      </c>
      <c r="O364">
        <v>427</v>
      </c>
      <c r="R364" s="3">
        <v>12.44</v>
      </c>
      <c r="S364" s="9">
        <v>0.25113464447806355</v>
      </c>
      <c r="T364" s="11"/>
      <c r="U364" s="3">
        <v>12.44</v>
      </c>
      <c r="V364" s="3">
        <f t="shared" si="25"/>
        <v>1.6245397881996975</v>
      </c>
      <c r="W364" s="9"/>
      <c r="X364">
        <v>427</v>
      </c>
      <c r="AA364" s="3">
        <v>13.26</v>
      </c>
      <c r="AB364" s="9">
        <v>0.23529411764705882</v>
      </c>
      <c r="AD364" s="3">
        <v>13.26</v>
      </c>
      <c r="AE364" s="6">
        <f t="shared" si="23"/>
        <v>1.6224000000000001</v>
      </c>
      <c r="AG364" s="3">
        <f t="shared" si="24"/>
        <v>4.9304917881996975</v>
      </c>
    </row>
    <row r="365" spans="1:33" x14ac:dyDescent="0.25">
      <c r="A365" t="s">
        <v>47</v>
      </c>
      <c r="B365" t="s">
        <v>0</v>
      </c>
      <c r="C365">
        <v>64</v>
      </c>
      <c r="D365">
        <v>428</v>
      </c>
      <c r="E365" s="2">
        <v>36</v>
      </c>
      <c r="F365" t="s">
        <v>27</v>
      </c>
      <c r="I365" s="6">
        <v>16.86</v>
      </c>
      <c r="J365" s="4">
        <v>0.21846153846153846</v>
      </c>
      <c r="K365" s="10"/>
      <c r="L365" s="6">
        <v>16.86</v>
      </c>
      <c r="M365" s="6">
        <f t="shared" si="22"/>
        <v>1.9152960000000001</v>
      </c>
      <c r="O365">
        <v>428</v>
      </c>
      <c r="R365" s="3">
        <v>11.54</v>
      </c>
      <c r="S365" s="9">
        <v>0.25113464447806355</v>
      </c>
      <c r="T365" s="11"/>
      <c r="U365" s="3">
        <v>11.54</v>
      </c>
      <c r="V365" s="3">
        <f t="shared" si="25"/>
        <v>1.5070087745839638</v>
      </c>
      <c r="W365" s="9"/>
      <c r="X365">
        <v>428</v>
      </c>
      <c r="AA365" s="3">
        <v>12.2</v>
      </c>
      <c r="AB365" s="9">
        <v>0.23529411764705882</v>
      </c>
      <c r="AD365" s="3">
        <v>12.2</v>
      </c>
      <c r="AE365" s="6">
        <f t="shared" si="23"/>
        <v>1.4927058823529411</v>
      </c>
      <c r="AG365" s="3">
        <f t="shared" si="24"/>
        <v>4.9150106569369045</v>
      </c>
    </row>
    <row r="366" spans="1:33" x14ac:dyDescent="0.25">
      <c r="A366" t="s">
        <v>47</v>
      </c>
      <c r="B366" t="s">
        <v>0</v>
      </c>
      <c r="C366">
        <v>64</v>
      </c>
      <c r="D366">
        <v>429</v>
      </c>
      <c r="E366" s="2">
        <v>24</v>
      </c>
      <c r="F366" t="s">
        <v>32</v>
      </c>
      <c r="G366" s="2">
        <v>586</v>
      </c>
      <c r="H366" s="2">
        <v>159</v>
      </c>
      <c r="I366" s="6">
        <v>17.36</v>
      </c>
      <c r="J366" s="4">
        <v>0.2292418772563177</v>
      </c>
      <c r="K366" s="10"/>
      <c r="L366" s="6">
        <v>17.36</v>
      </c>
      <c r="M366" s="6">
        <f t="shared" si="22"/>
        <v>2.0694122743682311</v>
      </c>
      <c r="O366">
        <v>429</v>
      </c>
      <c r="P366">
        <v>762</v>
      </c>
      <c r="Q366">
        <v>222</v>
      </c>
      <c r="R366" s="3">
        <v>11.9</v>
      </c>
      <c r="S366" s="9">
        <v>0.26027397260273971</v>
      </c>
      <c r="T366" s="11"/>
      <c r="U366" s="3">
        <v>11.9</v>
      </c>
      <c r="V366" s="3">
        <f t="shared" si="25"/>
        <v>1.6105753424657534</v>
      </c>
      <c r="W366" s="9"/>
      <c r="X366">
        <v>429</v>
      </c>
      <c r="Y366">
        <v>753</v>
      </c>
      <c r="Z366">
        <v>197</v>
      </c>
      <c r="AA366" s="3">
        <v>12.6</v>
      </c>
      <c r="AB366" s="9">
        <v>0.2288488210818308</v>
      </c>
      <c r="AD366" s="3">
        <v>12.6</v>
      </c>
      <c r="AE366" s="6">
        <f t="shared" si="23"/>
        <v>1.4994174757281553</v>
      </c>
      <c r="AG366" s="3">
        <f t="shared" si="24"/>
        <v>5.1794050925621402</v>
      </c>
    </row>
    <row r="367" spans="1:33" x14ac:dyDescent="0.25">
      <c r="A367" t="s">
        <v>47</v>
      </c>
      <c r="B367" t="s">
        <v>0</v>
      </c>
      <c r="C367">
        <v>64</v>
      </c>
      <c r="D367">
        <v>430</v>
      </c>
      <c r="E367" s="2">
        <v>5</v>
      </c>
      <c r="F367" t="s">
        <v>5</v>
      </c>
      <c r="I367" s="6">
        <v>14.94</v>
      </c>
      <c r="J367" s="4">
        <v>0.2292418772563177</v>
      </c>
      <c r="K367" s="10"/>
      <c r="L367" s="6">
        <v>14.94</v>
      </c>
      <c r="M367" s="6">
        <f t="shared" si="22"/>
        <v>1.780934296028881</v>
      </c>
      <c r="O367">
        <v>430</v>
      </c>
      <c r="R367" s="3">
        <v>11.9</v>
      </c>
      <c r="S367" s="9">
        <v>0.26027397260273971</v>
      </c>
      <c r="T367" s="11"/>
      <c r="U367" s="3">
        <v>11.9</v>
      </c>
      <c r="V367" s="3">
        <f t="shared" si="25"/>
        <v>1.6105753424657534</v>
      </c>
      <c r="W367" s="9"/>
      <c r="X367">
        <v>430</v>
      </c>
      <c r="AA367" s="3">
        <v>10.66</v>
      </c>
      <c r="AB367" s="9">
        <v>0.2288488210818308</v>
      </c>
      <c r="AD367" s="3">
        <v>10.66</v>
      </c>
      <c r="AE367" s="6">
        <f t="shared" si="23"/>
        <v>1.2685547850208045</v>
      </c>
      <c r="AG367" s="3">
        <f t="shared" si="24"/>
        <v>4.6600644235154389</v>
      </c>
    </row>
    <row r="368" spans="1:33" x14ac:dyDescent="0.25">
      <c r="A368" t="s">
        <v>47</v>
      </c>
      <c r="B368" t="s">
        <v>0</v>
      </c>
      <c r="C368">
        <v>64</v>
      </c>
      <c r="D368">
        <v>431</v>
      </c>
      <c r="E368" s="2">
        <v>33</v>
      </c>
      <c r="F368" t="s">
        <v>23</v>
      </c>
      <c r="I368" s="6">
        <v>17.2</v>
      </c>
      <c r="J368" s="4">
        <v>0.2292418772563177</v>
      </c>
      <c r="K368" s="10"/>
      <c r="L368" s="6">
        <v>17.2</v>
      </c>
      <c r="M368" s="6">
        <f t="shared" si="22"/>
        <v>2.0503393501805056</v>
      </c>
      <c r="O368">
        <v>431</v>
      </c>
      <c r="R368" s="3">
        <v>12.92</v>
      </c>
      <c r="S368" s="9">
        <v>0.26027397260273971</v>
      </c>
      <c r="T368" s="11"/>
      <c r="U368" s="3">
        <v>12.92</v>
      </c>
      <c r="V368" s="3">
        <f t="shared" si="25"/>
        <v>1.7486246575342466</v>
      </c>
      <c r="W368" s="9"/>
      <c r="X368">
        <v>431</v>
      </c>
      <c r="AA368" s="3">
        <v>12.28</v>
      </c>
      <c r="AB368" s="9">
        <v>0.2288488210818308</v>
      </c>
      <c r="AD368" s="3">
        <v>12.28</v>
      </c>
      <c r="AE368" s="6">
        <f t="shared" si="23"/>
        <v>1.4613370319001386</v>
      </c>
      <c r="AG368" s="3">
        <f t="shared" si="24"/>
        <v>5.260301039614891</v>
      </c>
    </row>
    <row r="369" spans="1:33" x14ac:dyDescent="0.25">
      <c r="A369" t="s">
        <v>47</v>
      </c>
      <c r="B369" t="s">
        <v>0</v>
      </c>
      <c r="C369">
        <v>64</v>
      </c>
      <c r="D369">
        <v>432</v>
      </c>
      <c r="E369" s="2">
        <v>5</v>
      </c>
      <c r="F369" t="s">
        <v>5</v>
      </c>
      <c r="I369" s="6">
        <v>13.86</v>
      </c>
      <c r="J369" s="4">
        <v>0.2292418772563177</v>
      </c>
      <c r="K369" s="10"/>
      <c r="L369" s="6">
        <v>13.86</v>
      </c>
      <c r="M369" s="6">
        <f t="shared" si="22"/>
        <v>1.6521920577617331</v>
      </c>
      <c r="O369">
        <v>432</v>
      </c>
      <c r="R369" s="3">
        <v>11.82</v>
      </c>
      <c r="S369" s="9">
        <v>0.26027397260273971</v>
      </c>
      <c r="T369" s="11"/>
      <c r="U369" s="3">
        <v>11.82</v>
      </c>
      <c r="V369" s="3">
        <f t="shared" si="25"/>
        <v>1.5997479452054795</v>
      </c>
      <c r="W369" s="9"/>
      <c r="X369">
        <v>432</v>
      </c>
      <c r="AA369" s="3">
        <v>10.66</v>
      </c>
      <c r="AB369" s="9">
        <v>0.2288488210818308</v>
      </c>
      <c r="AD369" s="3">
        <v>10.66</v>
      </c>
      <c r="AE369" s="6">
        <f t="shared" si="23"/>
        <v>1.2685547850208045</v>
      </c>
      <c r="AG369" s="3">
        <f t="shared" si="24"/>
        <v>4.5204947879880173</v>
      </c>
    </row>
    <row r="370" spans="1:33" x14ac:dyDescent="0.25">
      <c r="A370" t="s">
        <v>47</v>
      </c>
      <c r="B370" t="s">
        <v>0</v>
      </c>
      <c r="C370">
        <v>64</v>
      </c>
      <c r="D370">
        <v>433</v>
      </c>
      <c r="E370" s="2">
        <v>6</v>
      </c>
      <c r="F370" t="s">
        <v>1</v>
      </c>
      <c r="G370" s="2">
        <v>827</v>
      </c>
      <c r="H370" s="2">
        <v>213</v>
      </c>
      <c r="I370" s="6">
        <v>13.74</v>
      </c>
      <c r="J370" s="4">
        <v>0.22767295597484277</v>
      </c>
      <c r="K370" s="10"/>
      <c r="L370" s="6">
        <v>13.74</v>
      </c>
      <c r="M370" s="6">
        <f t="shared" si="22"/>
        <v>1.6266777358490565</v>
      </c>
      <c r="O370">
        <v>433</v>
      </c>
      <c r="P370">
        <v>535</v>
      </c>
      <c r="Q370">
        <v>162</v>
      </c>
      <c r="R370" s="3">
        <v>11.5</v>
      </c>
      <c r="S370" s="9">
        <v>0.25844930417495032</v>
      </c>
      <c r="T370" s="11"/>
      <c r="U370" s="3">
        <v>11.5</v>
      </c>
      <c r="V370" s="3">
        <f t="shared" si="25"/>
        <v>1.5455268389662029</v>
      </c>
      <c r="W370" s="9"/>
      <c r="X370">
        <v>433</v>
      </c>
      <c r="Y370">
        <v>860</v>
      </c>
      <c r="Z370">
        <v>229</v>
      </c>
      <c r="AA370" s="3">
        <v>9.86</v>
      </c>
      <c r="AB370" s="9">
        <v>0.23792270531400966</v>
      </c>
      <c r="AD370" s="3">
        <v>9.86</v>
      </c>
      <c r="AE370" s="6">
        <f t="shared" si="23"/>
        <v>1.2198772946859904</v>
      </c>
      <c r="AG370" s="3">
        <f t="shared" si="24"/>
        <v>4.3920818695012498</v>
      </c>
    </row>
    <row r="371" spans="1:33" x14ac:dyDescent="0.25">
      <c r="A371" t="s">
        <v>47</v>
      </c>
      <c r="B371" t="s">
        <v>0</v>
      </c>
      <c r="C371">
        <v>64</v>
      </c>
      <c r="D371">
        <v>434</v>
      </c>
      <c r="E371" s="2">
        <v>22</v>
      </c>
      <c r="F371" t="s">
        <v>7</v>
      </c>
      <c r="I371" s="6">
        <v>16.100000000000001</v>
      </c>
      <c r="J371" s="4">
        <v>0.22767295597484277</v>
      </c>
      <c r="K371" s="10"/>
      <c r="L371" s="6">
        <v>16.100000000000001</v>
      </c>
      <c r="M371" s="6">
        <f t="shared" si="22"/>
        <v>1.906077987421384</v>
      </c>
      <c r="O371">
        <v>434</v>
      </c>
      <c r="R371" s="3">
        <v>13.1</v>
      </c>
      <c r="S371" s="9">
        <v>0.25844930417495032</v>
      </c>
      <c r="T371" s="11"/>
      <c r="U371" s="3">
        <v>13.1</v>
      </c>
      <c r="V371" s="3">
        <f t="shared" si="25"/>
        <v>1.7605566600397615</v>
      </c>
      <c r="W371" s="9"/>
      <c r="X371">
        <v>434</v>
      </c>
      <c r="AA371" s="3">
        <v>11.36</v>
      </c>
      <c r="AB371" s="9">
        <v>0.23792270531400966</v>
      </c>
      <c r="AD371" s="3">
        <v>11.36</v>
      </c>
      <c r="AE371" s="6">
        <f t="shared" si="23"/>
        <v>1.4054570048309178</v>
      </c>
      <c r="AG371" s="3">
        <f t="shared" si="24"/>
        <v>5.0720916522920634</v>
      </c>
    </row>
    <row r="372" spans="1:33" x14ac:dyDescent="0.25">
      <c r="A372" t="s">
        <v>47</v>
      </c>
      <c r="B372" t="s">
        <v>0</v>
      </c>
      <c r="C372">
        <v>64</v>
      </c>
      <c r="D372">
        <v>435</v>
      </c>
      <c r="E372" s="2">
        <v>11</v>
      </c>
      <c r="F372" t="s">
        <v>15</v>
      </c>
      <c r="I372" s="6">
        <v>14.28</v>
      </c>
      <c r="J372" s="4">
        <v>0.22767295597484277</v>
      </c>
      <c r="K372" s="10"/>
      <c r="L372" s="6">
        <v>14.28</v>
      </c>
      <c r="M372" s="6">
        <f t="shared" si="22"/>
        <v>1.6906083018867923</v>
      </c>
      <c r="O372">
        <v>435</v>
      </c>
      <c r="R372" s="3">
        <v>12.46</v>
      </c>
      <c r="S372" s="9">
        <v>0.25844930417495032</v>
      </c>
      <c r="T372" s="11"/>
      <c r="U372" s="3">
        <v>12.46</v>
      </c>
      <c r="V372" s="3">
        <f t="shared" si="25"/>
        <v>1.6745447316103383</v>
      </c>
      <c r="W372" s="9"/>
      <c r="X372">
        <v>435</v>
      </c>
      <c r="AA372" s="3">
        <v>10.6</v>
      </c>
      <c r="AB372" s="9">
        <v>0.23792270531400966</v>
      </c>
      <c r="AD372" s="3">
        <v>10.6</v>
      </c>
      <c r="AE372" s="6">
        <f t="shared" si="23"/>
        <v>1.3114299516908212</v>
      </c>
      <c r="AG372" s="3">
        <f t="shared" si="24"/>
        <v>4.6765829851879523</v>
      </c>
    </row>
    <row r="373" spans="1:33" x14ac:dyDescent="0.25">
      <c r="A373" t="s">
        <v>47</v>
      </c>
      <c r="B373" t="s">
        <v>0</v>
      </c>
      <c r="C373">
        <v>64</v>
      </c>
      <c r="D373">
        <v>436</v>
      </c>
      <c r="E373" s="2">
        <v>13</v>
      </c>
      <c r="F373" t="s">
        <v>24</v>
      </c>
      <c r="I373" s="6">
        <v>16.059999999999999</v>
      </c>
      <c r="J373" s="4">
        <v>0.22767295597484277</v>
      </c>
      <c r="K373" s="10"/>
      <c r="L373" s="6">
        <v>16.059999999999999</v>
      </c>
      <c r="M373" s="6">
        <f t="shared" si="22"/>
        <v>1.9013423899371069</v>
      </c>
      <c r="O373">
        <v>436</v>
      </c>
      <c r="R373" s="3">
        <v>13.7</v>
      </c>
      <c r="S373" s="9">
        <v>0.25844930417495032</v>
      </c>
      <c r="T373" s="11"/>
      <c r="U373" s="3">
        <v>13.7</v>
      </c>
      <c r="V373" s="3">
        <f t="shared" si="25"/>
        <v>1.8411928429423461</v>
      </c>
      <c r="W373" s="9"/>
      <c r="X373">
        <v>436</v>
      </c>
      <c r="AA373" s="3">
        <v>10.28</v>
      </c>
      <c r="AB373" s="9">
        <v>0.23792270531400966</v>
      </c>
      <c r="AD373" s="3">
        <v>10.28</v>
      </c>
      <c r="AE373" s="6">
        <f t="shared" si="23"/>
        <v>1.2718396135265702</v>
      </c>
      <c r="AG373" s="3">
        <f t="shared" si="24"/>
        <v>5.0143748464060227</v>
      </c>
    </row>
    <row r="374" spans="1:33" x14ac:dyDescent="0.25">
      <c r="A374" t="s">
        <v>47</v>
      </c>
      <c r="B374" t="s">
        <v>0</v>
      </c>
      <c r="C374">
        <v>64</v>
      </c>
      <c r="D374">
        <v>437</v>
      </c>
      <c r="E374" s="2">
        <v>10</v>
      </c>
      <c r="F374" t="s">
        <v>35</v>
      </c>
      <c r="G374" s="2">
        <v>683</v>
      </c>
      <c r="H374" s="2">
        <v>185</v>
      </c>
      <c r="I374" s="6">
        <v>12.48</v>
      </c>
      <c r="J374" s="4">
        <v>0.23502304147465439</v>
      </c>
      <c r="K374" s="10"/>
      <c r="L374" s="6">
        <v>12.48</v>
      </c>
      <c r="M374" s="6">
        <f t="shared" si="22"/>
        <v>1.5252055299539171</v>
      </c>
      <c r="O374">
        <v>437</v>
      </c>
      <c r="P374">
        <v>567</v>
      </c>
      <c r="Q374">
        <v>169</v>
      </c>
      <c r="R374" s="3">
        <v>11.12</v>
      </c>
      <c r="S374" s="9">
        <v>0.2560747663551402</v>
      </c>
      <c r="T374" s="11"/>
      <c r="U374" s="3">
        <v>11.12</v>
      </c>
      <c r="V374" s="3">
        <f t="shared" si="25"/>
        <v>1.4807267289719628</v>
      </c>
      <c r="W374" s="9"/>
      <c r="X374">
        <v>437</v>
      </c>
      <c r="Y374">
        <v>692</v>
      </c>
      <c r="Z374">
        <v>182</v>
      </c>
      <c r="AA374" s="3">
        <v>10.199999999999999</v>
      </c>
      <c r="AB374" s="9">
        <v>0.22727272727272727</v>
      </c>
      <c r="AD374" s="3">
        <v>10.199999999999999</v>
      </c>
      <c r="AE374" s="6">
        <f t="shared" si="23"/>
        <v>1.2054545454545453</v>
      </c>
      <c r="AG374" s="3">
        <f t="shared" si="24"/>
        <v>4.2113868043804255</v>
      </c>
    </row>
    <row r="375" spans="1:33" x14ac:dyDescent="0.25">
      <c r="A375" t="s">
        <v>47</v>
      </c>
      <c r="B375" t="s">
        <v>0</v>
      </c>
      <c r="C375">
        <v>64</v>
      </c>
      <c r="D375">
        <v>438</v>
      </c>
      <c r="E375" s="2">
        <v>26</v>
      </c>
      <c r="F375" t="s">
        <v>21</v>
      </c>
      <c r="I375" s="6">
        <v>18.78</v>
      </c>
      <c r="J375" s="4">
        <v>0.23502304147465439</v>
      </c>
      <c r="K375" s="10"/>
      <c r="L375" s="6">
        <v>18.78</v>
      </c>
      <c r="M375" s="6">
        <f t="shared" si="22"/>
        <v>2.2951410138248849</v>
      </c>
      <c r="O375">
        <v>438</v>
      </c>
      <c r="R375" s="3">
        <v>12.96</v>
      </c>
      <c r="S375" s="9">
        <v>0.2560747663551402</v>
      </c>
      <c r="T375" s="11"/>
      <c r="U375" s="3">
        <v>12.96</v>
      </c>
      <c r="V375" s="3">
        <f t="shared" si="25"/>
        <v>1.7257390654205611</v>
      </c>
      <c r="W375" s="9"/>
      <c r="X375">
        <v>438</v>
      </c>
      <c r="AA375" s="3">
        <v>11.62</v>
      </c>
      <c r="AB375" s="9">
        <v>0.22727272727272727</v>
      </c>
      <c r="AD375" s="3">
        <v>11.62</v>
      </c>
      <c r="AE375" s="6">
        <f t="shared" si="23"/>
        <v>1.3732727272727272</v>
      </c>
      <c r="AG375" s="3">
        <f t="shared" si="24"/>
        <v>5.3941528065181732</v>
      </c>
    </row>
    <row r="376" spans="1:33" x14ac:dyDescent="0.25">
      <c r="A376" t="s">
        <v>47</v>
      </c>
      <c r="B376" t="s">
        <v>0</v>
      </c>
      <c r="C376">
        <v>64</v>
      </c>
      <c r="D376">
        <v>439</v>
      </c>
      <c r="E376" s="2">
        <v>32</v>
      </c>
      <c r="F376" t="s">
        <v>30</v>
      </c>
      <c r="I376" s="6">
        <v>13.9</v>
      </c>
      <c r="J376" s="4">
        <v>0.23502304147465439</v>
      </c>
      <c r="K376" s="10"/>
      <c r="L376" s="6">
        <v>13.9</v>
      </c>
      <c r="M376" s="6">
        <f t="shared" si="22"/>
        <v>1.6987465437788019</v>
      </c>
      <c r="O376">
        <v>439</v>
      </c>
      <c r="R376" s="3">
        <v>11.82</v>
      </c>
      <c r="S376" s="9">
        <v>0.2560747663551402</v>
      </c>
      <c r="T376" s="11"/>
      <c r="U376" s="3">
        <v>11.82</v>
      </c>
      <c r="V376" s="3">
        <f t="shared" si="25"/>
        <v>1.5739379439252339</v>
      </c>
      <c r="W376" s="9"/>
      <c r="X376">
        <v>439</v>
      </c>
      <c r="AA376" s="3">
        <v>9.34</v>
      </c>
      <c r="AB376" s="9">
        <v>0.22727272727272727</v>
      </c>
      <c r="AD376" s="3">
        <v>9.34</v>
      </c>
      <c r="AE376" s="6">
        <f t="shared" si="23"/>
        <v>1.1038181818181818</v>
      </c>
      <c r="AG376" s="3">
        <f t="shared" si="24"/>
        <v>4.3765026695222176</v>
      </c>
    </row>
    <row r="377" spans="1:33" x14ac:dyDescent="0.25">
      <c r="A377" t="s">
        <v>47</v>
      </c>
      <c r="B377" t="s">
        <v>0</v>
      </c>
      <c r="C377">
        <v>64</v>
      </c>
      <c r="D377">
        <v>440</v>
      </c>
      <c r="E377" s="2">
        <v>2</v>
      </c>
      <c r="F377" t="s">
        <v>4</v>
      </c>
      <c r="I377" s="6">
        <v>18.22</v>
      </c>
      <c r="J377" s="4">
        <v>0.23502304147465439</v>
      </c>
      <c r="K377" s="10"/>
      <c r="L377" s="6">
        <v>18.22</v>
      </c>
      <c r="M377" s="6">
        <f t="shared" si="22"/>
        <v>2.2267023041474658</v>
      </c>
      <c r="O377">
        <v>440</v>
      </c>
      <c r="R377" s="3">
        <v>14.3</v>
      </c>
      <c r="S377" s="9">
        <v>0.2560747663551402</v>
      </c>
      <c r="T377" s="11"/>
      <c r="U377" s="3">
        <v>14.3</v>
      </c>
      <c r="V377" s="3">
        <f t="shared" si="25"/>
        <v>1.9041719626168228</v>
      </c>
      <c r="W377" s="9"/>
      <c r="X377">
        <v>440</v>
      </c>
      <c r="AA377" s="3">
        <v>12.64</v>
      </c>
      <c r="AB377" s="9">
        <v>0.22727272727272727</v>
      </c>
      <c r="AD377" s="3">
        <v>12.64</v>
      </c>
      <c r="AE377" s="6">
        <f t="shared" si="23"/>
        <v>1.4938181818181817</v>
      </c>
      <c r="AG377" s="3">
        <f t="shared" si="24"/>
        <v>5.6246924485824703</v>
      </c>
    </row>
    <row r="378" spans="1:33" x14ac:dyDescent="0.25">
      <c r="A378" t="s">
        <v>47</v>
      </c>
      <c r="B378" t="s">
        <v>0</v>
      </c>
      <c r="C378">
        <v>64</v>
      </c>
      <c r="D378">
        <v>441</v>
      </c>
      <c r="E378" s="2">
        <v>27</v>
      </c>
      <c r="F378" t="s">
        <v>14</v>
      </c>
      <c r="G378" s="2">
        <v>555</v>
      </c>
      <c r="H378" s="2">
        <v>156</v>
      </c>
      <c r="I378" s="6">
        <v>15.3</v>
      </c>
      <c r="J378" s="4">
        <v>0.23709369024856597</v>
      </c>
      <c r="K378" s="10"/>
      <c r="L378" s="6">
        <v>15.3</v>
      </c>
      <c r="M378" s="6">
        <f t="shared" si="22"/>
        <v>1.886317399617591</v>
      </c>
      <c r="O378">
        <v>441</v>
      </c>
      <c r="P378">
        <v>464</v>
      </c>
      <c r="Q378">
        <v>143</v>
      </c>
      <c r="R378" s="3">
        <v>13.32</v>
      </c>
      <c r="S378" s="9">
        <v>0.25694444444444442</v>
      </c>
      <c r="T378" s="11"/>
      <c r="U378" s="3">
        <v>13.32</v>
      </c>
      <c r="V378" s="3">
        <f t="shared" si="25"/>
        <v>1.7797000000000001</v>
      </c>
      <c r="W378" s="9"/>
      <c r="X378">
        <v>441</v>
      </c>
      <c r="Y378">
        <v>712</v>
      </c>
      <c r="Z378">
        <v>197</v>
      </c>
      <c r="AA378" s="3">
        <v>10.7</v>
      </c>
      <c r="AB378" s="9">
        <v>0.24264705882352941</v>
      </c>
      <c r="AD378" s="3">
        <v>10.7</v>
      </c>
      <c r="AE378" s="6">
        <f t="shared" si="23"/>
        <v>1.3500882352941177</v>
      </c>
      <c r="AG378" s="3">
        <f t="shared" si="24"/>
        <v>5.0161056349117086</v>
      </c>
    </row>
    <row r="379" spans="1:33" x14ac:dyDescent="0.25">
      <c r="A379" t="s">
        <v>47</v>
      </c>
      <c r="B379" t="s">
        <v>0</v>
      </c>
      <c r="C379">
        <v>64</v>
      </c>
      <c r="D379">
        <v>442</v>
      </c>
      <c r="E379" s="2">
        <v>14</v>
      </c>
      <c r="F379" t="s">
        <v>25</v>
      </c>
      <c r="I379" s="6">
        <v>17.059999999999999</v>
      </c>
      <c r="J379" s="4">
        <v>0.23709369024856597</v>
      </c>
      <c r="K379" s="10"/>
      <c r="L379" s="6">
        <v>17.059999999999999</v>
      </c>
      <c r="M379" s="6">
        <f t="shared" si="22"/>
        <v>2.1033055449330784</v>
      </c>
      <c r="O379">
        <v>442</v>
      </c>
      <c r="R379" s="3">
        <v>12.32</v>
      </c>
      <c r="S379" s="9">
        <v>0.25694444444444442</v>
      </c>
      <c r="T379" s="11"/>
      <c r="U379" s="3">
        <v>12.32</v>
      </c>
      <c r="V379" s="3">
        <f t="shared" si="25"/>
        <v>1.6460888888888887</v>
      </c>
      <c r="W379" s="9"/>
      <c r="X379">
        <v>442</v>
      </c>
      <c r="AA379" s="3">
        <v>10</v>
      </c>
      <c r="AB379" s="9">
        <v>0.24264705882352941</v>
      </c>
      <c r="AD379" s="3">
        <v>10</v>
      </c>
      <c r="AE379" s="6">
        <f t="shared" si="23"/>
        <v>1.2617647058823529</v>
      </c>
      <c r="AG379" s="3">
        <f t="shared" si="24"/>
        <v>5.0111591397043203</v>
      </c>
    </row>
    <row r="380" spans="1:33" x14ac:dyDescent="0.25">
      <c r="A380" t="s">
        <v>47</v>
      </c>
      <c r="B380" t="s">
        <v>0</v>
      </c>
      <c r="C380">
        <v>64</v>
      </c>
      <c r="D380">
        <v>443</v>
      </c>
      <c r="E380" s="2">
        <v>29</v>
      </c>
      <c r="F380" t="s">
        <v>11</v>
      </c>
      <c r="I380" s="6">
        <v>15.58</v>
      </c>
      <c r="J380" s="4">
        <v>0.23709369024856597</v>
      </c>
      <c r="K380" s="10"/>
      <c r="L380" s="6">
        <v>15.58</v>
      </c>
      <c r="M380" s="6">
        <f t="shared" si="22"/>
        <v>1.920838240917782</v>
      </c>
      <c r="O380">
        <v>443</v>
      </c>
      <c r="R380" s="3">
        <v>14.04</v>
      </c>
      <c r="S380" s="9">
        <v>0.25694444444444442</v>
      </c>
      <c r="T380" s="11"/>
      <c r="U380" s="3">
        <v>14.04</v>
      </c>
      <c r="V380" s="3">
        <f t="shared" si="25"/>
        <v>1.8758999999999999</v>
      </c>
      <c r="W380" s="9"/>
      <c r="X380">
        <v>443</v>
      </c>
      <c r="AA380" s="3">
        <v>8.8000000000000007</v>
      </c>
      <c r="AB380" s="9">
        <v>0.24264705882352941</v>
      </c>
      <c r="AD380" s="3">
        <v>8.8000000000000007</v>
      </c>
      <c r="AE380" s="6">
        <f t="shared" si="23"/>
        <v>1.1103529411764705</v>
      </c>
      <c r="AG380" s="3">
        <f t="shared" si="24"/>
        <v>4.9070911820942529</v>
      </c>
    </row>
    <row r="381" spans="1:33" x14ac:dyDescent="0.25">
      <c r="A381" t="s">
        <v>47</v>
      </c>
      <c r="B381" t="s">
        <v>0</v>
      </c>
      <c r="C381">
        <v>64</v>
      </c>
      <c r="D381">
        <v>444</v>
      </c>
      <c r="E381" s="2">
        <v>30</v>
      </c>
      <c r="F381" t="s">
        <v>9</v>
      </c>
      <c r="I381" s="6">
        <v>15.46</v>
      </c>
      <c r="J381" s="4">
        <v>0.23709369024856597</v>
      </c>
      <c r="K381" s="10"/>
      <c r="L381" s="6">
        <v>15.46</v>
      </c>
      <c r="M381" s="6">
        <f t="shared" si="22"/>
        <v>1.9060435946462717</v>
      </c>
      <c r="O381">
        <v>444</v>
      </c>
      <c r="R381" s="3">
        <v>12.84</v>
      </c>
      <c r="S381" s="9">
        <v>0.25694444444444442</v>
      </c>
      <c r="T381" s="11"/>
      <c r="U381" s="3">
        <v>12.84</v>
      </c>
      <c r="V381" s="3">
        <f t="shared" si="25"/>
        <v>1.7155666666666665</v>
      </c>
      <c r="W381" s="9"/>
      <c r="X381">
        <v>444</v>
      </c>
      <c r="AA381" s="3">
        <v>10.08</v>
      </c>
      <c r="AB381" s="9">
        <v>0.24264705882352941</v>
      </c>
      <c r="AD381" s="3">
        <v>10.08</v>
      </c>
      <c r="AE381" s="6">
        <f t="shared" si="23"/>
        <v>1.2718588235294117</v>
      </c>
      <c r="AG381" s="3">
        <f t="shared" si="24"/>
        <v>4.8934690848423497</v>
      </c>
    </row>
    <row r="382" spans="1:33" x14ac:dyDescent="0.25">
      <c r="A382" t="s">
        <v>47</v>
      </c>
      <c r="B382" t="s">
        <v>0</v>
      </c>
      <c r="C382">
        <v>64</v>
      </c>
      <c r="D382">
        <v>445</v>
      </c>
      <c r="E382" s="2">
        <v>7</v>
      </c>
      <c r="F382" t="s">
        <v>16</v>
      </c>
      <c r="G382" s="2">
        <v>696</v>
      </c>
      <c r="H382" s="2">
        <v>183</v>
      </c>
      <c r="I382" s="6">
        <v>15.34</v>
      </c>
      <c r="J382" s="4">
        <v>0.22740963855421686</v>
      </c>
      <c r="K382" s="10"/>
      <c r="L382" s="6">
        <v>15.34</v>
      </c>
      <c r="M382" s="6">
        <f t="shared" si="22"/>
        <v>1.8140012048192771</v>
      </c>
      <c r="O382">
        <v>445</v>
      </c>
      <c r="P382">
        <v>809</v>
      </c>
      <c r="Q382">
        <v>244</v>
      </c>
      <c r="R382" s="3">
        <v>13.18</v>
      </c>
      <c r="S382" s="9">
        <v>0.27284427284427282</v>
      </c>
      <c r="T382" s="11"/>
      <c r="U382" s="3">
        <v>13.18</v>
      </c>
      <c r="V382" s="3">
        <f t="shared" si="25"/>
        <v>1.8699655083655082</v>
      </c>
      <c r="W382" s="9"/>
      <c r="X382">
        <v>445</v>
      </c>
      <c r="Y382">
        <v>658</v>
      </c>
      <c r="Z382">
        <v>177</v>
      </c>
      <c r="AA382" s="3">
        <v>10.5</v>
      </c>
      <c r="AB382" s="9">
        <v>0.23162939297124602</v>
      </c>
      <c r="AD382" s="3">
        <v>10.5</v>
      </c>
      <c r="AE382" s="6">
        <f t="shared" si="23"/>
        <v>1.2646964856230032</v>
      </c>
      <c r="AG382" s="3">
        <f t="shared" si="24"/>
        <v>4.9486631988077887</v>
      </c>
    </row>
    <row r="383" spans="1:33" x14ac:dyDescent="0.25">
      <c r="A383" t="s">
        <v>47</v>
      </c>
      <c r="B383" t="s">
        <v>0</v>
      </c>
      <c r="C383">
        <v>64</v>
      </c>
      <c r="D383">
        <v>446</v>
      </c>
      <c r="E383" s="2">
        <v>21</v>
      </c>
      <c r="F383" t="s">
        <v>22</v>
      </c>
      <c r="I383" s="6">
        <v>17.559999999999999</v>
      </c>
      <c r="J383" s="4">
        <v>0.22740963855421686</v>
      </c>
      <c r="K383" s="10"/>
      <c r="L383" s="6">
        <v>17.559999999999999</v>
      </c>
      <c r="M383" s="6">
        <f t="shared" si="22"/>
        <v>2.076522891566265</v>
      </c>
      <c r="O383">
        <v>446</v>
      </c>
      <c r="R383" s="3">
        <v>14.44</v>
      </c>
      <c r="S383" s="9">
        <v>0.27284427284427282</v>
      </c>
      <c r="T383" s="11"/>
      <c r="U383" s="3">
        <v>14.44</v>
      </c>
      <c r="V383" s="3">
        <f t="shared" si="25"/>
        <v>2.0487330759330757</v>
      </c>
      <c r="W383" s="9"/>
      <c r="X383">
        <v>446</v>
      </c>
      <c r="AA383" s="3">
        <v>11.92</v>
      </c>
      <c r="AB383" s="9">
        <v>0.23162939297124602</v>
      </c>
      <c r="AD383" s="3">
        <v>11.92</v>
      </c>
      <c r="AE383" s="6">
        <f t="shared" si="23"/>
        <v>1.4357316293929714</v>
      </c>
      <c r="AG383" s="3">
        <f t="shared" si="24"/>
        <v>5.5609875968923115</v>
      </c>
    </row>
    <row r="384" spans="1:33" x14ac:dyDescent="0.25">
      <c r="A384" t="s">
        <v>47</v>
      </c>
      <c r="B384" t="s">
        <v>0</v>
      </c>
      <c r="C384">
        <v>64</v>
      </c>
      <c r="D384">
        <v>447</v>
      </c>
      <c r="E384" s="2">
        <v>1</v>
      </c>
      <c r="F384" t="s">
        <v>6</v>
      </c>
      <c r="I384" s="6">
        <v>16.36</v>
      </c>
      <c r="J384" s="4">
        <v>0.22740963855421686</v>
      </c>
      <c r="K384" s="10"/>
      <c r="L384" s="6">
        <v>16.36</v>
      </c>
      <c r="M384" s="6">
        <f t="shared" si="22"/>
        <v>1.9346192771084336</v>
      </c>
      <c r="O384">
        <v>447</v>
      </c>
      <c r="R384" s="3">
        <v>13.2</v>
      </c>
      <c r="S384" s="9">
        <v>0.27284427284427282</v>
      </c>
      <c r="T384" s="11"/>
      <c r="U384" s="3">
        <v>13.2</v>
      </c>
      <c r="V384" s="3">
        <f t="shared" si="25"/>
        <v>1.8728030888030884</v>
      </c>
      <c r="W384" s="9"/>
      <c r="X384">
        <v>447</v>
      </c>
      <c r="AA384" s="3">
        <v>11.04</v>
      </c>
      <c r="AB384" s="9">
        <v>0.23162939297124602</v>
      </c>
      <c r="AD384" s="3">
        <v>11.04</v>
      </c>
      <c r="AE384" s="6">
        <f t="shared" si="23"/>
        <v>1.3297380191693291</v>
      </c>
      <c r="AG384" s="3">
        <f t="shared" si="24"/>
        <v>5.1371603850808514</v>
      </c>
    </row>
    <row r="385" spans="1:33" x14ac:dyDescent="0.25">
      <c r="A385" t="s">
        <v>47</v>
      </c>
      <c r="B385" t="s">
        <v>0</v>
      </c>
      <c r="C385">
        <v>64</v>
      </c>
      <c r="D385">
        <v>448</v>
      </c>
      <c r="E385" s="2">
        <v>18</v>
      </c>
      <c r="F385" t="s">
        <v>18</v>
      </c>
      <c r="I385" s="6">
        <v>18.38</v>
      </c>
      <c r="J385" s="4">
        <v>0.22740963855421686</v>
      </c>
      <c r="K385" s="10"/>
      <c r="L385" s="6">
        <v>18.38</v>
      </c>
      <c r="M385" s="6">
        <f t="shared" si="22"/>
        <v>2.1734903614457832</v>
      </c>
      <c r="O385">
        <v>448</v>
      </c>
      <c r="R385" s="3">
        <v>13.32</v>
      </c>
      <c r="S385" s="9">
        <v>0.27284427284427282</v>
      </c>
      <c r="T385" s="11"/>
      <c r="U385" s="3">
        <v>13.32</v>
      </c>
      <c r="V385" s="3">
        <f t="shared" si="25"/>
        <v>1.8898285714285712</v>
      </c>
      <c r="W385" s="9"/>
      <c r="X385">
        <v>448</v>
      </c>
      <c r="AA385" s="3">
        <v>10.64</v>
      </c>
      <c r="AB385" s="9">
        <v>0.23162939297124602</v>
      </c>
      <c r="AD385" s="3">
        <v>10.64</v>
      </c>
      <c r="AE385" s="6">
        <f t="shared" si="23"/>
        <v>1.2815591054313102</v>
      </c>
      <c r="AG385" s="3">
        <f t="shared" si="24"/>
        <v>5.3448780383056649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C887-D7F5-4555-9A17-EC9CFC4A74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9452-C951-4511-A694-B233F28AB44D}">
  <dimension ref="A1:H385"/>
  <sheetViews>
    <sheetView workbookViewId="0">
      <selection activeCell="G1" sqref="G1:G1048576"/>
    </sheetView>
  </sheetViews>
  <sheetFormatPr defaultRowHeight="15" x14ac:dyDescent="0.25"/>
  <cols>
    <col min="2" max="2" width="4.28515625" customWidth="1"/>
    <col min="3" max="3" width="6.140625" customWidth="1"/>
  </cols>
  <sheetData>
    <row r="1" spans="1:8" x14ac:dyDescent="0.25">
      <c r="E1" s="9" t="s">
        <v>49</v>
      </c>
      <c r="F1" s="9" t="s">
        <v>50</v>
      </c>
      <c r="G1" s="9" t="s">
        <v>51</v>
      </c>
      <c r="H1" s="11"/>
    </row>
    <row r="2" spans="1:8" x14ac:dyDescent="0.25">
      <c r="A2" t="s">
        <v>46</v>
      </c>
      <c r="B2" t="s">
        <v>0</v>
      </c>
      <c r="C2">
        <v>63</v>
      </c>
      <c r="D2">
        <v>101</v>
      </c>
      <c r="E2" s="9">
        <v>0.24578651685393257</v>
      </c>
      <c r="F2" s="9"/>
      <c r="G2" s="9">
        <v>0.18011527377521613</v>
      </c>
    </row>
    <row r="3" spans="1:8" x14ac:dyDescent="0.25">
      <c r="A3" t="s">
        <v>46</v>
      </c>
      <c r="B3" t="s">
        <v>0</v>
      </c>
      <c r="C3">
        <v>63</v>
      </c>
      <c r="D3">
        <v>102</v>
      </c>
      <c r="E3" s="9">
        <v>0.24578651685393257</v>
      </c>
      <c r="F3" s="9"/>
      <c r="G3" s="9">
        <v>0.18011527377521613</v>
      </c>
    </row>
    <row r="4" spans="1:8" x14ac:dyDescent="0.25">
      <c r="A4" t="s">
        <v>46</v>
      </c>
      <c r="B4" t="s">
        <v>0</v>
      </c>
      <c r="C4">
        <v>63</v>
      </c>
      <c r="D4">
        <v>103</v>
      </c>
      <c r="E4" s="9">
        <v>0.24578651685393257</v>
      </c>
      <c r="F4" s="9"/>
      <c r="G4" s="9">
        <v>0.18011527377521613</v>
      </c>
    </row>
    <row r="5" spans="1:8" x14ac:dyDescent="0.25">
      <c r="A5" t="s">
        <v>46</v>
      </c>
      <c r="B5" t="s">
        <v>0</v>
      </c>
      <c r="C5">
        <v>63</v>
      </c>
      <c r="D5">
        <v>104</v>
      </c>
      <c r="E5" s="9">
        <v>0.24578651685393257</v>
      </c>
      <c r="F5" s="9"/>
      <c r="G5" s="9">
        <v>0.18011527377521613</v>
      </c>
    </row>
    <row r="6" spans="1:8" x14ac:dyDescent="0.25">
      <c r="A6" t="s">
        <v>46</v>
      </c>
      <c r="B6" t="s">
        <v>0</v>
      </c>
      <c r="C6">
        <v>63</v>
      </c>
      <c r="D6">
        <v>105</v>
      </c>
      <c r="E6" s="9">
        <v>0.23878437047756873</v>
      </c>
      <c r="F6" s="9"/>
      <c r="G6" s="9">
        <v>0.1806775407779172</v>
      </c>
    </row>
    <row r="7" spans="1:8" x14ac:dyDescent="0.25">
      <c r="A7" t="s">
        <v>46</v>
      </c>
      <c r="B7" t="s">
        <v>0</v>
      </c>
      <c r="C7">
        <v>63</v>
      </c>
      <c r="D7">
        <v>106</v>
      </c>
      <c r="E7" s="9">
        <v>0.23878437047756873</v>
      </c>
      <c r="F7" s="9"/>
      <c r="G7" s="9">
        <v>0.1806775407779172</v>
      </c>
    </row>
    <row r="8" spans="1:8" x14ac:dyDescent="0.25">
      <c r="A8" t="s">
        <v>46</v>
      </c>
      <c r="B8" t="s">
        <v>0</v>
      </c>
      <c r="C8">
        <v>63</v>
      </c>
      <c r="D8">
        <v>107</v>
      </c>
      <c r="E8" s="9">
        <v>0.23878437047756873</v>
      </c>
      <c r="F8" s="9"/>
      <c r="G8" s="9">
        <v>0.1806775407779172</v>
      </c>
    </row>
    <row r="9" spans="1:8" x14ac:dyDescent="0.25">
      <c r="A9" t="s">
        <v>46</v>
      </c>
      <c r="B9" t="s">
        <v>0</v>
      </c>
      <c r="C9">
        <v>63</v>
      </c>
      <c r="D9">
        <v>108</v>
      </c>
      <c r="E9" s="9">
        <v>0.23878437047756873</v>
      </c>
      <c r="F9" s="9"/>
      <c r="G9" s="9">
        <v>0.1806775407779172</v>
      </c>
    </row>
    <row r="10" spans="1:8" x14ac:dyDescent="0.25">
      <c r="A10" t="s">
        <v>46</v>
      </c>
      <c r="B10" t="s">
        <v>0</v>
      </c>
      <c r="C10">
        <v>63</v>
      </c>
      <c r="D10">
        <v>109</v>
      </c>
      <c r="E10" s="9">
        <v>0.24866310160427807</v>
      </c>
      <c r="F10" s="9"/>
      <c r="G10" s="9">
        <v>0.1976592977893368</v>
      </c>
    </row>
    <row r="11" spans="1:8" x14ac:dyDescent="0.25">
      <c r="A11" t="s">
        <v>46</v>
      </c>
      <c r="B11" t="s">
        <v>0</v>
      </c>
      <c r="C11">
        <v>63</v>
      </c>
      <c r="D11">
        <v>110</v>
      </c>
      <c r="E11" s="9">
        <v>0.24866310160427807</v>
      </c>
      <c r="F11" s="9"/>
      <c r="G11" s="9">
        <v>0.1976592977893368</v>
      </c>
    </row>
    <row r="12" spans="1:8" x14ac:dyDescent="0.25">
      <c r="A12" t="s">
        <v>46</v>
      </c>
      <c r="B12" t="s">
        <v>0</v>
      </c>
      <c r="C12">
        <v>63</v>
      </c>
      <c r="D12">
        <v>111</v>
      </c>
      <c r="E12" s="9">
        <v>0.24866310160427807</v>
      </c>
      <c r="F12" s="9"/>
      <c r="G12" s="9">
        <v>0.1976592977893368</v>
      </c>
    </row>
    <row r="13" spans="1:8" x14ac:dyDescent="0.25">
      <c r="A13" t="s">
        <v>46</v>
      </c>
      <c r="B13" t="s">
        <v>0</v>
      </c>
      <c r="C13">
        <v>63</v>
      </c>
      <c r="D13">
        <v>112</v>
      </c>
      <c r="E13" s="9">
        <v>0.24866310160427807</v>
      </c>
      <c r="F13" s="9"/>
      <c r="G13" s="9">
        <v>0.1976592977893368</v>
      </c>
    </row>
    <row r="14" spans="1:8" x14ac:dyDescent="0.25">
      <c r="A14" t="s">
        <v>46</v>
      </c>
      <c r="B14" t="s">
        <v>0</v>
      </c>
      <c r="C14">
        <v>63</v>
      </c>
      <c r="D14">
        <v>113</v>
      </c>
      <c r="E14" s="9">
        <v>0.24741081703107021</v>
      </c>
      <c r="F14" s="9">
        <v>0.39442231075697209</v>
      </c>
      <c r="G14" s="9">
        <v>0.20350404312668463</v>
      </c>
    </row>
    <row r="15" spans="1:8" x14ac:dyDescent="0.25">
      <c r="A15" t="s">
        <v>46</v>
      </c>
      <c r="B15" t="s">
        <v>0</v>
      </c>
      <c r="C15">
        <v>63</v>
      </c>
      <c r="D15">
        <v>114</v>
      </c>
      <c r="E15" s="9">
        <v>0.24741081703107021</v>
      </c>
      <c r="F15" s="9">
        <v>0.39442231075697209</v>
      </c>
      <c r="G15" s="9">
        <v>0.20350404312668463</v>
      </c>
    </row>
    <row r="16" spans="1:8" x14ac:dyDescent="0.25">
      <c r="A16" t="s">
        <v>46</v>
      </c>
      <c r="B16" t="s">
        <v>0</v>
      </c>
      <c r="C16">
        <v>63</v>
      </c>
      <c r="D16">
        <v>115</v>
      </c>
      <c r="E16" s="9">
        <v>0.24741081703107021</v>
      </c>
      <c r="F16" s="9">
        <v>0.39442231075697209</v>
      </c>
      <c r="G16" s="9">
        <v>0.20350404312668463</v>
      </c>
    </row>
    <row r="17" spans="1:7" x14ac:dyDescent="0.25">
      <c r="A17" t="s">
        <v>46</v>
      </c>
      <c r="B17" t="s">
        <v>0</v>
      </c>
      <c r="C17">
        <v>63</v>
      </c>
      <c r="D17">
        <v>116</v>
      </c>
      <c r="E17" s="9">
        <v>0.24741081703107021</v>
      </c>
      <c r="F17" s="9">
        <v>0.39442231075697209</v>
      </c>
      <c r="G17" s="9">
        <v>0.20350404312668463</v>
      </c>
    </row>
    <row r="18" spans="1:7" x14ac:dyDescent="0.25">
      <c r="A18" t="s">
        <v>46</v>
      </c>
      <c r="B18" t="s">
        <v>0</v>
      </c>
      <c r="C18">
        <v>63</v>
      </c>
      <c r="D18">
        <v>117</v>
      </c>
      <c r="E18" s="9">
        <v>0.25350593311758363</v>
      </c>
      <c r="F18" s="9">
        <v>0.38235294117647056</v>
      </c>
      <c r="G18" s="9">
        <v>0.21153846153846154</v>
      </c>
    </row>
    <row r="19" spans="1:7" x14ac:dyDescent="0.25">
      <c r="A19" t="s">
        <v>46</v>
      </c>
      <c r="B19" t="s">
        <v>0</v>
      </c>
      <c r="C19">
        <v>63</v>
      </c>
      <c r="D19">
        <v>118</v>
      </c>
      <c r="E19" s="9">
        <v>0.25350593311758363</v>
      </c>
      <c r="F19" s="9">
        <v>0.38235294117647056</v>
      </c>
      <c r="G19" s="9">
        <v>0.21153846153846154</v>
      </c>
    </row>
    <row r="20" spans="1:7" x14ac:dyDescent="0.25">
      <c r="A20" t="s">
        <v>46</v>
      </c>
      <c r="B20" t="s">
        <v>0</v>
      </c>
      <c r="C20">
        <v>63</v>
      </c>
      <c r="D20">
        <v>119</v>
      </c>
      <c r="E20" s="9">
        <v>0.25350593311758363</v>
      </c>
      <c r="F20" s="9">
        <v>0.38235294117647056</v>
      </c>
      <c r="G20" s="9">
        <v>0.21153846153846154</v>
      </c>
    </row>
    <row r="21" spans="1:7" x14ac:dyDescent="0.25">
      <c r="A21" t="s">
        <v>46</v>
      </c>
      <c r="B21" t="s">
        <v>0</v>
      </c>
      <c r="C21">
        <v>63</v>
      </c>
      <c r="D21">
        <v>120</v>
      </c>
      <c r="E21" s="9">
        <v>0.25350593311758363</v>
      </c>
      <c r="F21" s="9">
        <v>0.38235294117647056</v>
      </c>
      <c r="G21" s="9">
        <v>0.21153846153846154</v>
      </c>
    </row>
    <row r="22" spans="1:7" x14ac:dyDescent="0.25">
      <c r="A22" t="s">
        <v>46</v>
      </c>
      <c r="B22" t="s">
        <v>0</v>
      </c>
      <c r="C22">
        <v>63</v>
      </c>
      <c r="D22">
        <v>121</v>
      </c>
      <c r="E22" s="9">
        <v>0.24217844727694091</v>
      </c>
      <c r="F22" s="9">
        <v>0.37404580152671757</v>
      </c>
      <c r="G22" s="9">
        <v>0.20776255707762556</v>
      </c>
    </row>
    <row r="23" spans="1:7" x14ac:dyDescent="0.25">
      <c r="A23" t="s">
        <v>46</v>
      </c>
      <c r="B23" t="s">
        <v>0</v>
      </c>
      <c r="C23">
        <v>63</v>
      </c>
      <c r="D23">
        <v>122</v>
      </c>
      <c r="E23" s="9">
        <v>0.24217844727694091</v>
      </c>
      <c r="F23" s="9">
        <v>0.37404580152671757</v>
      </c>
      <c r="G23" s="9">
        <v>0.20776255707762556</v>
      </c>
    </row>
    <row r="24" spans="1:7" x14ac:dyDescent="0.25">
      <c r="A24" t="s">
        <v>46</v>
      </c>
      <c r="B24" t="s">
        <v>0</v>
      </c>
      <c r="C24">
        <v>63</v>
      </c>
      <c r="D24">
        <v>123</v>
      </c>
      <c r="E24" s="9">
        <v>0.24217844727694091</v>
      </c>
      <c r="F24" s="9">
        <v>0.37404580152671757</v>
      </c>
      <c r="G24" s="9">
        <v>0.20776255707762556</v>
      </c>
    </row>
    <row r="25" spans="1:7" x14ac:dyDescent="0.25">
      <c r="A25" t="s">
        <v>46</v>
      </c>
      <c r="B25" t="s">
        <v>0</v>
      </c>
      <c r="C25">
        <v>63</v>
      </c>
      <c r="D25">
        <v>124</v>
      </c>
      <c r="E25" s="9">
        <v>0.24217844727694091</v>
      </c>
      <c r="F25" s="9">
        <v>0.37404580152671757</v>
      </c>
      <c r="G25" s="9">
        <v>0.20776255707762556</v>
      </c>
    </row>
    <row r="26" spans="1:7" x14ac:dyDescent="0.25">
      <c r="A26" t="s">
        <v>46</v>
      </c>
      <c r="B26" t="s">
        <v>0</v>
      </c>
      <c r="C26">
        <v>63</v>
      </c>
      <c r="D26">
        <v>125</v>
      </c>
      <c r="E26" s="9">
        <v>0.27107061503416857</v>
      </c>
      <c r="F26" s="9">
        <v>0.37611408199643492</v>
      </c>
      <c r="G26" s="9">
        <v>0.21913236929922136</v>
      </c>
    </row>
    <row r="27" spans="1:7" x14ac:dyDescent="0.25">
      <c r="A27" t="s">
        <v>46</v>
      </c>
      <c r="B27" t="s">
        <v>0</v>
      </c>
      <c r="C27">
        <v>63</v>
      </c>
      <c r="D27">
        <v>126</v>
      </c>
      <c r="E27" s="9">
        <v>0.27107061503416857</v>
      </c>
      <c r="F27" s="9">
        <v>0.37611408199643492</v>
      </c>
      <c r="G27" s="9">
        <v>0.21913236929922136</v>
      </c>
    </row>
    <row r="28" spans="1:7" x14ac:dyDescent="0.25">
      <c r="A28" t="s">
        <v>46</v>
      </c>
      <c r="B28" t="s">
        <v>0</v>
      </c>
      <c r="C28">
        <v>63</v>
      </c>
      <c r="D28">
        <v>127</v>
      </c>
      <c r="E28" s="9">
        <v>0.27107061503416857</v>
      </c>
      <c r="F28" s="9">
        <v>0.37611408199643492</v>
      </c>
      <c r="G28" s="9">
        <v>0.21913236929922136</v>
      </c>
    </row>
    <row r="29" spans="1:7" x14ac:dyDescent="0.25">
      <c r="A29" t="s">
        <v>46</v>
      </c>
      <c r="B29" t="s">
        <v>0</v>
      </c>
      <c r="C29">
        <v>63</v>
      </c>
      <c r="D29">
        <v>128</v>
      </c>
      <c r="E29" s="9">
        <v>0.27107061503416857</v>
      </c>
      <c r="F29" s="9">
        <v>0.37611408199643492</v>
      </c>
      <c r="G29" s="9">
        <v>0.21913236929922136</v>
      </c>
    </row>
    <row r="30" spans="1:7" x14ac:dyDescent="0.25">
      <c r="A30" t="s">
        <v>46</v>
      </c>
      <c r="B30" t="s">
        <v>0</v>
      </c>
      <c r="C30">
        <v>63</v>
      </c>
      <c r="D30">
        <v>129</v>
      </c>
      <c r="E30" s="9">
        <v>0.26605504587155965</v>
      </c>
      <c r="F30" s="9">
        <v>0.35714285714285715</v>
      </c>
      <c r="G30" s="9">
        <v>0.22686567164179106</v>
      </c>
    </row>
    <row r="31" spans="1:7" x14ac:dyDescent="0.25">
      <c r="A31" t="s">
        <v>46</v>
      </c>
      <c r="B31" t="s">
        <v>0</v>
      </c>
      <c r="C31">
        <v>63</v>
      </c>
      <c r="D31">
        <v>130</v>
      </c>
      <c r="E31" s="9">
        <v>0.26605504587155965</v>
      </c>
      <c r="F31" s="9">
        <v>0.35714285714285715</v>
      </c>
      <c r="G31" s="9">
        <v>0.22686567164179106</v>
      </c>
    </row>
    <row r="32" spans="1:7" x14ac:dyDescent="0.25">
      <c r="A32" t="s">
        <v>46</v>
      </c>
      <c r="B32" t="s">
        <v>0</v>
      </c>
      <c r="C32">
        <v>63</v>
      </c>
      <c r="D32">
        <v>131</v>
      </c>
      <c r="E32" s="9">
        <v>0.26605504587155965</v>
      </c>
      <c r="F32" s="9">
        <v>0.35714285714285715</v>
      </c>
      <c r="G32" s="9">
        <v>0.22686567164179106</v>
      </c>
    </row>
    <row r="33" spans="1:7" x14ac:dyDescent="0.25">
      <c r="A33" t="s">
        <v>46</v>
      </c>
      <c r="B33" t="s">
        <v>0</v>
      </c>
      <c r="C33">
        <v>63</v>
      </c>
      <c r="D33">
        <v>132</v>
      </c>
      <c r="E33" s="9">
        <v>0.26605504587155965</v>
      </c>
      <c r="F33" s="9">
        <v>0.35714285714285715</v>
      </c>
      <c r="G33" s="9">
        <v>0.22686567164179106</v>
      </c>
    </row>
    <row r="34" spans="1:7" x14ac:dyDescent="0.25">
      <c r="A34" t="s">
        <v>46</v>
      </c>
      <c r="B34" t="s">
        <v>0</v>
      </c>
      <c r="C34">
        <v>63</v>
      </c>
      <c r="D34">
        <v>133</v>
      </c>
      <c r="E34" s="9">
        <v>0.26200417536534448</v>
      </c>
      <c r="F34" s="9">
        <v>0.36671177266576455</v>
      </c>
      <c r="G34" s="9">
        <v>0.2286158631415241</v>
      </c>
    </row>
    <row r="35" spans="1:7" x14ac:dyDescent="0.25">
      <c r="A35" t="s">
        <v>46</v>
      </c>
      <c r="B35" t="s">
        <v>0</v>
      </c>
      <c r="C35">
        <v>63</v>
      </c>
      <c r="D35">
        <v>134</v>
      </c>
      <c r="E35" s="9">
        <v>0.26200417536534448</v>
      </c>
      <c r="F35" s="9">
        <v>0.36671177266576455</v>
      </c>
      <c r="G35" s="9">
        <v>0.2286158631415241</v>
      </c>
    </row>
    <row r="36" spans="1:7" x14ac:dyDescent="0.25">
      <c r="A36" t="s">
        <v>46</v>
      </c>
      <c r="B36" t="s">
        <v>0</v>
      </c>
      <c r="C36">
        <v>63</v>
      </c>
      <c r="D36">
        <v>135</v>
      </c>
      <c r="E36" s="9">
        <v>0.26200417536534448</v>
      </c>
      <c r="F36" s="9">
        <v>0.36671177266576455</v>
      </c>
      <c r="G36" s="9">
        <v>0.2286158631415241</v>
      </c>
    </row>
    <row r="37" spans="1:7" x14ac:dyDescent="0.25">
      <c r="A37" t="s">
        <v>46</v>
      </c>
      <c r="B37" t="s">
        <v>0</v>
      </c>
      <c r="C37">
        <v>63</v>
      </c>
      <c r="D37">
        <v>136</v>
      </c>
      <c r="E37" s="9">
        <v>0.26200417536534448</v>
      </c>
      <c r="F37" s="9">
        <v>0.36671177266576455</v>
      </c>
      <c r="G37" s="9">
        <v>0.2286158631415241</v>
      </c>
    </row>
    <row r="38" spans="1:7" x14ac:dyDescent="0.25">
      <c r="A38" t="s">
        <v>46</v>
      </c>
      <c r="B38" t="s">
        <v>0</v>
      </c>
      <c r="C38">
        <v>63</v>
      </c>
      <c r="D38">
        <v>137</v>
      </c>
      <c r="E38" s="9">
        <v>0.27608142493638677</v>
      </c>
      <c r="F38" s="9">
        <v>0.37161290322580648</v>
      </c>
      <c r="G38" s="9">
        <v>0.22948539638386647</v>
      </c>
    </row>
    <row r="39" spans="1:7" x14ac:dyDescent="0.25">
      <c r="A39" t="s">
        <v>46</v>
      </c>
      <c r="B39" t="s">
        <v>0</v>
      </c>
      <c r="C39">
        <v>63</v>
      </c>
      <c r="D39">
        <v>138</v>
      </c>
      <c r="E39" s="9">
        <v>0.27608142493638677</v>
      </c>
      <c r="F39" s="9">
        <v>0.37161290322580648</v>
      </c>
      <c r="G39" s="9">
        <v>0.22948539638386647</v>
      </c>
    </row>
    <row r="40" spans="1:7" x14ac:dyDescent="0.25">
      <c r="A40" t="s">
        <v>46</v>
      </c>
      <c r="B40" t="s">
        <v>0</v>
      </c>
      <c r="C40">
        <v>63</v>
      </c>
      <c r="D40">
        <v>139</v>
      </c>
      <c r="E40" s="9">
        <v>0.27608142493638677</v>
      </c>
      <c r="F40" s="9">
        <v>0.37161290322580648</v>
      </c>
      <c r="G40" s="9">
        <v>0.22948539638386647</v>
      </c>
    </row>
    <row r="41" spans="1:7" x14ac:dyDescent="0.25">
      <c r="A41" t="s">
        <v>46</v>
      </c>
      <c r="B41" t="s">
        <v>0</v>
      </c>
      <c r="C41">
        <v>63</v>
      </c>
      <c r="D41">
        <v>140</v>
      </c>
      <c r="E41" s="9">
        <v>0.27608142493638677</v>
      </c>
      <c r="F41" s="9">
        <v>0.37161290322580648</v>
      </c>
      <c r="G41" s="9">
        <v>0.22948539638386647</v>
      </c>
    </row>
    <row r="42" spans="1:7" x14ac:dyDescent="0.25">
      <c r="A42" t="s">
        <v>46</v>
      </c>
      <c r="B42" t="s">
        <v>0</v>
      </c>
      <c r="C42">
        <v>63</v>
      </c>
      <c r="D42">
        <v>141</v>
      </c>
      <c r="E42" s="9">
        <v>0.25646794150731156</v>
      </c>
      <c r="F42" s="9">
        <v>0.37952755905511809</v>
      </c>
      <c r="G42" s="9">
        <v>0.2335216572504708</v>
      </c>
    </row>
    <row r="43" spans="1:7" x14ac:dyDescent="0.25">
      <c r="A43" t="s">
        <v>46</v>
      </c>
      <c r="B43" t="s">
        <v>0</v>
      </c>
      <c r="C43">
        <v>63</v>
      </c>
      <c r="D43">
        <v>142</v>
      </c>
      <c r="E43" s="9">
        <v>0.25646794150731156</v>
      </c>
      <c r="F43" s="9">
        <v>0.37952755905511809</v>
      </c>
      <c r="G43" s="9">
        <v>0.2335216572504708</v>
      </c>
    </row>
    <row r="44" spans="1:7" x14ac:dyDescent="0.25">
      <c r="A44" t="s">
        <v>46</v>
      </c>
      <c r="B44" t="s">
        <v>0</v>
      </c>
      <c r="C44">
        <v>63</v>
      </c>
      <c r="D44">
        <v>143</v>
      </c>
      <c r="E44" s="9">
        <v>0.25646794150731156</v>
      </c>
      <c r="F44" s="9">
        <v>0.37952755905511809</v>
      </c>
      <c r="G44" s="9">
        <v>0.2335216572504708</v>
      </c>
    </row>
    <row r="45" spans="1:7" x14ac:dyDescent="0.25">
      <c r="A45" t="s">
        <v>46</v>
      </c>
      <c r="B45" t="s">
        <v>0</v>
      </c>
      <c r="C45">
        <v>63</v>
      </c>
      <c r="D45">
        <v>144</v>
      </c>
      <c r="E45" s="9">
        <v>0.25646794150731156</v>
      </c>
      <c r="F45" s="9">
        <v>0.37952755905511809</v>
      </c>
      <c r="G45" s="9">
        <v>0.2335216572504708</v>
      </c>
    </row>
    <row r="46" spans="1:7" x14ac:dyDescent="0.25">
      <c r="A46" t="s">
        <v>46</v>
      </c>
      <c r="B46" t="s">
        <v>0</v>
      </c>
      <c r="C46">
        <v>63</v>
      </c>
      <c r="D46">
        <v>145</v>
      </c>
      <c r="E46" s="9">
        <v>0.25407166123778502</v>
      </c>
      <c r="F46" s="9">
        <v>0.37931034482758619</v>
      </c>
      <c r="G46" s="9">
        <v>0.23112480739599384</v>
      </c>
    </row>
    <row r="47" spans="1:7" x14ac:dyDescent="0.25">
      <c r="A47" t="s">
        <v>46</v>
      </c>
      <c r="B47" t="s">
        <v>0</v>
      </c>
      <c r="C47">
        <v>63</v>
      </c>
      <c r="D47">
        <v>146</v>
      </c>
      <c r="E47" s="9">
        <v>0.25407166123778502</v>
      </c>
      <c r="F47" s="9">
        <v>0.37931034482758619</v>
      </c>
      <c r="G47" s="9">
        <v>0.23112480739599384</v>
      </c>
    </row>
    <row r="48" spans="1:7" x14ac:dyDescent="0.25">
      <c r="A48" t="s">
        <v>46</v>
      </c>
      <c r="B48" t="s">
        <v>0</v>
      </c>
      <c r="C48">
        <v>63</v>
      </c>
      <c r="D48">
        <v>147</v>
      </c>
      <c r="E48" s="9">
        <v>0.25407166123778502</v>
      </c>
      <c r="F48" s="9">
        <v>0.37931034482758619</v>
      </c>
      <c r="G48" s="9">
        <v>0.23112480739599384</v>
      </c>
    </row>
    <row r="49" spans="1:7" x14ac:dyDescent="0.25">
      <c r="A49" t="s">
        <v>46</v>
      </c>
      <c r="B49" t="s">
        <v>0</v>
      </c>
      <c r="C49">
        <v>63</v>
      </c>
      <c r="D49">
        <v>148</v>
      </c>
      <c r="E49" s="9">
        <v>0.25407166123778502</v>
      </c>
      <c r="F49" s="9">
        <v>0.37931034482758619</v>
      </c>
      <c r="G49" s="9">
        <v>0.23112480739599384</v>
      </c>
    </row>
    <row r="50" spans="1:7" x14ac:dyDescent="0.25">
      <c r="A50" t="s">
        <v>46</v>
      </c>
      <c r="B50" t="s">
        <v>0</v>
      </c>
      <c r="C50">
        <v>63</v>
      </c>
      <c r="D50">
        <v>201</v>
      </c>
      <c r="E50" s="9">
        <v>0.26016260162601629</v>
      </c>
      <c r="F50" s="9"/>
      <c r="G50" s="9">
        <v>0.16487455197132617</v>
      </c>
    </row>
    <row r="51" spans="1:7" x14ac:dyDescent="0.25">
      <c r="A51" t="s">
        <v>46</v>
      </c>
      <c r="B51" t="s">
        <v>0</v>
      </c>
      <c r="C51">
        <v>63</v>
      </c>
      <c r="D51">
        <v>202</v>
      </c>
      <c r="E51" s="9">
        <v>0.26016260162601629</v>
      </c>
      <c r="F51" s="9"/>
      <c r="G51" s="9">
        <v>0.16487455197132617</v>
      </c>
    </row>
    <row r="52" spans="1:7" x14ac:dyDescent="0.25">
      <c r="A52" t="s">
        <v>46</v>
      </c>
      <c r="B52" t="s">
        <v>0</v>
      </c>
      <c r="C52">
        <v>63</v>
      </c>
      <c r="D52">
        <v>203</v>
      </c>
      <c r="E52" s="9">
        <v>0.26016260162601629</v>
      </c>
      <c r="F52" s="9"/>
      <c r="G52" s="9">
        <v>0.16487455197132617</v>
      </c>
    </row>
    <row r="53" spans="1:7" x14ac:dyDescent="0.25">
      <c r="A53" t="s">
        <v>46</v>
      </c>
      <c r="B53" t="s">
        <v>0</v>
      </c>
      <c r="C53">
        <v>63</v>
      </c>
      <c r="D53">
        <v>204</v>
      </c>
      <c r="E53" s="9">
        <v>0.26016260162601629</v>
      </c>
      <c r="F53" s="9"/>
      <c r="G53" s="9">
        <v>0.16487455197132617</v>
      </c>
    </row>
    <row r="54" spans="1:7" x14ac:dyDescent="0.25">
      <c r="A54" t="s">
        <v>46</v>
      </c>
      <c r="B54" t="s">
        <v>0</v>
      </c>
      <c r="C54">
        <v>63</v>
      </c>
      <c r="D54">
        <v>205</v>
      </c>
      <c r="E54" s="9">
        <v>0.25601131541725602</v>
      </c>
      <c r="F54" s="9"/>
      <c r="G54" s="9">
        <v>0.17120622568093385</v>
      </c>
    </row>
    <row r="55" spans="1:7" x14ac:dyDescent="0.25">
      <c r="A55" t="s">
        <v>46</v>
      </c>
      <c r="B55" t="s">
        <v>0</v>
      </c>
      <c r="C55">
        <v>63</v>
      </c>
      <c r="D55">
        <v>206</v>
      </c>
      <c r="E55" s="9">
        <v>0.25601131541725602</v>
      </c>
      <c r="F55" s="9"/>
      <c r="G55" s="9">
        <v>0.17120622568093385</v>
      </c>
    </row>
    <row r="56" spans="1:7" x14ac:dyDescent="0.25">
      <c r="A56" t="s">
        <v>46</v>
      </c>
      <c r="B56" t="s">
        <v>0</v>
      </c>
      <c r="C56">
        <v>63</v>
      </c>
      <c r="D56">
        <v>207</v>
      </c>
      <c r="E56" s="9">
        <v>0.25601131541725602</v>
      </c>
      <c r="F56" s="9"/>
      <c r="G56" s="9">
        <v>0.17120622568093385</v>
      </c>
    </row>
    <row r="57" spans="1:7" x14ac:dyDescent="0.25">
      <c r="A57" t="s">
        <v>46</v>
      </c>
      <c r="B57" t="s">
        <v>0</v>
      </c>
      <c r="C57">
        <v>63</v>
      </c>
      <c r="D57">
        <v>208</v>
      </c>
      <c r="E57" s="9">
        <v>0.25601131541725602</v>
      </c>
      <c r="F57" s="9"/>
      <c r="G57" s="9">
        <v>0.17120622568093385</v>
      </c>
    </row>
    <row r="58" spans="1:7" x14ac:dyDescent="0.25">
      <c r="A58" t="s">
        <v>46</v>
      </c>
      <c r="B58" t="s">
        <v>0</v>
      </c>
      <c r="C58">
        <v>63</v>
      </c>
      <c r="D58">
        <v>209</v>
      </c>
      <c r="E58" s="9">
        <v>0.27374999999999999</v>
      </c>
      <c r="F58" s="9"/>
      <c r="G58" s="9">
        <v>0.16293532338308458</v>
      </c>
    </row>
    <row r="59" spans="1:7" x14ac:dyDescent="0.25">
      <c r="A59" t="s">
        <v>46</v>
      </c>
      <c r="B59" t="s">
        <v>0</v>
      </c>
      <c r="C59">
        <v>63</v>
      </c>
      <c r="D59">
        <v>210</v>
      </c>
      <c r="E59" s="9">
        <v>0.27374999999999999</v>
      </c>
      <c r="F59" s="9"/>
      <c r="G59" s="9">
        <v>0.16293532338308458</v>
      </c>
    </row>
    <row r="60" spans="1:7" x14ac:dyDescent="0.25">
      <c r="A60" t="s">
        <v>46</v>
      </c>
      <c r="B60" t="s">
        <v>0</v>
      </c>
      <c r="C60">
        <v>63</v>
      </c>
      <c r="D60">
        <v>211</v>
      </c>
      <c r="E60" s="9">
        <v>0.27374999999999999</v>
      </c>
      <c r="F60" s="9"/>
      <c r="G60" s="9">
        <v>0.16293532338308458</v>
      </c>
    </row>
    <row r="61" spans="1:7" x14ac:dyDescent="0.25">
      <c r="A61" t="s">
        <v>46</v>
      </c>
      <c r="B61" t="s">
        <v>0</v>
      </c>
      <c r="C61">
        <v>63</v>
      </c>
      <c r="D61">
        <v>212</v>
      </c>
      <c r="E61" s="9">
        <v>0.27374999999999999</v>
      </c>
      <c r="F61" s="9"/>
      <c r="G61" s="9">
        <v>0.16293532338308458</v>
      </c>
    </row>
    <row r="62" spans="1:7" x14ac:dyDescent="0.25">
      <c r="A62" t="s">
        <v>46</v>
      </c>
      <c r="B62" t="s">
        <v>0</v>
      </c>
      <c r="C62">
        <v>63</v>
      </c>
      <c r="D62">
        <v>213</v>
      </c>
      <c r="E62" s="9">
        <v>0.24709976798143851</v>
      </c>
      <c r="F62" s="9">
        <v>0.40545454545454546</v>
      </c>
      <c r="G62" s="9">
        <v>0.18859649122807018</v>
      </c>
    </row>
    <row r="63" spans="1:7" x14ac:dyDescent="0.25">
      <c r="A63" t="s">
        <v>46</v>
      </c>
      <c r="B63" t="s">
        <v>0</v>
      </c>
      <c r="C63">
        <v>63</v>
      </c>
      <c r="D63">
        <v>214</v>
      </c>
      <c r="E63" s="9">
        <v>0.24709976798143851</v>
      </c>
      <c r="F63" s="9">
        <v>0.40545454545454546</v>
      </c>
      <c r="G63" s="9">
        <v>0.18859649122807018</v>
      </c>
    </row>
    <row r="64" spans="1:7" x14ac:dyDescent="0.25">
      <c r="A64" t="s">
        <v>46</v>
      </c>
      <c r="B64" t="s">
        <v>0</v>
      </c>
      <c r="C64">
        <v>63</v>
      </c>
      <c r="D64">
        <v>215</v>
      </c>
      <c r="E64" s="9">
        <v>0.24709976798143851</v>
      </c>
      <c r="F64" s="9">
        <v>0.40545454545454546</v>
      </c>
      <c r="G64" s="9">
        <v>0.18859649122807018</v>
      </c>
    </row>
    <row r="65" spans="1:7" x14ac:dyDescent="0.25">
      <c r="A65" t="s">
        <v>46</v>
      </c>
      <c r="B65" t="s">
        <v>0</v>
      </c>
      <c r="C65">
        <v>63</v>
      </c>
      <c r="D65">
        <v>216</v>
      </c>
      <c r="E65" s="9">
        <v>0.24709976798143851</v>
      </c>
      <c r="F65" s="9">
        <v>0.40545454545454546</v>
      </c>
      <c r="G65" s="9">
        <v>0.18859649122807018</v>
      </c>
    </row>
    <row r="66" spans="1:7" x14ac:dyDescent="0.25">
      <c r="A66" t="s">
        <v>46</v>
      </c>
      <c r="B66" t="s">
        <v>0</v>
      </c>
      <c r="C66">
        <v>63</v>
      </c>
      <c r="D66">
        <v>217</v>
      </c>
      <c r="E66" s="9">
        <v>0.25151148730350664</v>
      </c>
      <c r="F66" s="9">
        <v>0.3857566765578635</v>
      </c>
      <c r="G66" s="9">
        <v>0.18665018541409148</v>
      </c>
    </row>
    <row r="67" spans="1:7" x14ac:dyDescent="0.25">
      <c r="A67" t="s">
        <v>46</v>
      </c>
      <c r="B67" t="s">
        <v>0</v>
      </c>
      <c r="C67">
        <v>63</v>
      </c>
      <c r="D67">
        <v>218</v>
      </c>
      <c r="E67" s="9">
        <v>0.25151148730350664</v>
      </c>
      <c r="F67" s="9">
        <v>0.3857566765578635</v>
      </c>
      <c r="G67" s="9">
        <v>0.18665018541409148</v>
      </c>
    </row>
    <row r="68" spans="1:7" x14ac:dyDescent="0.25">
      <c r="A68" t="s">
        <v>46</v>
      </c>
      <c r="B68" t="s">
        <v>0</v>
      </c>
      <c r="C68">
        <v>63</v>
      </c>
      <c r="D68">
        <v>219</v>
      </c>
      <c r="E68" s="9">
        <v>0.25151148730350664</v>
      </c>
      <c r="F68" s="9">
        <v>0.3857566765578635</v>
      </c>
      <c r="G68" s="9">
        <v>0.18665018541409148</v>
      </c>
    </row>
    <row r="69" spans="1:7" x14ac:dyDescent="0.25">
      <c r="A69" t="s">
        <v>46</v>
      </c>
      <c r="B69" t="s">
        <v>0</v>
      </c>
      <c r="C69">
        <v>63</v>
      </c>
      <c r="D69">
        <v>220</v>
      </c>
      <c r="E69" s="9">
        <v>0.25151148730350664</v>
      </c>
      <c r="F69" s="9">
        <v>0.3857566765578635</v>
      </c>
      <c r="G69" s="9">
        <v>0.18665018541409148</v>
      </c>
    </row>
    <row r="70" spans="1:7" x14ac:dyDescent="0.25">
      <c r="A70" t="s">
        <v>46</v>
      </c>
      <c r="B70" t="s">
        <v>0</v>
      </c>
      <c r="C70">
        <v>63</v>
      </c>
      <c r="D70">
        <v>221</v>
      </c>
      <c r="E70" s="9">
        <v>0.2339304531085353</v>
      </c>
      <c r="F70" s="9">
        <v>0.35875706214689268</v>
      </c>
      <c r="G70" s="9">
        <v>0.19146341463414634</v>
      </c>
    </row>
    <row r="71" spans="1:7" x14ac:dyDescent="0.25">
      <c r="A71" t="s">
        <v>46</v>
      </c>
      <c r="B71" t="s">
        <v>0</v>
      </c>
      <c r="C71">
        <v>63</v>
      </c>
      <c r="D71">
        <v>222</v>
      </c>
      <c r="E71" s="9">
        <v>0.2339304531085353</v>
      </c>
      <c r="F71" s="9">
        <v>0.35875706214689268</v>
      </c>
      <c r="G71" s="9">
        <v>0.19146341463414634</v>
      </c>
    </row>
    <row r="72" spans="1:7" x14ac:dyDescent="0.25">
      <c r="A72" t="s">
        <v>46</v>
      </c>
      <c r="B72" t="s">
        <v>0</v>
      </c>
      <c r="C72">
        <v>63</v>
      </c>
      <c r="D72">
        <v>223</v>
      </c>
      <c r="E72" s="9">
        <v>0.2339304531085353</v>
      </c>
      <c r="F72" s="9">
        <v>0.35875706214689268</v>
      </c>
      <c r="G72" s="9">
        <v>0.19146341463414634</v>
      </c>
    </row>
    <row r="73" spans="1:7" x14ac:dyDescent="0.25">
      <c r="A73" t="s">
        <v>46</v>
      </c>
      <c r="B73" t="s">
        <v>0</v>
      </c>
      <c r="C73">
        <v>63</v>
      </c>
      <c r="D73">
        <v>224</v>
      </c>
      <c r="E73" s="9">
        <v>0.2339304531085353</v>
      </c>
      <c r="F73" s="9">
        <v>0.35875706214689268</v>
      </c>
      <c r="G73" s="9">
        <v>0.19146341463414634</v>
      </c>
    </row>
    <row r="74" spans="1:7" x14ac:dyDescent="0.25">
      <c r="A74" t="s">
        <v>46</v>
      </c>
      <c r="B74" t="s">
        <v>0</v>
      </c>
      <c r="C74">
        <v>63</v>
      </c>
      <c r="D74">
        <v>225</v>
      </c>
      <c r="E74" s="9">
        <v>0.23863636363636365</v>
      </c>
      <c r="F74" s="9">
        <v>0.36224489795918369</v>
      </c>
      <c r="G74" s="9">
        <v>0.19170984455958548</v>
      </c>
    </row>
    <row r="75" spans="1:7" x14ac:dyDescent="0.25">
      <c r="A75" t="s">
        <v>46</v>
      </c>
      <c r="B75" t="s">
        <v>0</v>
      </c>
      <c r="C75">
        <v>63</v>
      </c>
      <c r="D75">
        <v>226</v>
      </c>
      <c r="E75" s="9">
        <v>0.23863636363636365</v>
      </c>
      <c r="F75" s="9">
        <v>0.36224489795918369</v>
      </c>
      <c r="G75" s="9">
        <v>0.19170984455958548</v>
      </c>
    </row>
    <row r="76" spans="1:7" x14ac:dyDescent="0.25">
      <c r="A76" t="s">
        <v>46</v>
      </c>
      <c r="B76" t="s">
        <v>0</v>
      </c>
      <c r="C76">
        <v>63</v>
      </c>
      <c r="D76">
        <v>227</v>
      </c>
      <c r="E76" s="9">
        <v>0.23863636363636365</v>
      </c>
      <c r="F76" s="9">
        <v>0.36224489795918369</v>
      </c>
      <c r="G76" s="9">
        <v>0.19170984455958548</v>
      </c>
    </row>
    <row r="77" spans="1:7" x14ac:dyDescent="0.25">
      <c r="A77" t="s">
        <v>46</v>
      </c>
      <c r="B77" t="s">
        <v>0</v>
      </c>
      <c r="C77">
        <v>63</v>
      </c>
      <c r="D77">
        <v>228</v>
      </c>
      <c r="E77" s="9">
        <v>0.23863636363636365</v>
      </c>
      <c r="F77" s="9">
        <v>0.36224489795918369</v>
      </c>
      <c r="G77" s="9">
        <v>0.19170984455958548</v>
      </c>
    </row>
    <row r="78" spans="1:7" x14ac:dyDescent="0.25">
      <c r="A78" t="s">
        <v>46</v>
      </c>
      <c r="B78" t="s">
        <v>0</v>
      </c>
      <c r="C78">
        <v>63</v>
      </c>
      <c r="D78">
        <v>229</v>
      </c>
      <c r="E78" s="9">
        <v>0.23230088495575221</v>
      </c>
      <c r="F78" s="9">
        <v>0.35277382645803701</v>
      </c>
      <c r="G78" s="9">
        <v>0.22458270106221548</v>
      </c>
    </row>
    <row r="79" spans="1:7" x14ac:dyDescent="0.25">
      <c r="A79" t="s">
        <v>46</v>
      </c>
      <c r="B79" t="s">
        <v>0</v>
      </c>
      <c r="C79">
        <v>63</v>
      </c>
      <c r="D79">
        <v>230</v>
      </c>
      <c r="E79" s="9">
        <v>0.23230088495575221</v>
      </c>
      <c r="F79" s="9">
        <v>0.35277382645803701</v>
      </c>
      <c r="G79" s="9">
        <v>0.22458270106221548</v>
      </c>
    </row>
    <row r="80" spans="1:7" x14ac:dyDescent="0.25">
      <c r="A80" t="s">
        <v>46</v>
      </c>
      <c r="B80" t="s">
        <v>0</v>
      </c>
      <c r="C80">
        <v>63</v>
      </c>
      <c r="D80">
        <v>231</v>
      </c>
      <c r="E80" s="9">
        <v>0.23230088495575221</v>
      </c>
      <c r="F80" s="9">
        <v>0.35277382645803701</v>
      </c>
      <c r="G80" s="9">
        <v>0.22458270106221548</v>
      </c>
    </row>
    <row r="81" spans="1:7" x14ac:dyDescent="0.25">
      <c r="A81" t="s">
        <v>46</v>
      </c>
      <c r="B81" t="s">
        <v>0</v>
      </c>
      <c r="C81">
        <v>63</v>
      </c>
      <c r="D81">
        <v>232</v>
      </c>
      <c r="E81" s="9">
        <v>0.23230088495575221</v>
      </c>
      <c r="F81" s="9">
        <v>0.35277382645803701</v>
      </c>
      <c r="G81" s="9">
        <v>0.22458270106221548</v>
      </c>
    </row>
    <row r="82" spans="1:7" x14ac:dyDescent="0.25">
      <c r="A82" t="s">
        <v>46</v>
      </c>
      <c r="B82" t="s">
        <v>0</v>
      </c>
      <c r="C82">
        <v>63</v>
      </c>
      <c r="D82">
        <v>233</v>
      </c>
      <c r="E82" s="9">
        <v>0.25690276110444177</v>
      </c>
      <c r="F82" s="9">
        <v>0.33889602053915274</v>
      </c>
      <c r="G82" s="9">
        <v>0.2264957264957265</v>
      </c>
    </row>
    <row r="83" spans="1:7" x14ac:dyDescent="0.25">
      <c r="A83" t="s">
        <v>46</v>
      </c>
      <c r="B83" t="s">
        <v>0</v>
      </c>
      <c r="C83">
        <v>63</v>
      </c>
      <c r="D83">
        <v>234</v>
      </c>
      <c r="E83" s="9">
        <v>0.25690276110444177</v>
      </c>
      <c r="F83" s="9">
        <v>0.33889602053915274</v>
      </c>
      <c r="G83" s="9">
        <v>0.2264957264957265</v>
      </c>
    </row>
    <row r="84" spans="1:7" x14ac:dyDescent="0.25">
      <c r="A84" t="s">
        <v>46</v>
      </c>
      <c r="B84" t="s">
        <v>0</v>
      </c>
      <c r="C84">
        <v>63</v>
      </c>
      <c r="D84">
        <v>235</v>
      </c>
      <c r="E84" s="9">
        <v>0.25690276110444177</v>
      </c>
      <c r="F84" s="9">
        <v>0.33889602053915274</v>
      </c>
      <c r="G84" s="9">
        <v>0.2264957264957265</v>
      </c>
    </row>
    <row r="85" spans="1:7" x14ac:dyDescent="0.25">
      <c r="A85" t="s">
        <v>46</v>
      </c>
      <c r="B85" t="s">
        <v>0</v>
      </c>
      <c r="C85">
        <v>63</v>
      </c>
      <c r="D85">
        <v>236</v>
      </c>
      <c r="E85" s="9">
        <v>0.25690276110444177</v>
      </c>
      <c r="F85" s="9">
        <v>0.33889602053915274</v>
      </c>
      <c r="G85" s="9">
        <v>0.2264957264957265</v>
      </c>
    </row>
    <row r="86" spans="1:7" x14ac:dyDescent="0.25">
      <c r="A86" t="s">
        <v>46</v>
      </c>
      <c r="B86" t="s">
        <v>0</v>
      </c>
      <c r="C86">
        <v>63</v>
      </c>
      <c r="D86">
        <v>237</v>
      </c>
      <c r="E86" s="9">
        <v>0.24646983311938384</v>
      </c>
      <c r="F86" s="9">
        <v>0.35202492211838005</v>
      </c>
      <c r="G86" s="9">
        <v>0.21917808219178081</v>
      </c>
    </row>
    <row r="87" spans="1:7" x14ac:dyDescent="0.25">
      <c r="A87" t="s">
        <v>46</v>
      </c>
      <c r="B87" t="s">
        <v>0</v>
      </c>
      <c r="C87">
        <v>63</v>
      </c>
      <c r="D87">
        <v>238</v>
      </c>
      <c r="E87" s="9">
        <v>0.24646983311938384</v>
      </c>
      <c r="F87" s="9">
        <v>0.35202492211838005</v>
      </c>
      <c r="G87" s="9">
        <v>0.21917808219178081</v>
      </c>
    </row>
    <row r="88" spans="1:7" x14ac:dyDescent="0.25">
      <c r="A88" t="s">
        <v>46</v>
      </c>
      <c r="B88" t="s">
        <v>0</v>
      </c>
      <c r="C88">
        <v>63</v>
      </c>
      <c r="D88">
        <v>239</v>
      </c>
      <c r="E88" s="9">
        <v>0.24646983311938384</v>
      </c>
      <c r="F88" s="9">
        <v>0.35202492211838005</v>
      </c>
      <c r="G88" s="9">
        <v>0.21917808219178081</v>
      </c>
    </row>
    <row r="89" spans="1:7" x14ac:dyDescent="0.25">
      <c r="A89" t="s">
        <v>46</v>
      </c>
      <c r="B89" t="s">
        <v>0</v>
      </c>
      <c r="C89">
        <v>63</v>
      </c>
      <c r="D89">
        <v>240</v>
      </c>
      <c r="E89" s="9">
        <v>0.24646983311938384</v>
      </c>
      <c r="F89" s="9">
        <v>0.35202492211838005</v>
      </c>
      <c r="G89" s="9">
        <v>0.21917808219178081</v>
      </c>
    </row>
    <row r="90" spans="1:7" x14ac:dyDescent="0.25">
      <c r="A90" t="s">
        <v>46</v>
      </c>
      <c r="B90" t="s">
        <v>0</v>
      </c>
      <c r="C90">
        <v>63</v>
      </c>
      <c r="D90">
        <v>241</v>
      </c>
      <c r="E90" s="9">
        <v>0.25356750823271129</v>
      </c>
      <c r="F90" s="9">
        <v>0.359039190897598</v>
      </c>
      <c r="G90" s="9">
        <v>0.23172242874845106</v>
      </c>
    </row>
    <row r="91" spans="1:7" x14ac:dyDescent="0.25">
      <c r="A91" t="s">
        <v>46</v>
      </c>
      <c r="B91" t="s">
        <v>0</v>
      </c>
      <c r="C91">
        <v>63</v>
      </c>
      <c r="D91">
        <v>242</v>
      </c>
      <c r="E91" s="9">
        <v>0.25356750823271129</v>
      </c>
      <c r="F91" s="9">
        <v>0.359039190897598</v>
      </c>
      <c r="G91" s="9">
        <v>0.23172242874845106</v>
      </c>
    </row>
    <row r="92" spans="1:7" x14ac:dyDescent="0.25">
      <c r="A92" t="s">
        <v>46</v>
      </c>
      <c r="B92" t="s">
        <v>0</v>
      </c>
      <c r="C92">
        <v>63</v>
      </c>
      <c r="D92">
        <v>243</v>
      </c>
      <c r="E92" s="9">
        <v>0.25356750823271129</v>
      </c>
      <c r="F92" s="9">
        <v>0.359039190897598</v>
      </c>
      <c r="G92" s="9">
        <v>0.23172242874845106</v>
      </c>
    </row>
    <row r="93" spans="1:7" x14ac:dyDescent="0.25">
      <c r="A93" t="s">
        <v>46</v>
      </c>
      <c r="B93" t="s">
        <v>0</v>
      </c>
      <c r="C93">
        <v>63</v>
      </c>
      <c r="D93">
        <v>244</v>
      </c>
      <c r="E93" s="9">
        <v>0.25356750823271129</v>
      </c>
      <c r="F93" s="9">
        <v>0.359039190897598</v>
      </c>
      <c r="G93" s="9">
        <v>0.23172242874845106</v>
      </c>
    </row>
    <row r="94" spans="1:7" x14ac:dyDescent="0.25">
      <c r="A94" t="s">
        <v>46</v>
      </c>
      <c r="B94" t="s">
        <v>0</v>
      </c>
      <c r="C94">
        <v>63</v>
      </c>
      <c r="D94">
        <v>245</v>
      </c>
      <c r="E94" s="9">
        <v>0.23837784371909002</v>
      </c>
      <c r="F94" s="9">
        <v>0.35953177257525082</v>
      </c>
      <c r="G94" s="9">
        <v>0.2196969696969697</v>
      </c>
    </row>
    <row r="95" spans="1:7" x14ac:dyDescent="0.25">
      <c r="A95" t="s">
        <v>46</v>
      </c>
      <c r="B95" t="s">
        <v>0</v>
      </c>
      <c r="C95">
        <v>63</v>
      </c>
      <c r="D95">
        <v>246</v>
      </c>
      <c r="E95" s="9">
        <v>0.23837784371909002</v>
      </c>
      <c r="F95" s="9">
        <v>0.35953177257525082</v>
      </c>
      <c r="G95" s="9">
        <v>0.2196969696969697</v>
      </c>
    </row>
    <row r="96" spans="1:7" x14ac:dyDescent="0.25">
      <c r="A96" t="s">
        <v>46</v>
      </c>
      <c r="B96" t="s">
        <v>0</v>
      </c>
      <c r="C96">
        <v>63</v>
      </c>
      <c r="D96">
        <v>247</v>
      </c>
      <c r="E96" s="9">
        <v>0.23837784371909002</v>
      </c>
      <c r="F96" s="9">
        <v>0.35953177257525082</v>
      </c>
      <c r="G96" s="9">
        <v>0.2196969696969697</v>
      </c>
    </row>
    <row r="97" spans="1:7" x14ac:dyDescent="0.25">
      <c r="A97" t="s">
        <v>46</v>
      </c>
      <c r="B97" t="s">
        <v>0</v>
      </c>
      <c r="C97">
        <v>63</v>
      </c>
      <c r="D97">
        <v>248</v>
      </c>
      <c r="E97" s="9">
        <v>0.23837784371909002</v>
      </c>
      <c r="F97" s="9">
        <v>0.35953177257525082</v>
      </c>
      <c r="G97" s="9">
        <v>0.2196969696969697</v>
      </c>
    </row>
    <row r="98" spans="1:7" x14ac:dyDescent="0.25">
      <c r="A98" t="s">
        <v>46</v>
      </c>
      <c r="B98" t="s">
        <v>0</v>
      </c>
      <c r="C98">
        <v>63</v>
      </c>
      <c r="D98">
        <v>301</v>
      </c>
      <c r="E98" s="9">
        <v>0.26207906295754024</v>
      </c>
      <c r="F98" s="9"/>
      <c r="G98" s="9">
        <v>0.1841109709962169</v>
      </c>
    </row>
    <row r="99" spans="1:7" x14ac:dyDescent="0.25">
      <c r="A99" t="s">
        <v>46</v>
      </c>
      <c r="B99" t="s">
        <v>0</v>
      </c>
      <c r="C99">
        <v>63</v>
      </c>
      <c r="D99">
        <v>302</v>
      </c>
      <c r="E99" s="9">
        <v>0.26207906295754024</v>
      </c>
      <c r="F99" s="9"/>
      <c r="G99" s="9">
        <v>0.1841109709962169</v>
      </c>
    </row>
    <row r="100" spans="1:7" x14ac:dyDescent="0.25">
      <c r="A100" t="s">
        <v>46</v>
      </c>
      <c r="B100" t="s">
        <v>0</v>
      </c>
      <c r="C100">
        <v>63</v>
      </c>
      <c r="D100">
        <v>303</v>
      </c>
      <c r="E100" s="9">
        <v>0.26207906295754024</v>
      </c>
      <c r="F100" s="9"/>
      <c r="G100" s="9">
        <v>0.1841109709962169</v>
      </c>
    </row>
    <row r="101" spans="1:7" x14ac:dyDescent="0.25">
      <c r="A101" t="s">
        <v>46</v>
      </c>
      <c r="B101" t="s">
        <v>0</v>
      </c>
      <c r="C101">
        <v>63</v>
      </c>
      <c r="D101">
        <v>304</v>
      </c>
      <c r="E101" s="9">
        <v>0.26207906295754024</v>
      </c>
      <c r="F101" s="9"/>
      <c r="G101" s="9">
        <v>0.1841109709962169</v>
      </c>
    </row>
    <row r="102" spans="1:7" x14ac:dyDescent="0.25">
      <c r="A102" t="s">
        <v>46</v>
      </c>
      <c r="B102" t="s">
        <v>0</v>
      </c>
      <c r="C102">
        <v>63</v>
      </c>
      <c r="D102">
        <v>305</v>
      </c>
      <c r="E102" s="9">
        <v>0.26126126126126126</v>
      </c>
      <c r="F102" s="9"/>
      <c r="G102" s="9">
        <v>0.1841726618705036</v>
      </c>
    </row>
    <row r="103" spans="1:7" x14ac:dyDescent="0.25">
      <c r="A103" t="s">
        <v>46</v>
      </c>
      <c r="B103" t="s">
        <v>0</v>
      </c>
      <c r="C103">
        <v>63</v>
      </c>
      <c r="D103">
        <v>306</v>
      </c>
      <c r="E103" s="9">
        <v>0.26126126126126126</v>
      </c>
      <c r="F103" s="9"/>
      <c r="G103" s="9">
        <v>0.1841726618705036</v>
      </c>
    </row>
    <row r="104" spans="1:7" x14ac:dyDescent="0.25">
      <c r="A104" t="s">
        <v>46</v>
      </c>
      <c r="B104" t="s">
        <v>0</v>
      </c>
      <c r="C104">
        <v>63</v>
      </c>
      <c r="D104">
        <v>307</v>
      </c>
      <c r="E104" s="9">
        <v>0.26126126126126126</v>
      </c>
      <c r="F104" s="9"/>
      <c r="G104" s="9">
        <v>0.1841726618705036</v>
      </c>
    </row>
    <row r="105" spans="1:7" x14ac:dyDescent="0.25">
      <c r="A105" t="s">
        <v>46</v>
      </c>
      <c r="B105" t="s">
        <v>0</v>
      </c>
      <c r="C105">
        <v>63</v>
      </c>
      <c r="D105">
        <v>308</v>
      </c>
      <c r="E105" s="9">
        <v>0.26126126126126126</v>
      </c>
      <c r="F105" s="9"/>
      <c r="G105" s="9">
        <v>0.1841726618705036</v>
      </c>
    </row>
    <row r="106" spans="1:7" x14ac:dyDescent="0.25">
      <c r="A106" t="s">
        <v>46</v>
      </c>
      <c r="B106" t="s">
        <v>0</v>
      </c>
      <c r="C106">
        <v>63</v>
      </c>
      <c r="D106">
        <v>309</v>
      </c>
      <c r="E106" s="9">
        <v>0.26867469879518074</v>
      </c>
      <c r="F106" s="9"/>
      <c r="G106" s="9">
        <v>0.17529215358931552</v>
      </c>
    </row>
    <row r="107" spans="1:7" x14ac:dyDescent="0.25">
      <c r="A107" t="s">
        <v>46</v>
      </c>
      <c r="B107" t="s">
        <v>0</v>
      </c>
      <c r="C107">
        <v>63</v>
      </c>
      <c r="D107">
        <v>310</v>
      </c>
      <c r="E107" s="9">
        <v>0.26867469879518074</v>
      </c>
      <c r="F107" s="9"/>
      <c r="G107" s="9">
        <v>0.17529215358931552</v>
      </c>
    </row>
    <row r="108" spans="1:7" x14ac:dyDescent="0.25">
      <c r="A108" t="s">
        <v>46</v>
      </c>
      <c r="B108" t="s">
        <v>0</v>
      </c>
      <c r="C108">
        <v>63</v>
      </c>
      <c r="D108">
        <v>311</v>
      </c>
      <c r="E108" s="9">
        <v>0.26867469879518074</v>
      </c>
      <c r="F108" s="9"/>
      <c r="G108" s="9">
        <v>0.17529215358931552</v>
      </c>
    </row>
    <row r="109" spans="1:7" x14ac:dyDescent="0.25">
      <c r="A109" t="s">
        <v>46</v>
      </c>
      <c r="B109" t="s">
        <v>0</v>
      </c>
      <c r="C109">
        <v>63</v>
      </c>
      <c r="D109">
        <v>312</v>
      </c>
      <c r="E109" s="9">
        <v>0.26867469879518074</v>
      </c>
      <c r="F109" s="9"/>
      <c r="G109" s="9">
        <v>0.17529215358931552</v>
      </c>
    </row>
    <row r="110" spans="1:7" x14ac:dyDescent="0.25">
      <c r="A110" t="s">
        <v>46</v>
      </c>
      <c r="B110" t="s">
        <v>0</v>
      </c>
      <c r="C110">
        <v>63</v>
      </c>
      <c r="D110">
        <v>313</v>
      </c>
      <c r="E110" s="9">
        <v>0.24795321637426901</v>
      </c>
      <c r="F110" s="9">
        <v>0.35792349726775957</v>
      </c>
      <c r="G110" s="9">
        <v>0.21408450704225351</v>
      </c>
    </row>
    <row r="111" spans="1:7" x14ac:dyDescent="0.25">
      <c r="A111" t="s">
        <v>46</v>
      </c>
      <c r="B111" t="s">
        <v>0</v>
      </c>
      <c r="C111">
        <v>63</v>
      </c>
      <c r="D111">
        <v>314</v>
      </c>
      <c r="E111" s="9">
        <v>0.24795321637426901</v>
      </c>
      <c r="F111" s="9">
        <v>0.35792349726775957</v>
      </c>
      <c r="G111" s="9">
        <v>0.21408450704225351</v>
      </c>
    </row>
    <row r="112" spans="1:7" x14ac:dyDescent="0.25">
      <c r="A112" t="s">
        <v>46</v>
      </c>
      <c r="B112" t="s">
        <v>0</v>
      </c>
      <c r="C112">
        <v>63</v>
      </c>
      <c r="D112">
        <v>315</v>
      </c>
      <c r="E112" s="9">
        <v>0.24795321637426901</v>
      </c>
      <c r="F112" s="9">
        <v>0.35792349726775957</v>
      </c>
      <c r="G112" s="9">
        <v>0.21408450704225351</v>
      </c>
    </row>
    <row r="113" spans="1:7" x14ac:dyDescent="0.25">
      <c r="A113" t="s">
        <v>46</v>
      </c>
      <c r="B113" t="s">
        <v>0</v>
      </c>
      <c r="C113">
        <v>63</v>
      </c>
      <c r="D113">
        <v>316</v>
      </c>
      <c r="E113" s="9">
        <v>0.24795321637426901</v>
      </c>
      <c r="F113" s="9">
        <v>0.35792349726775957</v>
      </c>
      <c r="G113" s="9">
        <v>0.21408450704225351</v>
      </c>
    </row>
    <row r="114" spans="1:7" x14ac:dyDescent="0.25">
      <c r="A114" t="s">
        <v>46</v>
      </c>
      <c r="B114" t="s">
        <v>0</v>
      </c>
      <c r="C114">
        <v>63</v>
      </c>
      <c r="D114">
        <v>317</v>
      </c>
      <c r="E114" s="9">
        <v>0.24938875305623473</v>
      </c>
      <c r="F114" s="9">
        <v>0.41165413533834588</v>
      </c>
      <c r="G114" s="9">
        <v>0.19397116644823068</v>
      </c>
    </row>
    <row r="115" spans="1:7" x14ac:dyDescent="0.25">
      <c r="A115" t="s">
        <v>46</v>
      </c>
      <c r="B115" t="s">
        <v>0</v>
      </c>
      <c r="C115">
        <v>63</v>
      </c>
      <c r="D115">
        <v>318</v>
      </c>
      <c r="E115" s="9">
        <v>0.24938875305623473</v>
      </c>
      <c r="F115" s="9">
        <v>0.41165413533834588</v>
      </c>
      <c r="G115" s="9">
        <v>0.19397116644823068</v>
      </c>
    </row>
    <row r="116" spans="1:7" x14ac:dyDescent="0.25">
      <c r="A116" t="s">
        <v>46</v>
      </c>
      <c r="B116" t="s">
        <v>0</v>
      </c>
      <c r="C116">
        <v>63</v>
      </c>
      <c r="D116">
        <v>319</v>
      </c>
      <c r="E116" s="9">
        <v>0.24938875305623473</v>
      </c>
      <c r="F116" s="9">
        <v>0.41165413533834588</v>
      </c>
      <c r="G116" s="9">
        <v>0.19397116644823068</v>
      </c>
    </row>
    <row r="117" spans="1:7" x14ac:dyDescent="0.25">
      <c r="A117" t="s">
        <v>46</v>
      </c>
      <c r="B117" t="s">
        <v>0</v>
      </c>
      <c r="C117">
        <v>63</v>
      </c>
      <c r="D117">
        <v>320</v>
      </c>
      <c r="E117" s="9">
        <v>0.24938875305623473</v>
      </c>
      <c r="F117" s="9">
        <v>0.41165413533834588</v>
      </c>
      <c r="G117" s="9">
        <v>0.19397116644823068</v>
      </c>
    </row>
    <row r="118" spans="1:7" x14ac:dyDescent="0.25">
      <c r="A118" t="s">
        <v>46</v>
      </c>
      <c r="B118" t="s">
        <v>0</v>
      </c>
      <c r="C118">
        <v>63</v>
      </c>
      <c r="D118">
        <v>321</v>
      </c>
      <c r="E118" s="9">
        <v>0.23829787234042554</v>
      </c>
      <c r="F118" s="9">
        <v>0.3888888888888889</v>
      </c>
      <c r="G118" s="9">
        <v>0.21706398996235884</v>
      </c>
    </row>
    <row r="119" spans="1:7" x14ac:dyDescent="0.25">
      <c r="A119" t="s">
        <v>46</v>
      </c>
      <c r="B119" t="s">
        <v>0</v>
      </c>
      <c r="C119">
        <v>63</v>
      </c>
      <c r="D119">
        <v>322</v>
      </c>
      <c r="E119" s="9">
        <v>0.23829787234042554</v>
      </c>
      <c r="F119" s="9">
        <v>0.3888888888888889</v>
      </c>
      <c r="G119" s="9">
        <v>0.21706398996235884</v>
      </c>
    </row>
    <row r="120" spans="1:7" x14ac:dyDescent="0.25">
      <c r="A120" t="s">
        <v>46</v>
      </c>
      <c r="B120" t="s">
        <v>0</v>
      </c>
      <c r="C120">
        <v>63</v>
      </c>
      <c r="D120">
        <v>323</v>
      </c>
      <c r="E120" s="9">
        <v>0.23829787234042554</v>
      </c>
      <c r="F120" s="9">
        <v>0.3888888888888889</v>
      </c>
      <c r="G120" s="9">
        <v>0.21706398996235884</v>
      </c>
    </row>
    <row r="121" spans="1:7" x14ac:dyDescent="0.25">
      <c r="A121" t="s">
        <v>46</v>
      </c>
      <c r="B121" t="s">
        <v>0</v>
      </c>
      <c r="C121">
        <v>63</v>
      </c>
      <c r="D121">
        <v>324</v>
      </c>
      <c r="E121" s="9">
        <v>0.23829787234042554</v>
      </c>
      <c r="F121" s="9">
        <v>0.3888888888888889</v>
      </c>
      <c r="G121" s="9">
        <v>0.21706398996235884</v>
      </c>
    </row>
    <row r="122" spans="1:7" x14ac:dyDescent="0.25">
      <c r="A122" t="s">
        <v>46</v>
      </c>
      <c r="B122" t="s">
        <v>0</v>
      </c>
      <c r="C122">
        <v>63</v>
      </c>
      <c r="D122">
        <v>325</v>
      </c>
      <c r="E122" s="9">
        <v>0.24776500638569604</v>
      </c>
      <c r="F122" s="9">
        <v>0.36792452830188677</v>
      </c>
      <c r="G122" s="9">
        <v>0.22195121951219512</v>
      </c>
    </row>
    <row r="123" spans="1:7" x14ac:dyDescent="0.25">
      <c r="A123" t="s">
        <v>46</v>
      </c>
      <c r="B123" t="s">
        <v>0</v>
      </c>
      <c r="C123">
        <v>63</v>
      </c>
      <c r="D123">
        <v>326</v>
      </c>
      <c r="E123" s="9">
        <v>0.24776500638569604</v>
      </c>
      <c r="F123" s="9">
        <v>0.36792452830188677</v>
      </c>
      <c r="G123" s="9">
        <v>0.22195121951219512</v>
      </c>
    </row>
    <row r="124" spans="1:7" x14ac:dyDescent="0.25">
      <c r="A124" t="s">
        <v>46</v>
      </c>
      <c r="B124" t="s">
        <v>0</v>
      </c>
      <c r="C124">
        <v>63</v>
      </c>
      <c r="D124">
        <v>327</v>
      </c>
      <c r="E124" s="9">
        <v>0.24776500638569604</v>
      </c>
      <c r="F124" s="9">
        <v>0.36792452830188677</v>
      </c>
      <c r="G124" s="9">
        <v>0.22195121951219512</v>
      </c>
    </row>
    <row r="125" spans="1:7" x14ac:dyDescent="0.25">
      <c r="A125" t="s">
        <v>46</v>
      </c>
      <c r="B125" t="s">
        <v>0</v>
      </c>
      <c r="C125">
        <v>63</v>
      </c>
      <c r="D125">
        <v>328</v>
      </c>
      <c r="E125" s="9">
        <v>0.24776500638569604</v>
      </c>
      <c r="F125" s="9">
        <v>0.36792452830188677</v>
      </c>
      <c r="G125" s="9">
        <v>0.22195121951219512</v>
      </c>
    </row>
    <row r="126" spans="1:7" x14ac:dyDescent="0.25">
      <c r="A126" t="s">
        <v>46</v>
      </c>
      <c r="B126" t="s">
        <v>0</v>
      </c>
      <c r="C126">
        <v>63</v>
      </c>
      <c r="D126">
        <v>329</v>
      </c>
      <c r="E126" s="9">
        <v>0.22252010723860591</v>
      </c>
      <c r="F126" s="9">
        <v>0.36317567567567566</v>
      </c>
      <c r="G126" s="9">
        <v>0.20729684908789386</v>
      </c>
    </row>
    <row r="127" spans="1:7" x14ac:dyDescent="0.25">
      <c r="A127" t="s">
        <v>46</v>
      </c>
      <c r="B127" t="s">
        <v>0</v>
      </c>
      <c r="C127">
        <v>63</v>
      </c>
      <c r="D127">
        <v>330</v>
      </c>
      <c r="E127" s="9">
        <v>0.22252010723860591</v>
      </c>
      <c r="F127" s="9">
        <v>0.36317567567567566</v>
      </c>
      <c r="G127" s="9">
        <v>0.20729684908789386</v>
      </c>
    </row>
    <row r="128" spans="1:7" x14ac:dyDescent="0.25">
      <c r="A128" t="s">
        <v>46</v>
      </c>
      <c r="B128" t="s">
        <v>0</v>
      </c>
      <c r="C128">
        <v>63</v>
      </c>
      <c r="D128">
        <v>331</v>
      </c>
      <c r="E128" s="9">
        <v>0.22252010723860591</v>
      </c>
      <c r="F128" s="9">
        <v>0.36317567567567566</v>
      </c>
      <c r="G128" s="9">
        <v>0.20729684908789386</v>
      </c>
    </row>
    <row r="129" spans="1:7" x14ac:dyDescent="0.25">
      <c r="A129" t="s">
        <v>46</v>
      </c>
      <c r="B129" t="s">
        <v>0</v>
      </c>
      <c r="C129">
        <v>63</v>
      </c>
      <c r="D129">
        <v>332</v>
      </c>
      <c r="E129" s="9">
        <v>0.22252010723860591</v>
      </c>
      <c r="F129" s="9">
        <v>0.36317567567567566</v>
      </c>
      <c r="G129" s="9">
        <v>0.20729684908789386</v>
      </c>
    </row>
    <row r="130" spans="1:7" x14ac:dyDescent="0.25">
      <c r="A130" t="s">
        <v>46</v>
      </c>
      <c r="B130" t="s">
        <v>0</v>
      </c>
      <c r="C130">
        <v>63</v>
      </c>
      <c r="D130">
        <v>333</v>
      </c>
      <c r="E130" s="9">
        <v>0.24825986078886311</v>
      </c>
      <c r="F130" s="9">
        <v>0.36569148936170215</v>
      </c>
      <c r="G130" s="9">
        <v>0.22576687116564417</v>
      </c>
    </row>
    <row r="131" spans="1:7" x14ac:dyDescent="0.25">
      <c r="A131" t="s">
        <v>46</v>
      </c>
      <c r="B131" t="s">
        <v>0</v>
      </c>
      <c r="C131">
        <v>63</v>
      </c>
      <c r="D131">
        <v>334</v>
      </c>
      <c r="E131" s="9">
        <v>0.24825986078886311</v>
      </c>
      <c r="F131" s="9">
        <v>0.36569148936170215</v>
      </c>
      <c r="G131" s="9">
        <v>0.22576687116564417</v>
      </c>
    </row>
    <row r="132" spans="1:7" x14ac:dyDescent="0.25">
      <c r="A132" t="s">
        <v>46</v>
      </c>
      <c r="B132" t="s">
        <v>0</v>
      </c>
      <c r="C132">
        <v>63</v>
      </c>
      <c r="D132">
        <v>335</v>
      </c>
      <c r="E132" s="9">
        <v>0.24825986078886311</v>
      </c>
      <c r="F132" s="9">
        <v>0.36569148936170215</v>
      </c>
      <c r="G132" s="9">
        <v>0.22576687116564417</v>
      </c>
    </row>
    <row r="133" spans="1:7" x14ac:dyDescent="0.25">
      <c r="A133" t="s">
        <v>46</v>
      </c>
      <c r="B133" t="s">
        <v>0</v>
      </c>
      <c r="C133">
        <v>63</v>
      </c>
      <c r="D133">
        <v>336</v>
      </c>
      <c r="E133" s="9">
        <v>0.24825986078886311</v>
      </c>
      <c r="F133" s="9">
        <v>0.36569148936170215</v>
      </c>
      <c r="G133" s="9">
        <v>0.22576687116564417</v>
      </c>
    </row>
    <row r="134" spans="1:7" x14ac:dyDescent="0.25">
      <c r="A134" t="s">
        <v>46</v>
      </c>
      <c r="B134" t="s">
        <v>0</v>
      </c>
      <c r="C134">
        <v>63</v>
      </c>
      <c r="D134">
        <v>337</v>
      </c>
      <c r="E134" s="9">
        <v>0.24066924066924067</v>
      </c>
      <c r="F134" s="9">
        <v>0.36842105263157893</v>
      </c>
      <c r="G134" s="9">
        <v>0.21249999999999999</v>
      </c>
    </row>
    <row r="135" spans="1:7" x14ac:dyDescent="0.25">
      <c r="A135" t="s">
        <v>46</v>
      </c>
      <c r="B135" t="s">
        <v>0</v>
      </c>
      <c r="C135">
        <v>63</v>
      </c>
      <c r="D135">
        <v>338</v>
      </c>
      <c r="E135" s="9">
        <v>0.24066924066924067</v>
      </c>
      <c r="F135" s="9">
        <v>0.36842105263157893</v>
      </c>
      <c r="G135" s="9">
        <v>0.21249999999999999</v>
      </c>
    </row>
    <row r="136" spans="1:7" x14ac:dyDescent="0.25">
      <c r="A136" t="s">
        <v>46</v>
      </c>
      <c r="B136" t="s">
        <v>0</v>
      </c>
      <c r="C136">
        <v>63</v>
      </c>
      <c r="D136">
        <v>339</v>
      </c>
      <c r="E136" s="9">
        <v>0.24066924066924067</v>
      </c>
      <c r="F136" s="9">
        <v>0.36842105263157893</v>
      </c>
      <c r="G136" s="9">
        <v>0.21249999999999999</v>
      </c>
    </row>
    <row r="137" spans="1:7" x14ac:dyDescent="0.25">
      <c r="A137" t="s">
        <v>46</v>
      </c>
      <c r="B137" t="s">
        <v>0</v>
      </c>
      <c r="C137">
        <v>63</v>
      </c>
      <c r="D137">
        <v>340</v>
      </c>
      <c r="E137" s="9">
        <v>0.24066924066924067</v>
      </c>
      <c r="F137" s="9">
        <v>0.36842105263157893</v>
      </c>
      <c r="G137" s="9">
        <v>0.21249999999999999</v>
      </c>
    </row>
    <row r="138" spans="1:7" x14ac:dyDescent="0.25">
      <c r="A138" t="s">
        <v>46</v>
      </c>
      <c r="B138" t="s">
        <v>0</v>
      </c>
      <c r="C138">
        <v>63</v>
      </c>
      <c r="D138">
        <v>341</v>
      </c>
      <c r="E138" s="9">
        <v>0.23846153846153847</v>
      </c>
      <c r="F138" s="9">
        <v>0.38524590163934425</v>
      </c>
      <c r="G138" s="9">
        <v>0.20803782505910165</v>
      </c>
    </row>
    <row r="139" spans="1:7" x14ac:dyDescent="0.25">
      <c r="A139" t="s">
        <v>46</v>
      </c>
      <c r="B139" t="s">
        <v>0</v>
      </c>
      <c r="C139">
        <v>63</v>
      </c>
      <c r="D139">
        <v>342</v>
      </c>
      <c r="E139" s="9">
        <v>0.23846153846153847</v>
      </c>
      <c r="F139" s="9">
        <v>0.38524590163934425</v>
      </c>
      <c r="G139" s="9">
        <v>0.20803782505910165</v>
      </c>
    </row>
    <row r="140" spans="1:7" x14ac:dyDescent="0.25">
      <c r="A140" t="s">
        <v>46</v>
      </c>
      <c r="B140" t="s">
        <v>0</v>
      </c>
      <c r="C140">
        <v>63</v>
      </c>
      <c r="D140">
        <v>343</v>
      </c>
      <c r="E140" s="9">
        <v>0.23846153846153847</v>
      </c>
      <c r="F140" s="9">
        <v>0.38524590163934425</v>
      </c>
      <c r="G140" s="9">
        <v>0.20803782505910165</v>
      </c>
    </row>
    <row r="141" spans="1:7" x14ac:dyDescent="0.25">
      <c r="A141" t="s">
        <v>46</v>
      </c>
      <c r="B141" t="s">
        <v>0</v>
      </c>
      <c r="C141">
        <v>63</v>
      </c>
      <c r="D141">
        <v>344</v>
      </c>
      <c r="E141" s="9">
        <v>0.23846153846153847</v>
      </c>
      <c r="F141" s="9">
        <v>0.38524590163934425</v>
      </c>
      <c r="G141" s="9">
        <v>0.20803782505910165</v>
      </c>
    </row>
    <row r="142" spans="1:7" x14ac:dyDescent="0.25">
      <c r="A142" t="s">
        <v>46</v>
      </c>
      <c r="B142" t="s">
        <v>0</v>
      </c>
      <c r="C142">
        <v>63</v>
      </c>
      <c r="D142">
        <v>345</v>
      </c>
      <c r="E142" s="9">
        <v>0.25</v>
      </c>
      <c r="F142" s="9">
        <v>0.41346153846153844</v>
      </c>
      <c r="G142" s="9">
        <v>0.21351351351351353</v>
      </c>
    </row>
    <row r="143" spans="1:7" x14ac:dyDescent="0.25">
      <c r="A143" t="s">
        <v>46</v>
      </c>
      <c r="B143" t="s">
        <v>0</v>
      </c>
      <c r="C143">
        <v>63</v>
      </c>
      <c r="D143">
        <v>346</v>
      </c>
      <c r="E143" s="9">
        <v>0.25</v>
      </c>
      <c r="F143" s="9">
        <v>0.41346153846153844</v>
      </c>
      <c r="G143" s="9">
        <v>0.21351351351351353</v>
      </c>
    </row>
    <row r="144" spans="1:7" x14ac:dyDescent="0.25">
      <c r="A144" t="s">
        <v>46</v>
      </c>
      <c r="B144" t="s">
        <v>0</v>
      </c>
      <c r="C144">
        <v>63</v>
      </c>
      <c r="D144">
        <v>347</v>
      </c>
      <c r="E144" s="9">
        <v>0.25</v>
      </c>
      <c r="F144" s="9">
        <v>0.41346153846153844</v>
      </c>
      <c r="G144" s="9">
        <v>0.21351351351351353</v>
      </c>
    </row>
    <row r="145" spans="1:7" x14ac:dyDescent="0.25">
      <c r="A145" t="s">
        <v>46</v>
      </c>
      <c r="B145" t="s">
        <v>0</v>
      </c>
      <c r="C145">
        <v>63</v>
      </c>
      <c r="D145">
        <v>348</v>
      </c>
      <c r="E145" s="9">
        <v>0.25</v>
      </c>
      <c r="F145" s="9">
        <v>0.41346153846153844</v>
      </c>
      <c r="G145" s="9">
        <v>0.21351351351351353</v>
      </c>
    </row>
    <row r="146" spans="1:7" x14ac:dyDescent="0.25">
      <c r="A146" t="s">
        <v>46</v>
      </c>
      <c r="B146" t="s">
        <v>0</v>
      </c>
      <c r="C146">
        <v>63</v>
      </c>
      <c r="D146">
        <v>401</v>
      </c>
      <c r="E146" s="9">
        <v>0.29171974522292993</v>
      </c>
      <c r="F146" s="9"/>
      <c r="G146" s="9">
        <v>0.19220055710306408</v>
      </c>
    </row>
    <row r="147" spans="1:7" x14ac:dyDescent="0.25">
      <c r="A147" t="s">
        <v>46</v>
      </c>
      <c r="B147" t="s">
        <v>0</v>
      </c>
      <c r="C147">
        <v>63</v>
      </c>
      <c r="D147">
        <v>402</v>
      </c>
      <c r="E147" s="9">
        <v>0.29171974522292993</v>
      </c>
      <c r="F147" s="9"/>
      <c r="G147" s="9">
        <v>0.19220055710306408</v>
      </c>
    </row>
    <row r="148" spans="1:7" x14ac:dyDescent="0.25">
      <c r="A148" t="s">
        <v>46</v>
      </c>
      <c r="B148" t="s">
        <v>0</v>
      </c>
      <c r="C148">
        <v>63</v>
      </c>
      <c r="D148">
        <v>403</v>
      </c>
      <c r="E148" s="9">
        <v>0.29171974522292993</v>
      </c>
      <c r="F148" s="9"/>
      <c r="G148" s="9">
        <v>0.19220055710306408</v>
      </c>
    </row>
    <row r="149" spans="1:7" x14ac:dyDescent="0.25">
      <c r="A149" t="s">
        <v>46</v>
      </c>
      <c r="B149" t="s">
        <v>0</v>
      </c>
      <c r="C149">
        <v>63</v>
      </c>
      <c r="D149">
        <v>404</v>
      </c>
      <c r="E149" s="9">
        <v>0.29171974522292993</v>
      </c>
      <c r="F149" s="9"/>
      <c r="G149" s="9">
        <v>0.19220055710306408</v>
      </c>
    </row>
    <row r="150" spans="1:7" x14ac:dyDescent="0.25">
      <c r="A150" t="s">
        <v>46</v>
      </c>
      <c r="B150" t="s">
        <v>0</v>
      </c>
      <c r="C150">
        <v>63</v>
      </c>
      <c r="D150">
        <v>405</v>
      </c>
      <c r="E150" s="9">
        <v>0.28125</v>
      </c>
      <c r="F150" s="9"/>
      <c r="G150" s="9">
        <v>0.18728323699421964</v>
      </c>
    </row>
    <row r="151" spans="1:7" x14ac:dyDescent="0.25">
      <c r="A151" t="s">
        <v>46</v>
      </c>
      <c r="B151" t="s">
        <v>0</v>
      </c>
      <c r="C151">
        <v>63</v>
      </c>
      <c r="D151">
        <v>406</v>
      </c>
      <c r="E151" s="9">
        <v>0.28125</v>
      </c>
      <c r="F151" s="9"/>
      <c r="G151" s="9">
        <v>0.18728323699421964</v>
      </c>
    </row>
    <row r="152" spans="1:7" x14ac:dyDescent="0.25">
      <c r="A152" t="s">
        <v>46</v>
      </c>
      <c r="B152" t="s">
        <v>0</v>
      </c>
      <c r="C152">
        <v>63</v>
      </c>
      <c r="D152">
        <v>407</v>
      </c>
      <c r="E152" s="9">
        <v>0.28125</v>
      </c>
      <c r="F152" s="9"/>
      <c r="G152" s="9">
        <v>0.18728323699421964</v>
      </c>
    </row>
    <row r="153" spans="1:7" x14ac:dyDescent="0.25">
      <c r="A153" t="s">
        <v>46</v>
      </c>
      <c r="B153" t="s">
        <v>0</v>
      </c>
      <c r="C153">
        <v>63</v>
      </c>
      <c r="D153">
        <v>408</v>
      </c>
      <c r="E153" s="9">
        <v>0.28125</v>
      </c>
      <c r="F153" s="9"/>
      <c r="G153" s="9">
        <v>0.18728323699421964</v>
      </c>
    </row>
    <row r="154" spans="1:7" x14ac:dyDescent="0.25">
      <c r="A154" t="s">
        <v>46</v>
      </c>
      <c r="B154" t="s">
        <v>0</v>
      </c>
      <c r="C154">
        <v>63</v>
      </c>
      <c r="D154">
        <v>409</v>
      </c>
      <c r="E154" s="9">
        <v>0.2857142857142857</v>
      </c>
      <c r="F154" s="9"/>
      <c r="G154" s="9">
        <v>0.19974874371859297</v>
      </c>
    </row>
    <row r="155" spans="1:7" x14ac:dyDescent="0.25">
      <c r="A155" t="s">
        <v>46</v>
      </c>
      <c r="B155" t="s">
        <v>0</v>
      </c>
      <c r="C155">
        <v>63</v>
      </c>
      <c r="D155">
        <v>410</v>
      </c>
      <c r="E155" s="9">
        <v>0.2857142857142857</v>
      </c>
      <c r="F155" s="9"/>
      <c r="G155" s="9">
        <v>0.19974874371859297</v>
      </c>
    </row>
    <row r="156" spans="1:7" x14ac:dyDescent="0.25">
      <c r="A156" t="s">
        <v>46</v>
      </c>
      <c r="B156" t="s">
        <v>0</v>
      </c>
      <c r="C156">
        <v>63</v>
      </c>
      <c r="D156">
        <v>411</v>
      </c>
      <c r="E156" s="9">
        <v>0.2857142857142857</v>
      </c>
      <c r="F156" s="9"/>
      <c r="G156" s="9">
        <v>0.19974874371859297</v>
      </c>
    </row>
    <row r="157" spans="1:7" x14ac:dyDescent="0.25">
      <c r="A157" t="s">
        <v>46</v>
      </c>
      <c r="B157" t="s">
        <v>0</v>
      </c>
      <c r="C157">
        <v>63</v>
      </c>
      <c r="D157">
        <v>412</v>
      </c>
      <c r="E157" s="9">
        <v>0.2857142857142857</v>
      </c>
      <c r="F157" s="9"/>
      <c r="G157" s="9">
        <v>0.19974874371859297</v>
      </c>
    </row>
    <row r="158" spans="1:7" x14ac:dyDescent="0.25">
      <c r="A158" t="s">
        <v>46</v>
      </c>
      <c r="B158" t="s">
        <v>0</v>
      </c>
      <c r="C158">
        <v>63</v>
      </c>
      <c r="D158">
        <v>413</v>
      </c>
      <c r="E158" s="9">
        <v>0.26328800988875156</v>
      </c>
      <c r="F158" s="9">
        <v>0.40606060606060607</v>
      </c>
      <c r="G158" s="9">
        <v>0.20642201834862386</v>
      </c>
    </row>
    <row r="159" spans="1:7" x14ac:dyDescent="0.25">
      <c r="A159" t="s">
        <v>46</v>
      </c>
      <c r="B159" t="s">
        <v>0</v>
      </c>
      <c r="C159">
        <v>63</v>
      </c>
      <c r="D159">
        <v>414</v>
      </c>
      <c r="E159" s="9">
        <v>0.26328800988875156</v>
      </c>
      <c r="F159" s="9">
        <v>0.40606060606060607</v>
      </c>
      <c r="G159" s="9">
        <v>0.20642201834862386</v>
      </c>
    </row>
    <row r="160" spans="1:7" x14ac:dyDescent="0.25">
      <c r="A160" t="s">
        <v>46</v>
      </c>
      <c r="B160" t="s">
        <v>0</v>
      </c>
      <c r="C160">
        <v>63</v>
      </c>
      <c r="D160">
        <v>415</v>
      </c>
      <c r="E160" s="9">
        <v>0.26328800988875156</v>
      </c>
      <c r="F160" s="9">
        <v>0.40606060606060607</v>
      </c>
      <c r="G160" s="9">
        <v>0.20642201834862386</v>
      </c>
    </row>
    <row r="161" spans="1:7" x14ac:dyDescent="0.25">
      <c r="A161" t="s">
        <v>46</v>
      </c>
      <c r="B161" t="s">
        <v>0</v>
      </c>
      <c r="C161">
        <v>63</v>
      </c>
      <c r="D161">
        <v>416</v>
      </c>
      <c r="E161" s="9">
        <v>0.26328800988875156</v>
      </c>
      <c r="F161" s="9">
        <v>0.40606060606060607</v>
      </c>
      <c r="G161" s="9">
        <v>0.20642201834862386</v>
      </c>
    </row>
    <row r="162" spans="1:7" x14ac:dyDescent="0.25">
      <c r="A162" t="s">
        <v>46</v>
      </c>
      <c r="B162" t="s">
        <v>0</v>
      </c>
      <c r="C162">
        <v>63</v>
      </c>
      <c r="D162">
        <v>417</v>
      </c>
      <c r="E162" s="9">
        <v>0.29181494661921709</v>
      </c>
      <c r="F162" s="9">
        <v>0.41493055555555558</v>
      </c>
      <c r="G162" s="9">
        <v>0.20816864295125165</v>
      </c>
    </row>
    <row r="163" spans="1:7" x14ac:dyDescent="0.25">
      <c r="A163" t="s">
        <v>46</v>
      </c>
      <c r="B163" t="s">
        <v>0</v>
      </c>
      <c r="C163">
        <v>63</v>
      </c>
      <c r="D163">
        <v>418</v>
      </c>
      <c r="E163" s="9">
        <v>0.29181494661921709</v>
      </c>
      <c r="F163" s="9">
        <v>0.41493055555555558</v>
      </c>
      <c r="G163" s="9">
        <v>0.20816864295125165</v>
      </c>
    </row>
    <row r="164" spans="1:7" x14ac:dyDescent="0.25">
      <c r="A164" t="s">
        <v>46</v>
      </c>
      <c r="B164" t="s">
        <v>0</v>
      </c>
      <c r="C164">
        <v>63</v>
      </c>
      <c r="D164">
        <v>419</v>
      </c>
      <c r="E164" s="9">
        <v>0.29181494661921709</v>
      </c>
      <c r="F164" s="9">
        <v>0.41493055555555558</v>
      </c>
      <c r="G164" s="9">
        <v>0.20816864295125165</v>
      </c>
    </row>
    <row r="165" spans="1:7" x14ac:dyDescent="0.25">
      <c r="A165" t="s">
        <v>46</v>
      </c>
      <c r="B165" t="s">
        <v>0</v>
      </c>
      <c r="C165">
        <v>63</v>
      </c>
      <c r="D165">
        <v>420</v>
      </c>
      <c r="E165" s="9">
        <v>0.29181494661921709</v>
      </c>
      <c r="F165" s="9">
        <v>0.41493055555555558</v>
      </c>
      <c r="G165" s="9">
        <v>0.20816864295125165</v>
      </c>
    </row>
    <row r="166" spans="1:7" x14ac:dyDescent="0.25">
      <c r="A166" t="s">
        <v>46</v>
      </c>
      <c r="B166" t="s">
        <v>0</v>
      </c>
      <c r="C166">
        <v>63</v>
      </c>
      <c r="D166">
        <v>421</v>
      </c>
      <c r="E166" s="9">
        <v>0.26177285318559557</v>
      </c>
      <c r="F166" s="9">
        <v>0.38351254480286739</v>
      </c>
      <c r="G166" s="9">
        <v>0.21476510067114093</v>
      </c>
    </row>
    <row r="167" spans="1:7" x14ac:dyDescent="0.25">
      <c r="A167" t="s">
        <v>46</v>
      </c>
      <c r="B167" t="s">
        <v>0</v>
      </c>
      <c r="C167">
        <v>63</v>
      </c>
      <c r="D167">
        <v>422</v>
      </c>
      <c r="E167" s="9">
        <v>0.26177285318559557</v>
      </c>
      <c r="F167" s="9">
        <v>0.38351254480286739</v>
      </c>
      <c r="G167" s="9">
        <v>0.21476510067114093</v>
      </c>
    </row>
    <row r="168" spans="1:7" x14ac:dyDescent="0.25">
      <c r="A168" t="s">
        <v>46</v>
      </c>
      <c r="B168" t="s">
        <v>0</v>
      </c>
      <c r="C168">
        <v>63</v>
      </c>
      <c r="D168">
        <v>423</v>
      </c>
      <c r="E168" s="9">
        <v>0.26177285318559557</v>
      </c>
      <c r="F168" s="9">
        <v>0.38351254480286739</v>
      </c>
      <c r="G168" s="9">
        <v>0.21476510067114093</v>
      </c>
    </row>
    <row r="169" spans="1:7" x14ac:dyDescent="0.25">
      <c r="A169" t="s">
        <v>46</v>
      </c>
      <c r="B169" t="s">
        <v>0</v>
      </c>
      <c r="C169">
        <v>63</v>
      </c>
      <c r="D169">
        <v>424</v>
      </c>
      <c r="E169" s="9">
        <v>0.26177285318559557</v>
      </c>
      <c r="F169" s="9">
        <v>0.38351254480286739</v>
      </c>
      <c r="G169" s="9">
        <v>0.21476510067114093</v>
      </c>
    </row>
    <row r="170" spans="1:7" x14ac:dyDescent="0.25">
      <c r="A170" t="s">
        <v>46</v>
      </c>
      <c r="B170" t="s">
        <v>0</v>
      </c>
      <c r="C170">
        <v>63</v>
      </c>
      <c r="D170">
        <v>425</v>
      </c>
      <c r="E170" s="9">
        <v>0.26378378378378381</v>
      </c>
      <c r="F170" s="9">
        <v>0.36585365853658536</v>
      </c>
      <c r="G170" s="9">
        <v>0.21726190476190477</v>
      </c>
    </row>
    <row r="171" spans="1:7" x14ac:dyDescent="0.25">
      <c r="A171" t="s">
        <v>46</v>
      </c>
      <c r="B171" t="s">
        <v>0</v>
      </c>
      <c r="C171">
        <v>63</v>
      </c>
      <c r="D171">
        <v>426</v>
      </c>
      <c r="E171" s="9">
        <v>0.26378378378378381</v>
      </c>
      <c r="F171" s="9">
        <v>0.36585365853658536</v>
      </c>
      <c r="G171" s="9">
        <v>0.21726190476190477</v>
      </c>
    </row>
    <row r="172" spans="1:7" x14ac:dyDescent="0.25">
      <c r="A172" t="s">
        <v>46</v>
      </c>
      <c r="B172" t="s">
        <v>0</v>
      </c>
      <c r="C172">
        <v>63</v>
      </c>
      <c r="D172">
        <v>427</v>
      </c>
      <c r="E172" s="9">
        <v>0.26378378378378381</v>
      </c>
      <c r="F172" s="9">
        <v>0.36585365853658536</v>
      </c>
      <c r="G172" s="9">
        <v>0.21726190476190477</v>
      </c>
    </row>
    <row r="173" spans="1:7" x14ac:dyDescent="0.25">
      <c r="A173" t="s">
        <v>46</v>
      </c>
      <c r="B173" t="s">
        <v>0</v>
      </c>
      <c r="C173">
        <v>63</v>
      </c>
      <c r="D173">
        <v>428</v>
      </c>
      <c r="E173" s="9">
        <v>0.26378378378378381</v>
      </c>
      <c r="F173" s="9">
        <v>0.36585365853658536</v>
      </c>
      <c r="G173" s="9">
        <v>0.21726190476190477</v>
      </c>
    </row>
    <row r="174" spans="1:7" x14ac:dyDescent="0.25">
      <c r="A174" t="s">
        <v>46</v>
      </c>
      <c r="B174" t="s">
        <v>0</v>
      </c>
      <c r="C174">
        <v>63</v>
      </c>
      <c r="D174">
        <v>429</v>
      </c>
      <c r="E174" s="9">
        <v>0.25299760191846521</v>
      </c>
      <c r="F174" s="9">
        <v>0.32838038632986627</v>
      </c>
      <c r="G174" s="9">
        <v>0.23448275862068965</v>
      </c>
    </row>
    <row r="175" spans="1:7" x14ac:dyDescent="0.25">
      <c r="A175" t="s">
        <v>46</v>
      </c>
      <c r="B175" t="s">
        <v>0</v>
      </c>
      <c r="C175">
        <v>63</v>
      </c>
      <c r="D175">
        <v>430</v>
      </c>
      <c r="E175" s="9">
        <v>0.25299760191846521</v>
      </c>
      <c r="F175" s="9">
        <v>0.32838038632986627</v>
      </c>
      <c r="G175" s="9">
        <v>0.23448275862068965</v>
      </c>
    </row>
    <row r="176" spans="1:7" x14ac:dyDescent="0.25">
      <c r="A176" t="s">
        <v>46</v>
      </c>
      <c r="B176" t="s">
        <v>0</v>
      </c>
      <c r="C176">
        <v>63</v>
      </c>
      <c r="D176">
        <v>431</v>
      </c>
      <c r="E176" s="9">
        <v>0.25299760191846521</v>
      </c>
      <c r="F176" s="9">
        <v>0.32838038632986627</v>
      </c>
      <c r="G176" s="9">
        <v>0.23448275862068965</v>
      </c>
    </row>
    <row r="177" spans="1:7" x14ac:dyDescent="0.25">
      <c r="A177" t="s">
        <v>46</v>
      </c>
      <c r="B177" t="s">
        <v>0</v>
      </c>
      <c r="C177">
        <v>63</v>
      </c>
      <c r="D177">
        <v>432</v>
      </c>
      <c r="E177" s="9">
        <v>0.25299760191846521</v>
      </c>
      <c r="F177" s="9">
        <v>0.32838038632986627</v>
      </c>
      <c r="G177" s="9">
        <v>0.23448275862068965</v>
      </c>
    </row>
    <row r="178" spans="1:7" x14ac:dyDescent="0.25">
      <c r="A178" t="s">
        <v>46</v>
      </c>
      <c r="B178" t="s">
        <v>0</v>
      </c>
      <c r="C178">
        <v>63</v>
      </c>
      <c r="D178">
        <v>433</v>
      </c>
      <c r="E178" s="9">
        <v>0.25505617977528089</v>
      </c>
      <c r="F178" s="9">
        <v>0.32027027027027027</v>
      </c>
      <c r="G178" s="9">
        <v>0.2233502538071066</v>
      </c>
    </row>
    <row r="179" spans="1:7" x14ac:dyDescent="0.25">
      <c r="A179" t="s">
        <v>46</v>
      </c>
      <c r="B179" t="s">
        <v>0</v>
      </c>
      <c r="C179">
        <v>63</v>
      </c>
      <c r="D179">
        <v>434</v>
      </c>
      <c r="E179" s="9">
        <v>0.25505617977528089</v>
      </c>
      <c r="F179" s="9">
        <v>0.32027027027027027</v>
      </c>
      <c r="G179" s="9">
        <v>0.2233502538071066</v>
      </c>
    </row>
    <row r="180" spans="1:7" x14ac:dyDescent="0.25">
      <c r="A180" t="s">
        <v>46</v>
      </c>
      <c r="B180" t="s">
        <v>0</v>
      </c>
      <c r="C180">
        <v>63</v>
      </c>
      <c r="D180">
        <v>435</v>
      </c>
      <c r="E180" s="9">
        <v>0.25505617977528089</v>
      </c>
      <c r="F180" s="9">
        <v>0.32027027027027027</v>
      </c>
      <c r="G180" s="9">
        <v>0.2233502538071066</v>
      </c>
    </row>
    <row r="181" spans="1:7" x14ac:dyDescent="0.25">
      <c r="A181" t="s">
        <v>46</v>
      </c>
      <c r="B181" t="s">
        <v>0</v>
      </c>
      <c r="C181">
        <v>63</v>
      </c>
      <c r="D181">
        <v>436</v>
      </c>
      <c r="E181" s="9">
        <v>0.25505617977528089</v>
      </c>
      <c r="F181" s="9">
        <v>0.32027027027027027</v>
      </c>
      <c r="G181" s="9">
        <v>0.2233502538071066</v>
      </c>
    </row>
    <row r="182" spans="1:7" x14ac:dyDescent="0.25">
      <c r="A182" t="s">
        <v>46</v>
      </c>
      <c r="B182" t="s">
        <v>0</v>
      </c>
      <c r="C182">
        <v>63</v>
      </c>
      <c r="D182">
        <v>437</v>
      </c>
      <c r="E182" s="9">
        <v>0.26895565092989987</v>
      </c>
      <c r="F182" s="9">
        <v>0.37623762376237624</v>
      </c>
      <c r="G182" s="9">
        <v>0.22526041666666666</v>
      </c>
    </row>
    <row r="183" spans="1:7" x14ac:dyDescent="0.25">
      <c r="A183" t="s">
        <v>46</v>
      </c>
      <c r="B183" t="s">
        <v>0</v>
      </c>
      <c r="C183">
        <v>63</v>
      </c>
      <c r="D183">
        <v>438</v>
      </c>
      <c r="E183" s="9">
        <v>0.26895565092989987</v>
      </c>
      <c r="F183" s="9">
        <v>0.37623762376237624</v>
      </c>
      <c r="G183" s="9">
        <v>0.22526041666666666</v>
      </c>
    </row>
    <row r="184" spans="1:7" x14ac:dyDescent="0.25">
      <c r="A184" t="s">
        <v>46</v>
      </c>
      <c r="B184" t="s">
        <v>0</v>
      </c>
      <c r="C184">
        <v>63</v>
      </c>
      <c r="D184">
        <v>439</v>
      </c>
      <c r="E184" s="9">
        <v>0.26895565092989987</v>
      </c>
      <c r="F184" s="9">
        <v>0.37623762376237624</v>
      </c>
      <c r="G184" s="9">
        <v>0.22526041666666666</v>
      </c>
    </row>
    <row r="185" spans="1:7" x14ac:dyDescent="0.25">
      <c r="A185" t="s">
        <v>46</v>
      </c>
      <c r="B185" t="s">
        <v>0</v>
      </c>
      <c r="C185">
        <v>63</v>
      </c>
      <c r="D185">
        <v>440</v>
      </c>
      <c r="E185" s="9">
        <v>0.26895565092989987</v>
      </c>
      <c r="F185" s="9">
        <v>0.37623762376237624</v>
      </c>
      <c r="G185" s="9">
        <v>0.22526041666666666</v>
      </c>
    </row>
    <row r="186" spans="1:7" x14ac:dyDescent="0.25">
      <c r="A186" t="s">
        <v>46</v>
      </c>
      <c r="B186" t="s">
        <v>0</v>
      </c>
      <c r="C186">
        <v>63</v>
      </c>
      <c r="D186">
        <v>441</v>
      </c>
      <c r="E186" s="9">
        <v>0.26120556414219476</v>
      </c>
      <c r="F186" s="9">
        <v>0.37247706422018351</v>
      </c>
      <c r="G186" s="9">
        <v>0.23900293255131966</v>
      </c>
    </row>
    <row r="187" spans="1:7" x14ac:dyDescent="0.25">
      <c r="A187" t="s">
        <v>46</v>
      </c>
      <c r="B187" t="s">
        <v>0</v>
      </c>
      <c r="C187">
        <v>63</v>
      </c>
      <c r="D187">
        <v>442</v>
      </c>
      <c r="E187" s="9">
        <v>0.26120556414219476</v>
      </c>
      <c r="F187" s="9">
        <v>0.37247706422018351</v>
      </c>
      <c r="G187" s="9">
        <v>0.23900293255131966</v>
      </c>
    </row>
    <row r="188" spans="1:7" x14ac:dyDescent="0.25">
      <c r="A188" t="s">
        <v>46</v>
      </c>
      <c r="B188" t="s">
        <v>0</v>
      </c>
      <c r="C188">
        <v>63</v>
      </c>
      <c r="D188">
        <v>443</v>
      </c>
      <c r="E188" s="9">
        <v>0.26120556414219476</v>
      </c>
      <c r="F188" s="9">
        <v>0.37247706422018351</v>
      </c>
      <c r="G188" s="9">
        <v>0.23900293255131966</v>
      </c>
    </row>
    <row r="189" spans="1:7" x14ac:dyDescent="0.25">
      <c r="A189" t="s">
        <v>46</v>
      </c>
      <c r="B189" t="s">
        <v>0</v>
      </c>
      <c r="C189">
        <v>63</v>
      </c>
      <c r="D189">
        <v>444</v>
      </c>
      <c r="E189" s="9">
        <v>0.26120556414219476</v>
      </c>
      <c r="F189" s="9">
        <v>0.37247706422018351</v>
      </c>
      <c r="G189" s="9">
        <v>0.23900293255131966</v>
      </c>
    </row>
    <row r="190" spans="1:7" x14ac:dyDescent="0.25">
      <c r="A190" t="s">
        <v>46</v>
      </c>
      <c r="B190" t="s">
        <v>0</v>
      </c>
      <c r="C190">
        <v>63</v>
      </c>
      <c r="D190">
        <v>445</v>
      </c>
      <c r="E190" s="9">
        <v>0.24587912087912087</v>
      </c>
      <c r="F190" s="9">
        <v>0.38190184049079756</v>
      </c>
      <c r="G190" s="9">
        <v>0.21963190184049081</v>
      </c>
    </row>
    <row r="191" spans="1:7" x14ac:dyDescent="0.25">
      <c r="A191" t="s">
        <v>46</v>
      </c>
      <c r="B191" t="s">
        <v>0</v>
      </c>
      <c r="C191">
        <v>63</v>
      </c>
      <c r="D191">
        <v>446</v>
      </c>
      <c r="E191" s="9">
        <v>0.24587912087912087</v>
      </c>
      <c r="F191" s="9">
        <v>0.38190184049079756</v>
      </c>
      <c r="G191" s="9">
        <v>0.21963190184049081</v>
      </c>
    </row>
    <row r="192" spans="1:7" x14ac:dyDescent="0.25">
      <c r="A192" t="s">
        <v>46</v>
      </c>
      <c r="B192" t="s">
        <v>0</v>
      </c>
      <c r="C192">
        <v>63</v>
      </c>
      <c r="D192">
        <v>447</v>
      </c>
      <c r="E192" s="9">
        <v>0.24587912087912087</v>
      </c>
      <c r="F192" s="9">
        <v>0.38190184049079756</v>
      </c>
      <c r="G192" s="9">
        <v>0.21963190184049081</v>
      </c>
    </row>
    <row r="193" spans="1:7" x14ac:dyDescent="0.25">
      <c r="A193" t="s">
        <v>46</v>
      </c>
      <c r="B193" t="s">
        <v>0</v>
      </c>
      <c r="C193">
        <v>63</v>
      </c>
      <c r="D193">
        <v>448</v>
      </c>
      <c r="E193" s="9">
        <v>0.24587912087912087</v>
      </c>
      <c r="F193" s="9">
        <v>0.38190184049079756</v>
      </c>
      <c r="G193" s="9">
        <v>0.21963190184049081</v>
      </c>
    </row>
    <row r="194" spans="1:7" x14ac:dyDescent="0.25">
      <c r="A194" t="s">
        <v>47</v>
      </c>
      <c r="B194" t="s">
        <v>0</v>
      </c>
      <c r="C194">
        <v>64</v>
      </c>
      <c r="D194">
        <v>101</v>
      </c>
      <c r="E194" s="9">
        <v>0.22425952045133993</v>
      </c>
      <c r="F194" s="9"/>
      <c r="G194" s="9">
        <v>0.23569482288828339</v>
      </c>
    </row>
    <row r="195" spans="1:7" x14ac:dyDescent="0.25">
      <c r="A195" t="s">
        <v>47</v>
      </c>
      <c r="B195" t="s">
        <v>0</v>
      </c>
      <c r="C195">
        <v>64</v>
      </c>
      <c r="D195">
        <v>102</v>
      </c>
      <c r="E195" s="9">
        <v>0.22425952045133993</v>
      </c>
      <c r="F195" s="9"/>
      <c r="G195" s="9">
        <v>0.23569482288828339</v>
      </c>
    </row>
    <row r="196" spans="1:7" x14ac:dyDescent="0.25">
      <c r="A196" t="s">
        <v>47</v>
      </c>
      <c r="B196" t="s">
        <v>0</v>
      </c>
      <c r="C196">
        <v>64</v>
      </c>
      <c r="D196">
        <v>103</v>
      </c>
      <c r="E196" s="9">
        <v>0.22425952045133993</v>
      </c>
      <c r="F196" s="9"/>
      <c r="G196" s="9">
        <v>0.23569482288828339</v>
      </c>
    </row>
    <row r="197" spans="1:7" x14ac:dyDescent="0.25">
      <c r="A197" t="s">
        <v>47</v>
      </c>
      <c r="B197" t="s">
        <v>0</v>
      </c>
      <c r="C197">
        <v>64</v>
      </c>
      <c r="D197">
        <v>104</v>
      </c>
      <c r="E197" s="9">
        <v>0.22425952045133993</v>
      </c>
      <c r="F197" s="9"/>
      <c r="G197" s="9">
        <v>0.23569482288828339</v>
      </c>
    </row>
    <row r="198" spans="1:7" x14ac:dyDescent="0.25">
      <c r="A198" t="s">
        <v>47</v>
      </c>
      <c r="B198" t="s">
        <v>0</v>
      </c>
      <c r="C198">
        <v>64</v>
      </c>
      <c r="D198">
        <v>105</v>
      </c>
      <c r="E198" s="9">
        <v>0.22054794520547946</v>
      </c>
      <c r="F198" s="9"/>
      <c r="G198" s="9">
        <v>0.24</v>
      </c>
    </row>
    <row r="199" spans="1:7" x14ac:dyDescent="0.25">
      <c r="A199" t="s">
        <v>47</v>
      </c>
      <c r="B199" t="s">
        <v>0</v>
      </c>
      <c r="C199">
        <v>64</v>
      </c>
      <c r="D199">
        <v>106</v>
      </c>
      <c r="E199" s="9">
        <v>0.22054794520547946</v>
      </c>
      <c r="F199" s="9"/>
      <c r="G199" s="9">
        <v>0.24</v>
      </c>
    </row>
    <row r="200" spans="1:7" x14ac:dyDescent="0.25">
      <c r="A200" t="s">
        <v>47</v>
      </c>
      <c r="B200" t="s">
        <v>0</v>
      </c>
      <c r="C200">
        <v>64</v>
      </c>
      <c r="D200">
        <v>107</v>
      </c>
      <c r="E200" s="9">
        <v>0.22054794520547946</v>
      </c>
      <c r="F200" s="9"/>
      <c r="G200" s="9">
        <v>0.24</v>
      </c>
    </row>
    <row r="201" spans="1:7" x14ac:dyDescent="0.25">
      <c r="A201" t="s">
        <v>47</v>
      </c>
      <c r="B201" t="s">
        <v>0</v>
      </c>
      <c r="C201">
        <v>64</v>
      </c>
      <c r="D201">
        <v>108</v>
      </c>
      <c r="E201" s="9">
        <v>0.22054794520547946</v>
      </c>
      <c r="F201" s="9"/>
      <c r="G201" s="9">
        <v>0.24</v>
      </c>
    </row>
    <row r="202" spans="1:7" x14ac:dyDescent="0.25">
      <c r="A202" t="s">
        <v>47</v>
      </c>
      <c r="B202" t="s">
        <v>0</v>
      </c>
      <c r="C202">
        <v>64</v>
      </c>
      <c r="D202">
        <v>109</v>
      </c>
      <c r="E202" s="9">
        <v>0.20876288659793815</v>
      </c>
      <c r="F202" s="9"/>
      <c r="G202" s="9">
        <v>0.26958105646630237</v>
      </c>
    </row>
    <row r="203" spans="1:7" x14ac:dyDescent="0.25">
      <c r="A203" t="s">
        <v>47</v>
      </c>
      <c r="B203" t="s">
        <v>0</v>
      </c>
      <c r="C203">
        <v>64</v>
      </c>
      <c r="D203">
        <v>110</v>
      </c>
      <c r="E203" s="9">
        <v>0.20876288659793815</v>
      </c>
      <c r="F203" s="9"/>
      <c r="G203" s="9">
        <v>0.26958105646630237</v>
      </c>
    </row>
    <row r="204" spans="1:7" x14ac:dyDescent="0.25">
      <c r="A204" t="s">
        <v>47</v>
      </c>
      <c r="B204" t="s">
        <v>0</v>
      </c>
      <c r="C204">
        <v>64</v>
      </c>
      <c r="D204">
        <v>111</v>
      </c>
      <c r="E204" s="9">
        <v>0.20876288659793815</v>
      </c>
      <c r="F204" s="9"/>
      <c r="G204" s="9">
        <v>0.26958105646630237</v>
      </c>
    </row>
    <row r="205" spans="1:7" x14ac:dyDescent="0.25">
      <c r="A205" t="s">
        <v>47</v>
      </c>
      <c r="B205" t="s">
        <v>0</v>
      </c>
      <c r="C205">
        <v>64</v>
      </c>
      <c r="D205">
        <v>112</v>
      </c>
      <c r="E205" s="9">
        <v>0.20876288659793815</v>
      </c>
      <c r="F205" s="9"/>
      <c r="G205" s="9">
        <v>0.26958105646630237</v>
      </c>
    </row>
    <row r="206" spans="1:7" x14ac:dyDescent="0.25">
      <c r="A206" t="s">
        <v>47</v>
      </c>
      <c r="B206" t="s">
        <v>0</v>
      </c>
      <c r="C206">
        <v>64</v>
      </c>
      <c r="D206">
        <v>113</v>
      </c>
      <c r="E206" s="9">
        <v>0.22180916976456011</v>
      </c>
      <c r="F206" s="9">
        <v>0.24912280701754386</v>
      </c>
      <c r="G206" s="9">
        <v>0.22103658536585366</v>
      </c>
    </row>
    <row r="207" spans="1:7" x14ac:dyDescent="0.25">
      <c r="A207" t="s">
        <v>47</v>
      </c>
      <c r="B207" t="s">
        <v>0</v>
      </c>
      <c r="C207">
        <v>64</v>
      </c>
      <c r="D207">
        <v>114</v>
      </c>
      <c r="E207" s="9">
        <v>0.22180916976456011</v>
      </c>
      <c r="F207" s="9">
        <v>0.24912280701754386</v>
      </c>
      <c r="G207" s="9">
        <v>0.22103658536585366</v>
      </c>
    </row>
    <row r="208" spans="1:7" x14ac:dyDescent="0.25">
      <c r="A208" t="s">
        <v>47</v>
      </c>
      <c r="B208" t="s">
        <v>0</v>
      </c>
      <c r="C208">
        <v>64</v>
      </c>
      <c r="D208">
        <v>115</v>
      </c>
      <c r="E208" s="9">
        <v>0.22180916976456011</v>
      </c>
      <c r="F208" s="9">
        <v>0.24912280701754386</v>
      </c>
      <c r="G208" s="9">
        <v>0.22103658536585366</v>
      </c>
    </row>
    <row r="209" spans="1:7" x14ac:dyDescent="0.25">
      <c r="A209" t="s">
        <v>47</v>
      </c>
      <c r="B209" t="s">
        <v>0</v>
      </c>
      <c r="C209">
        <v>64</v>
      </c>
      <c r="D209">
        <v>116</v>
      </c>
      <c r="E209" s="9">
        <v>0.22180916976456011</v>
      </c>
      <c r="F209" s="9">
        <v>0.24912280701754386</v>
      </c>
      <c r="G209" s="9">
        <v>0.22103658536585366</v>
      </c>
    </row>
    <row r="210" spans="1:7" x14ac:dyDescent="0.25">
      <c r="A210" t="s">
        <v>47</v>
      </c>
      <c r="B210" t="s">
        <v>0</v>
      </c>
      <c r="C210">
        <v>64</v>
      </c>
      <c r="D210">
        <v>117</v>
      </c>
      <c r="E210" s="9">
        <v>0.22538860103626943</v>
      </c>
      <c r="F210" s="9">
        <v>0.25265957446808512</v>
      </c>
      <c r="G210" s="9">
        <v>0.22522522522522523</v>
      </c>
    </row>
    <row r="211" spans="1:7" x14ac:dyDescent="0.25">
      <c r="A211" t="s">
        <v>47</v>
      </c>
      <c r="B211" t="s">
        <v>0</v>
      </c>
      <c r="C211">
        <v>64</v>
      </c>
      <c r="D211">
        <v>118</v>
      </c>
      <c r="E211" s="9">
        <v>0.22538860103626943</v>
      </c>
      <c r="F211" s="9">
        <v>0.25265957446808512</v>
      </c>
      <c r="G211" s="9">
        <v>0.22522522522522523</v>
      </c>
    </row>
    <row r="212" spans="1:7" x14ac:dyDescent="0.25">
      <c r="A212" t="s">
        <v>47</v>
      </c>
      <c r="B212" t="s">
        <v>0</v>
      </c>
      <c r="C212">
        <v>64</v>
      </c>
      <c r="D212">
        <v>119</v>
      </c>
      <c r="E212" s="9">
        <v>0.22538860103626943</v>
      </c>
      <c r="F212" s="9">
        <v>0.25265957446808512</v>
      </c>
      <c r="G212" s="9">
        <v>0.22522522522522523</v>
      </c>
    </row>
    <row r="213" spans="1:7" x14ac:dyDescent="0.25">
      <c r="A213" t="s">
        <v>47</v>
      </c>
      <c r="B213" t="s">
        <v>0</v>
      </c>
      <c r="C213">
        <v>64</v>
      </c>
      <c r="D213">
        <v>120</v>
      </c>
      <c r="E213" s="9">
        <v>0.22538860103626943</v>
      </c>
      <c r="F213" s="9">
        <v>0.25265957446808512</v>
      </c>
      <c r="G213" s="9">
        <v>0.22522522522522523</v>
      </c>
    </row>
    <row r="214" spans="1:7" x14ac:dyDescent="0.25">
      <c r="A214" t="s">
        <v>47</v>
      </c>
      <c r="B214" t="s">
        <v>0</v>
      </c>
      <c r="C214">
        <v>64</v>
      </c>
      <c r="D214">
        <v>121</v>
      </c>
      <c r="E214" s="9">
        <v>0.2177650429799427</v>
      </c>
      <c r="F214" s="9">
        <v>0.24720893141945774</v>
      </c>
      <c r="G214" s="9">
        <v>0.2286096256684492</v>
      </c>
    </row>
    <row r="215" spans="1:7" x14ac:dyDescent="0.25">
      <c r="A215" t="s">
        <v>47</v>
      </c>
      <c r="B215" t="s">
        <v>0</v>
      </c>
      <c r="C215">
        <v>64</v>
      </c>
      <c r="D215">
        <v>122</v>
      </c>
      <c r="E215" s="9">
        <v>0.2177650429799427</v>
      </c>
      <c r="F215" s="9">
        <v>0.24720893141945774</v>
      </c>
      <c r="G215" s="9">
        <v>0.2286096256684492</v>
      </c>
    </row>
    <row r="216" spans="1:7" x14ac:dyDescent="0.25">
      <c r="A216" t="s">
        <v>47</v>
      </c>
      <c r="B216" t="s">
        <v>0</v>
      </c>
      <c r="C216">
        <v>64</v>
      </c>
      <c r="D216">
        <v>123</v>
      </c>
      <c r="E216" s="9">
        <v>0.2177650429799427</v>
      </c>
      <c r="F216" s="9">
        <v>0.24720893141945774</v>
      </c>
      <c r="G216" s="9">
        <v>0.2286096256684492</v>
      </c>
    </row>
    <row r="217" spans="1:7" x14ac:dyDescent="0.25">
      <c r="A217" t="s">
        <v>47</v>
      </c>
      <c r="B217" t="s">
        <v>0</v>
      </c>
      <c r="C217">
        <v>64</v>
      </c>
      <c r="D217">
        <v>124</v>
      </c>
      <c r="E217" s="9">
        <v>0.2177650429799427</v>
      </c>
      <c r="F217" s="9">
        <v>0.24720893141945774</v>
      </c>
      <c r="G217" s="9">
        <v>0.2286096256684492</v>
      </c>
    </row>
    <row r="218" spans="1:7" x14ac:dyDescent="0.25">
      <c r="A218" t="s">
        <v>47</v>
      </c>
      <c r="B218" t="s">
        <v>0</v>
      </c>
      <c r="C218">
        <v>64</v>
      </c>
      <c r="D218">
        <v>125</v>
      </c>
      <c r="E218" s="9">
        <v>0.21723518850987433</v>
      </c>
      <c r="F218" s="9">
        <v>0.23345817727840198</v>
      </c>
      <c r="G218" s="9">
        <v>0.23018867924528302</v>
      </c>
    </row>
    <row r="219" spans="1:7" x14ac:dyDescent="0.25">
      <c r="A219" t="s">
        <v>47</v>
      </c>
      <c r="B219" t="s">
        <v>0</v>
      </c>
      <c r="C219">
        <v>64</v>
      </c>
      <c r="D219">
        <v>126</v>
      </c>
      <c r="E219" s="9">
        <v>0.21723518850987433</v>
      </c>
      <c r="F219" s="9">
        <v>0.23345817727840198</v>
      </c>
      <c r="G219" s="9">
        <v>0.23018867924528302</v>
      </c>
    </row>
    <row r="220" spans="1:7" x14ac:dyDescent="0.25">
      <c r="A220" t="s">
        <v>47</v>
      </c>
      <c r="B220" t="s">
        <v>0</v>
      </c>
      <c r="C220">
        <v>64</v>
      </c>
      <c r="D220">
        <v>127</v>
      </c>
      <c r="E220" s="9">
        <v>0.21723518850987433</v>
      </c>
      <c r="F220" s="9">
        <v>0.23345817727840198</v>
      </c>
      <c r="G220" s="9">
        <v>0.23018867924528302</v>
      </c>
    </row>
    <row r="221" spans="1:7" x14ac:dyDescent="0.25">
      <c r="A221" t="s">
        <v>47</v>
      </c>
      <c r="B221" t="s">
        <v>0</v>
      </c>
      <c r="C221">
        <v>64</v>
      </c>
      <c r="D221">
        <v>128</v>
      </c>
      <c r="E221" s="9">
        <v>0.21723518850987433</v>
      </c>
      <c r="F221" s="9">
        <v>0.23345817727840198</v>
      </c>
      <c r="G221" s="9">
        <v>0.23018867924528302</v>
      </c>
    </row>
    <row r="222" spans="1:7" x14ac:dyDescent="0.25">
      <c r="A222" t="s">
        <v>47</v>
      </c>
      <c r="B222" t="s">
        <v>0</v>
      </c>
      <c r="C222">
        <v>64</v>
      </c>
      <c r="D222">
        <v>129</v>
      </c>
      <c r="E222" s="9">
        <v>0.22972972972972974</v>
      </c>
      <c r="F222" s="9">
        <v>0.25067385444743934</v>
      </c>
      <c r="G222" s="9">
        <v>0.23787528868360278</v>
      </c>
    </row>
    <row r="223" spans="1:7" x14ac:dyDescent="0.25">
      <c r="A223" t="s">
        <v>47</v>
      </c>
      <c r="B223" t="s">
        <v>0</v>
      </c>
      <c r="C223">
        <v>64</v>
      </c>
      <c r="D223">
        <v>130</v>
      </c>
      <c r="E223" s="9">
        <v>0.22972972972972974</v>
      </c>
      <c r="F223" s="9">
        <v>0.25067385444743934</v>
      </c>
      <c r="G223" s="9">
        <v>0.23787528868360278</v>
      </c>
    </row>
    <row r="224" spans="1:7" x14ac:dyDescent="0.25">
      <c r="A224" t="s">
        <v>47</v>
      </c>
      <c r="B224" t="s">
        <v>0</v>
      </c>
      <c r="C224">
        <v>64</v>
      </c>
      <c r="D224">
        <v>131</v>
      </c>
      <c r="E224" s="9">
        <v>0.22972972972972974</v>
      </c>
      <c r="F224" s="9">
        <v>0.25067385444743934</v>
      </c>
      <c r="G224" s="9">
        <v>0.23787528868360278</v>
      </c>
    </row>
    <row r="225" spans="1:7" x14ac:dyDescent="0.25">
      <c r="A225" t="s">
        <v>47</v>
      </c>
      <c r="B225" t="s">
        <v>0</v>
      </c>
      <c r="C225">
        <v>64</v>
      </c>
      <c r="D225">
        <v>132</v>
      </c>
      <c r="E225" s="9">
        <v>0.22972972972972974</v>
      </c>
      <c r="F225" s="9">
        <v>0.25067385444743934</v>
      </c>
      <c r="G225" s="9">
        <v>0.23787528868360278</v>
      </c>
    </row>
    <row r="226" spans="1:7" x14ac:dyDescent="0.25">
      <c r="A226" t="s">
        <v>47</v>
      </c>
      <c r="B226" t="s">
        <v>0</v>
      </c>
      <c r="C226">
        <v>64</v>
      </c>
      <c r="D226">
        <v>133</v>
      </c>
      <c r="E226" s="9">
        <v>0.21921182266009853</v>
      </c>
      <c r="F226" s="9">
        <v>0.25912838633686691</v>
      </c>
      <c r="G226" s="9">
        <v>0.24428822495606328</v>
      </c>
    </row>
    <row r="227" spans="1:7" x14ac:dyDescent="0.25">
      <c r="A227" t="s">
        <v>47</v>
      </c>
      <c r="B227" t="s">
        <v>0</v>
      </c>
      <c r="C227">
        <v>64</v>
      </c>
      <c r="D227">
        <v>134</v>
      </c>
      <c r="E227" s="9">
        <v>0.21921182266009853</v>
      </c>
      <c r="F227" s="9">
        <v>0.25912838633686691</v>
      </c>
      <c r="G227" s="9">
        <v>0.24428822495606328</v>
      </c>
    </row>
    <row r="228" spans="1:7" x14ac:dyDescent="0.25">
      <c r="A228" t="s">
        <v>47</v>
      </c>
      <c r="B228" t="s">
        <v>0</v>
      </c>
      <c r="C228">
        <v>64</v>
      </c>
      <c r="D228">
        <v>135</v>
      </c>
      <c r="E228" s="9">
        <v>0.21921182266009853</v>
      </c>
      <c r="F228" s="9">
        <v>0.25912838633686691</v>
      </c>
      <c r="G228" s="9">
        <v>0.24428822495606328</v>
      </c>
    </row>
    <row r="229" spans="1:7" x14ac:dyDescent="0.25">
      <c r="A229" t="s">
        <v>47</v>
      </c>
      <c r="B229" t="s">
        <v>0</v>
      </c>
      <c r="C229">
        <v>64</v>
      </c>
      <c r="D229">
        <v>136</v>
      </c>
      <c r="E229" s="9">
        <v>0.21921182266009853</v>
      </c>
      <c r="F229" s="9">
        <v>0.25912838633686691</v>
      </c>
      <c r="G229" s="9">
        <v>0.24428822495606328</v>
      </c>
    </row>
    <row r="230" spans="1:7" x14ac:dyDescent="0.25">
      <c r="A230" t="s">
        <v>47</v>
      </c>
      <c r="B230" t="s">
        <v>0</v>
      </c>
      <c r="C230">
        <v>64</v>
      </c>
      <c r="D230">
        <v>137</v>
      </c>
      <c r="E230" s="9">
        <v>0.23514851485148514</v>
      </c>
      <c r="F230" s="9">
        <v>0.2710163111668758</v>
      </c>
      <c r="G230" s="9">
        <v>0.2389937106918239</v>
      </c>
    </row>
    <row r="231" spans="1:7" x14ac:dyDescent="0.25">
      <c r="A231" t="s">
        <v>47</v>
      </c>
      <c r="B231" t="s">
        <v>0</v>
      </c>
      <c r="C231">
        <v>64</v>
      </c>
      <c r="D231">
        <v>138</v>
      </c>
      <c r="E231" s="9">
        <v>0.23514851485148514</v>
      </c>
      <c r="F231" s="9">
        <v>0.2710163111668758</v>
      </c>
      <c r="G231" s="9">
        <v>0.2389937106918239</v>
      </c>
    </row>
    <row r="232" spans="1:7" x14ac:dyDescent="0.25">
      <c r="A232" t="s">
        <v>47</v>
      </c>
      <c r="B232" t="s">
        <v>0</v>
      </c>
      <c r="C232">
        <v>64</v>
      </c>
      <c r="D232">
        <v>139</v>
      </c>
      <c r="E232" s="9">
        <v>0.23514851485148514</v>
      </c>
      <c r="F232" s="9">
        <v>0.2710163111668758</v>
      </c>
      <c r="G232" s="9">
        <v>0.2389937106918239</v>
      </c>
    </row>
    <row r="233" spans="1:7" x14ac:dyDescent="0.25">
      <c r="A233" t="s">
        <v>47</v>
      </c>
      <c r="B233" t="s">
        <v>0</v>
      </c>
      <c r="C233">
        <v>64</v>
      </c>
      <c r="D233">
        <v>140</v>
      </c>
      <c r="E233" s="9">
        <v>0.23514851485148514</v>
      </c>
      <c r="F233" s="9">
        <v>0.2710163111668758</v>
      </c>
      <c r="G233" s="9">
        <v>0.2389937106918239</v>
      </c>
    </row>
    <row r="234" spans="1:7" x14ac:dyDescent="0.25">
      <c r="A234" t="s">
        <v>47</v>
      </c>
      <c r="B234" t="s">
        <v>0</v>
      </c>
      <c r="C234">
        <v>64</v>
      </c>
      <c r="D234">
        <v>141</v>
      </c>
      <c r="E234" s="9">
        <v>0.21941747572815534</v>
      </c>
      <c r="F234" s="9">
        <v>0.24887556221889057</v>
      </c>
      <c r="G234" s="9">
        <v>0.2363367799113737</v>
      </c>
    </row>
    <row r="235" spans="1:7" x14ac:dyDescent="0.25">
      <c r="A235" t="s">
        <v>47</v>
      </c>
      <c r="B235" t="s">
        <v>0</v>
      </c>
      <c r="C235">
        <v>64</v>
      </c>
      <c r="D235">
        <v>142</v>
      </c>
      <c r="E235" s="9">
        <v>0.21941747572815534</v>
      </c>
      <c r="F235" s="9">
        <v>0.24887556221889057</v>
      </c>
      <c r="G235" s="9">
        <v>0.2363367799113737</v>
      </c>
    </row>
    <row r="236" spans="1:7" x14ac:dyDescent="0.25">
      <c r="A236" t="s">
        <v>47</v>
      </c>
      <c r="B236" t="s">
        <v>0</v>
      </c>
      <c r="C236">
        <v>64</v>
      </c>
      <c r="D236">
        <v>143</v>
      </c>
      <c r="E236" s="9">
        <v>0.21941747572815534</v>
      </c>
      <c r="F236" s="9">
        <v>0.24887556221889057</v>
      </c>
      <c r="G236" s="9">
        <v>0.2363367799113737</v>
      </c>
    </row>
    <row r="237" spans="1:7" x14ac:dyDescent="0.25">
      <c r="A237" t="s">
        <v>47</v>
      </c>
      <c r="B237" t="s">
        <v>0</v>
      </c>
      <c r="C237">
        <v>64</v>
      </c>
      <c r="D237">
        <v>144</v>
      </c>
      <c r="E237" s="9">
        <v>0.21941747572815534</v>
      </c>
      <c r="F237" s="9">
        <v>0.24887556221889057</v>
      </c>
      <c r="G237" s="9">
        <v>0.2363367799113737</v>
      </c>
    </row>
    <row r="238" spans="1:7" x14ac:dyDescent="0.25">
      <c r="A238" t="s">
        <v>47</v>
      </c>
      <c r="B238" t="s">
        <v>0</v>
      </c>
      <c r="C238">
        <v>64</v>
      </c>
      <c r="D238">
        <v>145</v>
      </c>
      <c r="E238" s="9">
        <v>0.22327044025157233</v>
      </c>
      <c r="F238" s="9">
        <v>0.24697754749568221</v>
      </c>
      <c r="G238" s="9">
        <v>0.22948328267477203</v>
      </c>
    </row>
    <row r="239" spans="1:7" x14ac:dyDescent="0.25">
      <c r="A239" t="s">
        <v>47</v>
      </c>
      <c r="B239" t="s">
        <v>0</v>
      </c>
      <c r="C239">
        <v>64</v>
      </c>
      <c r="D239">
        <v>146</v>
      </c>
      <c r="E239" s="9">
        <v>0.22327044025157233</v>
      </c>
      <c r="F239" s="9">
        <v>0.24697754749568221</v>
      </c>
      <c r="G239" s="9">
        <v>0.22948328267477203</v>
      </c>
    </row>
    <row r="240" spans="1:7" x14ac:dyDescent="0.25">
      <c r="A240" t="s">
        <v>47</v>
      </c>
      <c r="B240" t="s">
        <v>0</v>
      </c>
      <c r="C240">
        <v>64</v>
      </c>
      <c r="D240">
        <v>147</v>
      </c>
      <c r="E240" s="9">
        <v>0.22327044025157233</v>
      </c>
      <c r="F240" s="9">
        <v>0.24697754749568221</v>
      </c>
      <c r="G240" s="9">
        <v>0.22948328267477203</v>
      </c>
    </row>
    <row r="241" spans="1:7" x14ac:dyDescent="0.25">
      <c r="A241" t="s">
        <v>47</v>
      </c>
      <c r="B241" t="s">
        <v>0</v>
      </c>
      <c r="C241">
        <v>64</v>
      </c>
      <c r="D241">
        <v>148</v>
      </c>
      <c r="E241" s="9">
        <v>0.22327044025157233</v>
      </c>
      <c r="F241" s="9">
        <v>0.24697754749568221</v>
      </c>
      <c r="G241" s="9">
        <v>0.22948328267477203</v>
      </c>
    </row>
    <row r="242" spans="1:7" x14ac:dyDescent="0.25">
      <c r="A242" t="s">
        <v>47</v>
      </c>
      <c r="B242" t="s">
        <v>0</v>
      </c>
      <c r="C242">
        <v>64</v>
      </c>
      <c r="D242">
        <v>201</v>
      </c>
      <c r="E242" s="9">
        <v>0.22132471728594508</v>
      </c>
      <c r="F242" s="9"/>
      <c r="G242" s="9">
        <v>0.23312883435582821</v>
      </c>
    </row>
    <row r="243" spans="1:7" x14ac:dyDescent="0.25">
      <c r="A243" t="s">
        <v>47</v>
      </c>
      <c r="B243" t="s">
        <v>0</v>
      </c>
      <c r="C243">
        <v>64</v>
      </c>
      <c r="D243">
        <v>202</v>
      </c>
      <c r="E243" s="9">
        <v>0.22132471728594508</v>
      </c>
      <c r="F243" s="9"/>
      <c r="G243" s="9">
        <v>0.23312883435582821</v>
      </c>
    </row>
    <row r="244" spans="1:7" x14ac:dyDescent="0.25">
      <c r="A244" t="s">
        <v>47</v>
      </c>
      <c r="B244" t="s">
        <v>0</v>
      </c>
      <c r="C244">
        <v>64</v>
      </c>
      <c r="D244">
        <v>203</v>
      </c>
      <c r="E244" s="9">
        <v>0.22132471728594508</v>
      </c>
      <c r="F244" s="9"/>
      <c r="G244" s="9">
        <v>0.23312883435582821</v>
      </c>
    </row>
    <row r="245" spans="1:7" x14ac:dyDescent="0.25">
      <c r="A245" t="s">
        <v>47</v>
      </c>
      <c r="B245" t="s">
        <v>0</v>
      </c>
      <c r="C245">
        <v>64</v>
      </c>
      <c r="D245">
        <v>204</v>
      </c>
      <c r="E245" s="9">
        <v>0.22132471728594508</v>
      </c>
      <c r="F245" s="9"/>
      <c r="G245" s="9">
        <v>0.23312883435582821</v>
      </c>
    </row>
    <row r="246" spans="1:7" x14ac:dyDescent="0.25">
      <c r="A246" t="s">
        <v>47</v>
      </c>
      <c r="B246" t="s">
        <v>0</v>
      </c>
      <c r="C246">
        <v>64</v>
      </c>
      <c r="D246">
        <v>205</v>
      </c>
      <c r="E246" s="9">
        <v>0.22727272727272727</v>
      </c>
      <c r="F246" s="9"/>
      <c r="G246" s="9">
        <v>0.24794520547945206</v>
      </c>
    </row>
    <row r="247" spans="1:7" x14ac:dyDescent="0.25">
      <c r="A247" t="s">
        <v>47</v>
      </c>
      <c r="B247" t="s">
        <v>0</v>
      </c>
      <c r="C247">
        <v>64</v>
      </c>
      <c r="D247">
        <v>206</v>
      </c>
      <c r="E247" s="9">
        <v>0.22727272727272727</v>
      </c>
      <c r="F247" s="9"/>
      <c r="G247" s="9">
        <v>0.24794520547945206</v>
      </c>
    </row>
    <row r="248" spans="1:7" x14ac:dyDescent="0.25">
      <c r="A248" t="s">
        <v>47</v>
      </c>
      <c r="B248" t="s">
        <v>0</v>
      </c>
      <c r="C248">
        <v>64</v>
      </c>
      <c r="D248">
        <v>207</v>
      </c>
      <c r="E248" s="9">
        <v>0.22727272727272727</v>
      </c>
      <c r="F248" s="9"/>
      <c r="G248" s="9">
        <v>0.24794520547945206</v>
      </c>
    </row>
    <row r="249" spans="1:7" x14ac:dyDescent="0.25">
      <c r="A249" t="s">
        <v>47</v>
      </c>
      <c r="B249" t="s">
        <v>0</v>
      </c>
      <c r="C249">
        <v>64</v>
      </c>
      <c r="D249">
        <v>208</v>
      </c>
      <c r="E249" s="9">
        <v>0.22727272727272727</v>
      </c>
      <c r="F249" s="9"/>
      <c r="G249" s="9">
        <v>0.24794520547945206</v>
      </c>
    </row>
    <row r="250" spans="1:7" x14ac:dyDescent="0.25">
      <c r="A250" t="s">
        <v>47</v>
      </c>
      <c r="B250" t="s">
        <v>0</v>
      </c>
      <c r="C250">
        <v>64</v>
      </c>
      <c r="D250">
        <v>209</v>
      </c>
      <c r="E250" s="9">
        <v>0.22734026745913818</v>
      </c>
      <c r="F250" s="9"/>
      <c r="G250" s="9">
        <v>0.24043715846994534</v>
      </c>
    </row>
    <row r="251" spans="1:7" x14ac:dyDescent="0.25">
      <c r="A251" t="s">
        <v>47</v>
      </c>
      <c r="B251" t="s">
        <v>0</v>
      </c>
      <c r="C251">
        <v>64</v>
      </c>
      <c r="D251">
        <v>210</v>
      </c>
      <c r="E251" s="9">
        <v>0.22734026745913818</v>
      </c>
      <c r="F251" s="9"/>
      <c r="G251" s="9">
        <v>0.24043715846994534</v>
      </c>
    </row>
    <row r="252" spans="1:7" x14ac:dyDescent="0.25">
      <c r="A252" t="s">
        <v>47</v>
      </c>
      <c r="B252" t="s">
        <v>0</v>
      </c>
      <c r="C252">
        <v>64</v>
      </c>
      <c r="D252">
        <v>211</v>
      </c>
      <c r="E252" s="9">
        <v>0.22734026745913818</v>
      </c>
      <c r="F252" s="9"/>
      <c r="G252" s="9">
        <v>0.24043715846994534</v>
      </c>
    </row>
    <row r="253" spans="1:7" x14ac:dyDescent="0.25">
      <c r="A253" t="s">
        <v>47</v>
      </c>
      <c r="B253" t="s">
        <v>0</v>
      </c>
      <c r="C253">
        <v>64</v>
      </c>
      <c r="D253">
        <v>212</v>
      </c>
      <c r="E253" s="9">
        <v>0.22734026745913818</v>
      </c>
      <c r="F253" s="9"/>
      <c r="G253" s="9">
        <v>0.24043715846994534</v>
      </c>
    </row>
    <row r="254" spans="1:7" x14ac:dyDescent="0.25">
      <c r="A254" t="s">
        <v>47</v>
      </c>
      <c r="B254" t="s">
        <v>0</v>
      </c>
      <c r="C254">
        <v>64</v>
      </c>
      <c r="D254">
        <v>213</v>
      </c>
      <c r="E254" s="9">
        <v>0.22950819672131148</v>
      </c>
      <c r="F254" s="9">
        <v>0.24118738404452691</v>
      </c>
      <c r="G254" s="9">
        <v>0.23307291666666666</v>
      </c>
    </row>
    <row r="255" spans="1:7" x14ac:dyDescent="0.25">
      <c r="A255" t="s">
        <v>47</v>
      </c>
      <c r="B255" t="s">
        <v>0</v>
      </c>
      <c r="C255">
        <v>64</v>
      </c>
      <c r="D255">
        <v>214</v>
      </c>
      <c r="E255" s="9">
        <v>0.22950819672131148</v>
      </c>
      <c r="F255" s="9">
        <v>0.24118738404452691</v>
      </c>
      <c r="G255" s="9">
        <v>0.23307291666666666</v>
      </c>
    </row>
    <row r="256" spans="1:7" x14ac:dyDescent="0.25">
      <c r="A256" t="s">
        <v>47</v>
      </c>
      <c r="B256" t="s">
        <v>0</v>
      </c>
      <c r="C256">
        <v>64</v>
      </c>
      <c r="D256">
        <v>215</v>
      </c>
      <c r="E256" s="9">
        <v>0.22950819672131148</v>
      </c>
      <c r="F256" s="9">
        <v>0.24118738404452691</v>
      </c>
      <c r="G256" s="9">
        <v>0.23307291666666666</v>
      </c>
    </row>
    <row r="257" spans="1:7" x14ac:dyDescent="0.25">
      <c r="A257" t="s">
        <v>47</v>
      </c>
      <c r="B257" t="s">
        <v>0</v>
      </c>
      <c r="C257">
        <v>64</v>
      </c>
      <c r="D257">
        <v>216</v>
      </c>
      <c r="E257" s="9">
        <v>0.22950819672131148</v>
      </c>
      <c r="F257" s="9">
        <v>0.24118738404452691</v>
      </c>
      <c r="G257" s="9">
        <v>0.23307291666666666</v>
      </c>
    </row>
    <row r="258" spans="1:7" x14ac:dyDescent="0.25">
      <c r="A258" t="s">
        <v>47</v>
      </c>
      <c r="B258" t="s">
        <v>0</v>
      </c>
      <c r="C258">
        <v>64</v>
      </c>
      <c r="D258">
        <v>217</v>
      </c>
      <c r="E258" s="9">
        <v>0.22562674094707522</v>
      </c>
      <c r="F258" s="9">
        <v>0.2428035043804756</v>
      </c>
      <c r="G258" s="9">
        <v>0.23404255319148937</v>
      </c>
    </row>
    <row r="259" spans="1:7" x14ac:dyDescent="0.25">
      <c r="A259" t="s">
        <v>47</v>
      </c>
      <c r="B259" t="s">
        <v>0</v>
      </c>
      <c r="C259">
        <v>64</v>
      </c>
      <c r="D259">
        <v>218</v>
      </c>
      <c r="E259" s="9">
        <v>0.22562674094707522</v>
      </c>
      <c r="F259" s="9">
        <v>0.2428035043804756</v>
      </c>
      <c r="G259" s="9">
        <v>0.23404255319148937</v>
      </c>
    </row>
    <row r="260" spans="1:7" x14ac:dyDescent="0.25">
      <c r="A260" t="s">
        <v>47</v>
      </c>
      <c r="B260" t="s">
        <v>0</v>
      </c>
      <c r="C260">
        <v>64</v>
      </c>
      <c r="D260">
        <v>219</v>
      </c>
      <c r="E260" s="9">
        <v>0.22562674094707522</v>
      </c>
      <c r="F260" s="9">
        <v>0.2428035043804756</v>
      </c>
      <c r="G260" s="9">
        <v>0.23404255319148937</v>
      </c>
    </row>
    <row r="261" spans="1:7" x14ac:dyDescent="0.25">
      <c r="A261" t="s">
        <v>47</v>
      </c>
      <c r="B261" t="s">
        <v>0</v>
      </c>
      <c r="C261">
        <v>64</v>
      </c>
      <c r="D261">
        <v>220</v>
      </c>
      <c r="E261" s="9">
        <v>0.22562674094707522</v>
      </c>
      <c r="F261" s="9">
        <v>0.2428035043804756</v>
      </c>
      <c r="G261" s="9">
        <v>0.23404255319148937</v>
      </c>
    </row>
    <row r="262" spans="1:7" x14ac:dyDescent="0.25">
      <c r="A262" t="s">
        <v>47</v>
      </c>
      <c r="B262" t="s">
        <v>0</v>
      </c>
      <c r="C262">
        <v>64</v>
      </c>
      <c r="D262">
        <v>221</v>
      </c>
      <c r="E262" s="9">
        <v>0.20810810810810812</v>
      </c>
      <c r="F262" s="9">
        <v>0.24133148404993066</v>
      </c>
      <c r="G262" s="9">
        <v>0.23429951690821257</v>
      </c>
    </row>
    <row r="263" spans="1:7" x14ac:dyDescent="0.25">
      <c r="A263" t="s">
        <v>47</v>
      </c>
      <c r="B263" t="s">
        <v>0</v>
      </c>
      <c r="C263">
        <v>64</v>
      </c>
      <c r="D263">
        <v>222</v>
      </c>
      <c r="E263" s="9">
        <v>0.20810810810810812</v>
      </c>
      <c r="F263" s="9">
        <v>0.24133148404993066</v>
      </c>
      <c r="G263" s="9">
        <v>0.23429951690821257</v>
      </c>
    </row>
    <row r="264" spans="1:7" x14ac:dyDescent="0.25">
      <c r="A264" t="s">
        <v>47</v>
      </c>
      <c r="B264" t="s">
        <v>0</v>
      </c>
      <c r="C264">
        <v>64</v>
      </c>
      <c r="D264">
        <v>223</v>
      </c>
      <c r="E264" s="9">
        <v>0.20810810810810812</v>
      </c>
      <c r="F264" s="9">
        <v>0.24133148404993066</v>
      </c>
      <c r="G264" s="9">
        <v>0.23429951690821257</v>
      </c>
    </row>
    <row r="265" spans="1:7" x14ac:dyDescent="0.25">
      <c r="A265" t="s">
        <v>47</v>
      </c>
      <c r="B265" t="s">
        <v>0</v>
      </c>
      <c r="C265">
        <v>64</v>
      </c>
      <c r="D265">
        <v>224</v>
      </c>
      <c r="E265" s="9">
        <v>0.20810810810810812</v>
      </c>
      <c r="F265" s="9">
        <v>0.24133148404993066</v>
      </c>
      <c r="G265" s="9">
        <v>0.23429951690821257</v>
      </c>
    </row>
    <row r="266" spans="1:7" x14ac:dyDescent="0.25">
      <c r="A266" t="s">
        <v>47</v>
      </c>
      <c r="B266" t="s">
        <v>0</v>
      </c>
      <c r="C266">
        <v>64</v>
      </c>
      <c r="D266">
        <v>225</v>
      </c>
      <c r="E266" s="9">
        <v>0.21238938053097345</v>
      </c>
      <c r="F266" s="9">
        <v>0.24670433145009416</v>
      </c>
      <c r="G266" s="9">
        <v>0.2440119760479042</v>
      </c>
    </row>
    <row r="267" spans="1:7" x14ac:dyDescent="0.25">
      <c r="A267" t="s">
        <v>47</v>
      </c>
      <c r="B267" t="s">
        <v>0</v>
      </c>
      <c r="C267">
        <v>64</v>
      </c>
      <c r="D267">
        <v>226</v>
      </c>
      <c r="E267" s="9">
        <v>0.21238938053097345</v>
      </c>
      <c r="F267" s="9">
        <v>0.24670433145009416</v>
      </c>
      <c r="G267" s="9">
        <v>0.2440119760479042</v>
      </c>
    </row>
    <row r="268" spans="1:7" x14ac:dyDescent="0.25">
      <c r="A268" t="s">
        <v>47</v>
      </c>
      <c r="B268" t="s">
        <v>0</v>
      </c>
      <c r="C268">
        <v>64</v>
      </c>
      <c r="D268">
        <v>227</v>
      </c>
      <c r="E268" s="9">
        <v>0.21238938053097345</v>
      </c>
      <c r="F268" s="9">
        <v>0.24670433145009416</v>
      </c>
      <c r="G268" s="9">
        <v>0.2440119760479042</v>
      </c>
    </row>
    <row r="269" spans="1:7" x14ac:dyDescent="0.25">
      <c r="A269" t="s">
        <v>47</v>
      </c>
      <c r="B269" t="s">
        <v>0</v>
      </c>
      <c r="C269">
        <v>64</v>
      </c>
      <c r="D269">
        <v>228</v>
      </c>
      <c r="E269" s="9">
        <v>0.21238938053097345</v>
      </c>
      <c r="F269" s="9">
        <v>0.24670433145009416</v>
      </c>
      <c r="G269" s="9">
        <v>0.2440119760479042</v>
      </c>
    </row>
    <row r="270" spans="1:7" x14ac:dyDescent="0.25">
      <c r="A270" t="s">
        <v>47</v>
      </c>
      <c r="B270" t="s">
        <v>0</v>
      </c>
      <c r="C270">
        <v>64</v>
      </c>
      <c r="D270">
        <v>229</v>
      </c>
      <c r="E270" s="9">
        <v>0.19940476190476192</v>
      </c>
      <c r="F270" s="9">
        <v>0.25178826895565093</v>
      </c>
      <c r="G270" s="9">
        <v>0.24306472919418759</v>
      </c>
    </row>
    <row r="271" spans="1:7" x14ac:dyDescent="0.25">
      <c r="A271" t="s">
        <v>47</v>
      </c>
      <c r="B271" t="s">
        <v>0</v>
      </c>
      <c r="C271">
        <v>64</v>
      </c>
      <c r="D271">
        <v>230</v>
      </c>
      <c r="E271" s="9">
        <v>0.19940476190476192</v>
      </c>
      <c r="F271" s="9">
        <v>0.25178826895565093</v>
      </c>
      <c r="G271" s="9">
        <v>0.24306472919418759</v>
      </c>
    </row>
    <row r="272" spans="1:7" x14ac:dyDescent="0.25">
      <c r="A272" t="s">
        <v>47</v>
      </c>
      <c r="B272" t="s">
        <v>0</v>
      </c>
      <c r="C272">
        <v>64</v>
      </c>
      <c r="D272">
        <v>231</v>
      </c>
      <c r="E272" s="9">
        <v>0.19940476190476192</v>
      </c>
      <c r="F272" s="9">
        <v>0.25178826895565093</v>
      </c>
      <c r="G272" s="9">
        <v>0.24306472919418759</v>
      </c>
    </row>
    <row r="273" spans="1:7" x14ac:dyDescent="0.25">
      <c r="A273" t="s">
        <v>47</v>
      </c>
      <c r="B273" t="s">
        <v>0</v>
      </c>
      <c r="C273">
        <v>64</v>
      </c>
      <c r="D273">
        <v>232</v>
      </c>
      <c r="E273" s="9">
        <v>0.19940476190476192</v>
      </c>
      <c r="F273" s="9">
        <v>0.25178826895565093</v>
      </c>
      <c r="G273" s="9">
        <v>0.24306472919418759</v>
      </c>
    </row>
    <row r="274" spans="1:7" x14ac:dyDescent="0.25">
      <c r="A274" t="s">
        <v>47</v>
      </c>
      <c r="B274" t="s">
        <v>0</v>
      </c>
      <c r="C274">
        <v>64</v>
      </c>
      <c r="D274">
        <v>233</v>
      </c>
      <c r="E274" s="9">
        <v>0.23031026252983294</v>
      </c>
      <c r="F274" s="9">
        <v>0.25032765399737877</v>
      </c>
      <c r="G274" s="9">
        <v>0.24022346368715083</v>
      </c>
    </row>
    <row r="275" spans="1:7" x14ac:dyDescent="0.25">
      <c r="A275" t="s">
        <v>47</v>
      </c>
      <c r="B275" t="s">
        <v>0</v>
      </c>
      <c r="C275">
        <v>64</v>
      </c>
      <c r="D275">
        <v>234</v>
      </c>
      <c r="E275" s="9">
        <v>0.23031026252983294</v>
      </c>
      <c r="F275" s="9">
        <v>0.25032765399737877</v>
      </c>
      <c r="G275" s="9">
        <v>0.24022346368715083</v>
      </c>
    </row>
    <row r="276" spans="1:7" x14ac:dyDescent="0.25">
      <c r="A276" t="s">
        <v>47</v>
      </c>
      <c r="B276" t="s">
        <v>0</v>
      </c>
      <c r="C276">
        <v>64</v>
      </c>
      <c r="D276">
        <v>235</v>
      </c>
      <c r="E276" s="9">
        <v>0.23031026252983294</v>
      </c>
      <c r="F276" s="9">
        <v>0.25032765399737877</v>
      </c>
      <c r="G276" s="9">
        <v>0.24022346368715083</v>
      </c>
    </row>
    <row r="277" spans="1:7" x14ac:dyDescent="0.25">
      <c r="A277" t="s">
        <v>47</v>
      </c>
      <c r="B277" t="s">
        <v>0</v>
      </c>
      <c r="C277">
        <v>64</v>
      </c>
      <c r="D277">
        <v>236</v>
      </c>
      <c r="E277" s="9">
        <v>0.23031026252983294</v>
      </c>
      <c r="F277" s="9">
        <v>0.25032765399737877</v>
      </c>
      <c r="G277" s="9">
        <v>0.24022346368715083</v>
      </c>
    </row>
    <row r="278" spans="1:7" x14ac:dyDescent="0.25">
      <c r="A278" t="s">
        <v>47</v>
      </c>
      <c r="B278" t="s">
        <v>0</v>
      </c>
      <c r="C278">
        <v>64</v>
      </c>
      <c r="D278">
        <v>237</v>
      </c>
      <c r="E278" s="9">
        <v>0.21359223300970873</v>
      </c>
      <c r="F278" s="9">
        <v>0.24634146341463414</v>
      </c>
      <c r="G278" s="9">
        <v>0.23706176961602671</v>
      </c>
    </row>
    <row r="279" spans="1:7" x14ac:dyDescent="0.25">
      <c r="A279" t="s">
        <v>47</v>
      </c>
      <c r="B279" t="s">
        <v>0</v>
      </c>
      <c r="C279">
        <v>64</v>
      </c>
      <c r="D279">
        <v>238</v>
      </c>
      <c r="E279" s="9">
        <v>0.21359223300970873</v>
      </c>
      <c r="F279" s="9">
        <v>0.24634146341463414</v>
      </c>
      <c r="G279" s="9">
        <v>0.23706176961602671</v>
      </c>
    </row>
    <row r="280" spans="1:7" x14ac:dyDescent="0.25">
      <c r="A280" t="s">
        <v>47</v>
      </c>
      <c r="B280" t="s">
        <v>0</v>
      </c>
      <c r="C280">
        <v>64</v>
      </c>
      <c r="D280">
        <v>239</v>
      </c>
      <c r="E280" s="9">
        <v>0.21359223300970873</v>
      </c>
      <c r="F280" s="9">
        <v>0.24634146341463414</v>
      </c>
      <c r="G280" s="9">
        <v>0.23706176961602671</v>
      </c>
    </row>
    <row r="281" spans="1:7" x14ac:dyDescent="0.25">
      <c r="A281" t="s">
        <v>47</v>
      </c>
      <c r="B281" t="s">
        <v>0</v>
      </c>
      <c r="C281">
        <v>64</v>
      </c>
      <c r="D281">
        <v>240</v>
      </c>
      <c r="E281" s="9">
        <v>0.21359223300970873</v>
      </c>
      <c r="F281" s="9">
        <v>0.24634146341463414</v>
      </c>
      <c r="G281" s="9">
        <v>0.23706176961602671</v>
      </c>
    </row>
    <row r="282" spans="1:7" x14ac:dyDescent="0.25">
      <c r="A282" t="s">
        <v>47</v>
      </c>
      <c r="B282" t="s">
        <v>0</v>
      </c>
      <c r="C282">
        <v>64</v>
      </c>
      <c r="D282">
        <v>241</v>
      </c>
      <c r="E282" s="9">
        <v>0.2087912087912088</v>
      </c>
      <c r="F282" s="9">
        <v>0.25992063492063494</v>
      </c>
      <c r="G282" s="9">
        <v>0.23790322580645162</v>
      </c>
    </row>
    <row r="283" spans="1:7" x14ac:dyDescent="0.25">
      <c r="A283" t="s">
        <v>47</v>
      </c>
      <c r="B283" t="s">
        <v>0</v>
      </c>
      <c r="C283">
        <v>64</v>
      </c>
      <c r="D283">
        <v>242</v>
      </c>
      <c r="E283" s="9">
        <v>0.2087912087912088</v>
      </c>
      <c r="F283" s="9">
        <v>0.25992063492063494</v>
      </c>
      <c r="G283" s="9">
        <v>0.23790322580645162</v>
      </c>
    </row>
    <row r="284" spans="1:7" x14ac:dyDescent="0.25">
      <c r="A284" t="s">
        <v>47</v>
      </c>
      <c r="B284" t="s">
        <v>0</v>
      </c>
      <c r="C284">
        <v>64</v>
      </c>
      <c r="D284">
        <v>243</v>
      </c>
      <c r="E284" s="9">
        <v>0.2087912087912088</v>
      </c>
      <c r="F284" s="9">
        <v>0.25992063492063494</v>
      </c>
      <c r="G284" s="9">
        <v>0.23790322580645162</v>
      </c>
    </row>
    <row r="285" spans="1:7" x14ac:dyDescent="0.25">
      <c r="A285" t="s">
        <v>47</v>
      </c>
      <c r="B285" t="s">
        <v>0</v>
      </c>
      <c r="C285">
        <v>64</v>
      </c>
      <c r="D285">
        <v>244</v>
      </c>
      <c r="E285" s="9">
        <v>0.2087912087912088</v>
      </c>
      <c r="F285" s="9">
        <v>0.25992063492063494</v>
      </c>
      <c r="G285" s="9">
        <v>0.23790322580645162</v>
      </c>
    </row>
    <row r="286" spans="1:7" x14ac:dyDescent="0.25">
      <c r="A286" t="s">
        <v>47</v>
      </c>
      <c r="B286" t="s">
        <v>0</v>
      </c>
      <c r="C286">
        <v>64</v>
      </c>
      <c r="D286">
        <v>245</v>
      </c>
      <c r="E286" s="9">
        <v>0.21983471074380165</v>
      </c>
      <c r="F286" s="9">
        <v>0.24919093851132687</v>
      </c>
      <c r="G286" s="9">
        <v>0.2391653290529695</v>
      </c>
    </row>
    <row r="287" spans="1:7" x14ac:dyDescent="0.25">
      <c r="A287" t="s">
        <v>47</v>
      </c>
      <c r="B287" t="s">
        <v>0</v>
      </c>
      <c r="C287">
        <v>64</v>
      </c>
      <c r="D287">
        <v>246</v>
      </c>
      <c r="E287" s="9">
        <v>0.21983471074380165</v>
      </c>
      <c r="F287" s="9">
        <v>0.24919093851132687</v>
      </c>
      <c r="G287" s="9">
        <v>0.2391653290529695</v>
      </c>
    </row>
    <row r="288" spans="1:7" x14ac:dyDescent="0.25">
      <c r="A288" t="s">
        <v>47</v>
      </c>
      <c r="B288" t="s">
        <v>0</v>
      </c>
      <c r="C288">
        <v>64</v>
      </c>
      <c r="D288">
        <v>247</v>
      </c>
      <c r="E288" s="9">
        <v>0.21983471074380165</v>
      </c>
      <c r="F288" s="9">
        <v>0.24919093851132687</v>
      </c>
      <c r="G288" s="9">
        <v>0.2391653290529695</v>
      </c>
    </row>
    <row r="289" spans="1:7" x14ac:dyDescent="0.25">
      <c r="A289" t="s">
        <v>47</v>
      </c>
      <c r="B289" t="s">
        <v>0</v>
      </c>
      <c r="C289">
        <v>64</v>
      </c>
      <c r="D289">
        <v>248</v>
      </c>
      <c r="E289" s="9">
        <v>0.21983471074380165</v>
      </c>
      <c r="F289" s="9">
        <v>0.24919093851132687</v>
      </c>
      <c r="G289" s="9">
        <v>0.2391653290529695</v>
      </c>
    </row>
    <row r="290" spans="1:7" x14ac:dyDescent="0.25">
      <c r="A290" t="s">
        <v>47</v>
      </c>
      <c r="B290" t="s">
        <v>0</v>
      </c>
      <c r="C290">
        <v>64</v>
      </c>
      <c r="D290">
        <v>301</v>
      </c>
      <c r="E290" s="9">
        <v>0.21232876712328766</v>
      </c>
      <c r="F290" s="9"/>
      <c r="G290" s="9">
        <v>0.2360248447204969</v>
      </c>
    </row>
    <row r="291" spans="1:7" x14ac:dyDescent="0.25">
      <c r="A291" t="s">
        <v>47</v>
      </c>
      <c r="B291" t="s">
        <v>0</v>
      </c>
      <c r="C291">
        <v>64</v>
      </c>
      <c r="D291">
        <v>302</v>
      </c>
      <c r="E291" s="9">
        <v>0.21232876712328766</v>
      </c>
      <c r="F291" s="9"/>
      <c r="G291" s="9">
        <v>0.2360248447204969</v>
      </c>
    </row>
    <row r="292" spans="1:7" x14ac:dyDescent="0.25">
      <c r="A292" t="s">
        <v>47</v>
      </c>
      <c r="B292" t="s">
        <v>0</v>
      </c>
      <c r="C292">
        <v>64</v>
      </c>
      <c r="D292">
        <v>303</v>
      </c>
      <c r="E292" s="9">
        <v>0.21232876712328766</v>
      </c>
      <c r="F292" s="9"/>
      <c r="G292" s="9">
        <v>0.2360248447204969</v>
      </c>
    </row>
    <row r="293" spans="1:7" x14ac:dyDescent="0.25">
      <c r="A293" t="s">
        <v>47</v>
      </c>
      <c r="B293" t="s">
        <v>0</v>
      </c>
      <c r="C293">
        <v>64</v>
      </c>
      <c r="D293">
        <v>304</v>
      </c>
      <c r="E293" s="9">
        <v>0.21232876712328766</v>
      </c>
      <c r="F293" s="9"/>
      <c r="G293" s="9">
        <v>0.2360248447204969</v>
      </c>
    </row>
    <row r="294" spans="1:7" x14ac:dyDescent="0.25">
      <c r="A294" t="s">
        <v>47</v>
      </c>
      <c r="B294" t="s">
        <v>0</v>
      </c>
      <c r="C294">
        <v>64</v>
      </c>
      <c r="D294">
        <v>305</v>
      </c>
      <c r="E294" s="9">
        <v>0.23276983094928477</v>
      </c>
      <c r="F294" s="9"/>
      <c r="G294" s="9">
        <v>0.22802197802197802</v>
      </c>
    </row>
    <row r="295" spans="1:7" x14ac:dyDescent="0.25">
      <c r="A295" t="s">
        <v>47</v>
      </c>
      <c r="B295" t="s">
        <v>0</v>
      </c>
      <c r="C295">
        <v>64</v>
      </c>
      <c r="D295">
        <v>306</v>
      </c>
      <c r="E295" s="9">
        <v>0.23276983094928477</v>
      </c>
      <c r="F295" s="9"/>
      <c r="G295" s="9">
        <v>0.22802197802197802</v>
      </c>
    </row>
    <row r="296" spans="1:7" x14ac:dyDescent="0.25">
      <c r="A296" t="s">
        <v>47</v>
      </c>
      <c r="B296" t="s">
        <v>0</v>
      </c>
      <c r="C296">
        <v>64</v>
      </c>
      <c r="D296">
        <v>307</v>
      </c>
      <c r="E296" s="9">
        <v>0.23276983094928477</v>
      </c>
      <c r="F296" s="9"/>
      <c r="G296" s="9">
        <v>0.22802197802197802</v>
      </c>
    </row>
    <row r="297" spans="1:7" x14ac:dyDescent="0.25">
      <c r="A297" t="s">
        <v>47</v>
      </c>
      <c r="B297" t="s">
        <v>0</v>
      </c>
      <c r="C297">
        <v>64</v>
      </c>
      <c r="D297">
        <v>308</v>
      </c>
      <c r="E297" s="9">
        <v>0.23276983094928477</v>
      </c>
      <c r="F297" s="9"/>
      <c r="G297" s="9">
        <v>0.22802197802197802</v>
      </c>
    </row>
    <row r="298" spans="1:7" x14ac:dyDescent="0.25">
      <c r="A298" t="s">
        <v>47</v>
      </c>
      <c r="B298" t="s">
        <v>0</v>
      </c>
      <c r="C298">
        <v>64</v>
      </c>
      <c r="D298">
        <v>309</v>
      </c>
      <c r="E298" s="9">
        <v>0.21837708830548927</v>
      </c>
      <c r="F298" s="9"/>
      <c r="G298" s="9">
        <v>0.2513089005235602</v>
      </c>
    </row>
    <row r="299" spans="1:7" x14ac:dyDescent="0.25">
      <c r="A299" t="s">
        <v>47</v>
      </c>
      <c r="B299" t="s">
        <v>0</v>
      </c>
      <c r="C299">
        <v>64</v>
      </c>
      <c r="D299">
        <v>310</v>
      </c>
      <c r="E299" s="9">
        <v>0.21837708830548927</v>
      </c>
      <c r="F299" s="9"/>
      <c r="G299" s="9">
        <v>0.2513089005235602</v>
      </c>
    </row>
    <row r="300" spans="1:7" x14ac:dyDescent="0.25">
      <c r="A300" t="s">
        <v>47</v>
      </c>
      <c r="B300" t="s">
        <v>0</v>
      </c>
      <c r="C300">
        <v>64</v>
      </c>
      <c r="D300">
        <v>311</v>
      </c>
      <c r="E300" s="9">
        <v>0.21837708830548927</v>
      </c>
      <c r="F300" s="9"/>
      <c r="G300" s="9">
        <v>0.2513089005235602</v>
      </c>
    </row>
    <row r="301" spans="1:7" x14ac:dyDescent="0.25">
      <c r="A301" t="s">
        <v>47</v>
      </c>
      <c r="B301" t="s">
        <v>0</v>
      </c>
      <c r="C301">
        <v>64</v>
      </c>
      <c r="D301">
        <v>312</v>
      </c>
      <c r="E301" s="9">
        <v>0.21837708830548927</v>
      </c>
      <c r="F301" s="9"/>
      <c r="G301" s="9">
        <v>0.2513089005235602</v>
      </c>
    </row>
    <row r="302" spans="1:7" x14ac:dyDescent="0.25">
      <c r="A302" t="s">
        <v>47</v>
      </c>
      <c r="B302" t="s">
        <v>0</v>
      </c>
      <c r="C302">
        <v>64</v>
      </c>
      <c r="D302">
        <v>313</v>
      </c>
      <c r="E302" s="9">
        <v>0.21588366890380314</v>
      </c>
      <c r="F302" s="9">
        <v>0.24670433145009416</v>
      </c>
      <c r="G302" s="9">
        <v>0.2282051282051282</v>
      </c>
    </row>
    <row r="303" spans="1:7" x14ac:dyDescent="0.25">
      <c r="A303" t="s">
        <v>47</v>
      </c>
      <c r="B303" t="s">
        <v>0</v>
      </c>
      <c r="C303">
        <v>64</v>
      </c>
      <c r="D303">
        <v>314</v>
      </c>
      <c r="E303" s="9">
        <v>0.21588366890380314</v>
      </c>
      <c r="F303" s="9">
        <v>0.24670433145009416</v>
      </c>
      <c r="G303" s="9">
        <v>0.2282051282051282</v>
      </c>
    </row>
    <row r="304" spans="1:7" x14ac:dyDescent="0.25">
      <c r="A304" t="s">
        <v>47</v>
      </c>
      <c r="B304" t="s">
        <v>0</v>
      </c>
      <c r="C304">
        <v>64</v>
      </c>
      <c r="D304">
        <v>315</v>
      </c>
      <c r="E304" s="9">
        <v>0.21588366890380314</v>
      </c>
      <c r="F304" s="9">
        <v>0.24670433145009416</v>
      </c>
      <c r="G304" s="9">
        <v>0.2282051282051282</v>
      </c>
    </row>
    <row r="305" spans="1:7" x14ac:dyDescent="0.25">
      <c r="A305" t="s">
        <v>47</v>
      </c>
      <c r="B305" t="s">
        <v>0</v>
      </c>
      <c r="C305">
        <v>64</v>
      </c>
      <c r="D305">
        <v>316</v>
      </c>
      <c r="E305" s="9">
        <v>0.21588366890380314</v>
      </c>
      <c r="F305" s="9">
        <v>0.24670433145009416</v>
      </c>
      <c r="G305" s="9">
        <v>0.2282051282051282</v>
      </c>
    </row>
    <row r="306" spans="1:7" x14ac:dyDescent="0.25">
      <c r="A306" t="s">
        <v>47</v>
      </c>
      <c r="B306" t="s">
        <v>0</v>
      </c>
      <c r="C306">
        <v>64</v>
      </c>
      <c r="D306">
        <v>317</v>
      </c>
      <c r="E306" s="9">
        <v>0.22411693057247259</v>
      </c>
      <c r="F306" s="9">
        <v>0.23280423280423279</v>
      </c>
      <c r="G306" s="9">
        <v>0.22046109510086456</v>
      </c>
    </row>
    <row r="307" spans="1:7" x14ac:dyDescent="0.25">
      <c r="A307" t="s">
        <v>47</v>
      </c>
      <c r="B307" t="s">
        <v>0</v>
      </c>
      <c r="C307">
        <v>64</v>
      </c>
      <c r="D307">
        <v>318</v>
      </c>
      <c r="E307" s="9">
        <v>0.22411693057247259</v>
      </c>
      <c r="F307" s="9">
        <v>0.23280423280423279</v>
      </c>
      <c r="G307" s="9">
        <v>0.22046109510086456</v>
      </c>
    </row>
    <row r="308" spans="1:7" x14ac:dyDescent="0.25">
      <c r="A308" t="s">
        <v>47</v>
      </c>
      <c r="B308" t="s">
        <v>0</v>
      </c>
      <c r="C308">
        <v>64</v>
      </c>
      <c r="D308">
        <v>319</v>
      </c>
      <c r="E308" s="9">
        <v>0.22411693057247259</v>
      </c>
      <c r="F308" s="9">
        <v>0.23280423280423279</v>
      </c>
      <c r="G308" s="9">
        <v>0.22046109510086456</v>
      </c>
    </row>
    <row r="309" spans="1:7" x14ac:dyDescent="0.25">
      <c r="A309" t="s">
        <v>47</v>
      </c>
      <c r="B309" t="s">
        <v>0</v>
      </c>
      <c r="C309">
        <v>64</v>
      </c>
      <c r="D309">
        <v>320</v>
      </c>
      <c r="E309" s="9">
        <v>0.22411693057247259</v>
      </c>
      <c r="F309" s="9">
        <v>0.23280423280423279</v>
      </c>
      <c r="G309" s="9">
        <v>0.22046109510086456</v>
      </c>
    </row>
    <row r="310" spans="1:7" x14ac:dyDescent="0.25">
      <c r="A310" t="s">
        <v>47</v>
      </c>
      <c r="B310" t="s">
        <v>0</v>
      </c>
      <c r="C310">
        <v>64</v>
      </c>
      <c r="D310">
        <v>321</v>
      </c>
      <c r="E310" s="9">
        <v>0.21932515337423314</v>
      </c>
      <c r="F310" s="9">
        <v>0.24292845257903495</v>
      </c>
      <c r="G310" s="9">
        <v>0.23620689655172414</v>
      </c>
    </row>
    <row r="311" spans="1:7" x14ac:dyDescent="0.25">
      <c r="A311" t="s">
        <v>47</v>
      </c>
      <c r="B311" t="s">
        <v>0</v>
      </c>
      <c r="C311">
        <v>64</v>
      </c>
      <c r="D311">
        <v>322</v>
      </c>
      <c r="E311" s="9">
        <v>0.21932515337423314</v>
      </c>
      <c r="F311" s="9">
        <v>0.24292845257903495</v>
      </c>
      <c r="G311" s="9">
        <v>0.23620689655172414</v>
      </c>
    </row>
    <row r="312" spans="1:7" x14ac:dyDescent="0.25">
      <c r="A312" t="s">
        <v>47</v>
      </c>
      <c r="B312" t="s">
        <v>0</v>
      </c>
      <c r="C312">
        <v>64</v>
      </c>
      <c r="D312">
        <v>323</v>
      </c>
      <c r="E312" s="9">
        <v>0.21932515337423314</v>
      </c>
      <c r="F312" s="9">
        <v>0.24292845257903495</v>
      </c>
      <c r="G312" s="9">
        <v>0.23620689655172414</v>
      </c>
    </row>
    <row r="313" spans="1:7" x14ac:dyDescent="0.25">
      <c r="A313" t="s">
        <v>47</v>
      </c>
      <c r="B313" t="s">
        <v>0</v>
      </c>
      <c r="C313">
        <v>64</v>
      </c>
      <c r="D313">
        <v>324</v>
      </c>
      <c r="E313" s="9">
        <v>0.21932515337423314</v>
      </c>
      <c r="F313" s="9">
        <v>0.24292845257903495</v>
      </c>
      <c r="G313" s="9">
        <v>0.23620689655172414</v>
      </c>
    </row>
    <row r="314" spans="1:7" x14ac:dyDescent="0.25">
      <c r="A314" t="s">
        <v>47</v>
      </c>
      <c r="B314" t="s">
        <v>0</v>
      </c>
      <c r="C314">
        <v>64</v>
      </c>
      <c r="D314">
        <v>325</v>
      </c>
      <c r="E314" s="9">
        <v>0.23474801061007958</v>
      </c>
      <c r="F314" s="9">
        <v>0.24504084014002334</v>
      </c>
      <c r="G314" s="9">
        <v>0.25127334465195245</v>
      </c>
    </row>
    <row r="315" spans="1:7" x14ac:dyDescent="0.25">
      <c r="A315" t="s">
        <v>47</v>
      </c>
      <c r="B315" t="s">
        <v>0</v>
      </c>
      <c r="C315">
        <v>64</v>
      </c>
      <c r="D315">
        <v>326</v>
      </c>
      <c r="E315" s="9">
        <v>0.23474801061007958</v>
      </c>
      <c r="F315" s="9">
        <v>0.24504084014002334</v>
      </c>
      <c r="G315" s="9">
        <v>0.25127334465195245</v>
      </c>
    </row>
    <row r="316" spans="1:7" x14ac:dyDescent="0.25">
      <c r="A316" t="s">
        <v>47</v>
      </c>
      <c r="B316" t="s">
        <v>0</v>
      </c>
      <c r="C316">
        <v>64</v>
      </c>
      <c r="D316">
        <v>327</v>
      </c>
      <c r="E316" s="9">
        <v>0.23474801061007958</v>
      </c>
      <c r="F316" s="9">
        <v>0.24504084014002334</v>
      </c>
      <c r="G316" s="9">
        <v>0.25127334465195245</v>
      </c>
    </row>
    <row r="317" spans="1:7" x14ac:dyDescent="0.25">
      <c r="A317" t="s">
        <v>47</v>
      </c>
      <c r="B317" t="s">
        <v>0</v>
      </c>
      <c r="C317">
        <v>64</v>
      </c>
      <c r="D317">
        <v>328</v>
      </c>
      <c r="E317" s="9">
        <v>0.23474801061007958</v>
      </c>
      <c r="F317" s="9">
        <v>0.24504084014002334</v>
      </c>
      <c r="G317" s="9">
        <v>0.25127334465195245</v>
      </c>
    </row>
    <row r="318" spans="1:7" x14ac:dyDescent="0.25">
      <c r="A318" t="s">
        <v>47</v>
      </c>
      <c r="B318" t="s">
        <v>0</v>
      </c>
      <c r="C318">
        <v>64</v>
      </c>
      <c r="D318">
        <v>329</v>
      </c>
      <c r="E318" s="9">
        <v>0.225752508361204</v>
      </c>
      <c r="F318" s="9">
        <v>0.23356009070294784</v>
      </c>
      <c r="G318" s="9">
        <v>0.23175182481751824</v>
      </c>
    </row>
    <row r="319" spans="1:7" x14ac:dyDescent="0.25">
      <c r="A319" t="s">
        <v>47</v>
      </c>
      <c r="B319" t="s">
        <v>0</v>
      </c>
      <c r="C319">
        <v>64</v>
      </c>
      <c r="D319">
        <v>330</v>
      </c>
      <c r="E319" s="9">
        <v>0.225752508361204</v>
      </c>
      <c r="F319" s="9">
        <v>0.23356009070294784</v>
      </c>
      <c r="G319" s="9">
        <v>0.23175182481751824</v>
      </c>
    </row>
    <row r="320" spans="1:7" x14ac:dyDescent="0.25">
      <c r="A320" t="s">
        <v>47</v>
      </c>
      <c r="B320" t="s">
        <v>0</v>
      </c>
      <c r="C320">
        <v>64</v>
      </c>
      <c r="D320">
        <v>331</v>
      </c>
      <c r="E320" s="9">
        <v>0.225752508361204</v>
      </c>
      <c r="F320" s="9">
        <v>0.23356009070294784</v>
      </c>
      <c r="G320" s="9">
        <v>0.23175182481751824</v>
      </c>
    </row>
    <row r="321" spans="1:7" x14ac:dyDescent="0.25">
      <c r="A321" t="s">
        <v>47</v>
      </c>
      <c r="B321" t="s">
        <v>0</v>
      </c>
      <c r="C321">
        <v>64</v>
      </c>
      <c r="D321">
        <v>332</v>
      </c>
      <c r="E321" s="9">
        <v>0.225752508361204</v>
      </c>
      <c r="F321" s="9">
        <v>0.23356009070294784</v>
      </c>
      <c r="G321" s="9">
        <v>0.23175182481751824</v>
      </c>
    </row>
    <row r="322" spans="1:7" x14ac:dyDescent="0.25">
      <c r="A322" t="s">
        <v>47</v>
      </c>
      <c r="B322" t="s">
        <v>0</v>
      </c>
      <c r="C322">
        <v>64</v>
      </c>
      <c r="D322">
        <v>333</v>
      </c>
      <c r="E322" s="9">
        <v>0.2257617728531856</v>
      </c>
      <c r="F322" s="9">
        <v>0.26417910447761195</v>
      </c>
      <c r="G322" s="9">
        <v>0.23102866779089376</v>
      </c>
    </row>
    <row r="323" spans="1:7" x14ac:dyDescent="0.25">
      <c r="A323" t="s">
        <v>47</v>
      </c>
      <c r="B323" t="s">
        <v>0</v>
      </c>
      <c r="C323">
        <v>64</v>
      </c>
      <c r="D323">
        <v>334</v>
      </c>
      <c r="E323" s="9">
        <v>0.2257617728531856</v>
      </c>
      <c r="F323" s="9">
        <v>0.26417910447761195</v>
      </c>
      <c r="G323" s="9">
        <v>0.23102866779089376</v>
      </c>
    </row>
    <row r="324" spans="1:7" x14ac:dyDescent="0.25">
      <c r="A324" t="s">
        <v>47</v>
      </c>
      <c r="B324" t="s">
        <v>0</v>
      </c>
      <c r="C324">
        <v>64</v>
      </c>
      <c r="D324">
        <v>335</v>
      </c>
      <c r="E324" s="9">
        <v>0.2257617728531856</v>
      </c>
      <c r="F324" s="9">
        <v>0.26417910447761195</v>
      </c>
      <c r="G324" s="9">
        <v>0.23102866779089376</v>
      </c>
    </row>
    <row r="325" spans="1:7" x14ac:dyDescent="0.25">
      <c r="A325" t="s">
        <v>47</v>
      </c>
      <c r="B325" t="s">
        <v>0</v>
      </c>
      <c r="C325">
        <v>64</v>
      </c>
      <c r="D325">
        <v>336</v>
      </c>
      <c r="E325" s="9">
        <v>0.2257617728531856</v>
      </c>
      <c r="F325" s="9">
        <v>0.26417910447761195</v>
      </c>
      <c r="G325" s="9">
        <v>0.23102866779089376</v>
      </c>
    </row>
    <row r="326" spans="1:7" x14ac:dyDescent="0.25">
      <c r="A326" t="s">
        <v>47</v>
      </c>
      <c r="B326" t="s">
        <v>0</v>
      </c>
      <c r="C326">
        <v>64</v>
      </c>
      <c r="D326">
        <v>337</v>
      </c>
      <c r="E326" s="9">
        <v>0.22249093107617895</v>
      </c>
      <c r="F326" s="9">
        <v>0.23781676413255359</v>
      </c>
      <c r="G326" s="9">
        <v>0.2413793103448276</v>
      </c>
    </row>
    <row r="327" spans="1:7" x14ac:dyDescent="0.25">
      <c r="A327" t="s">
        <v>47</v>
      </c>
      <c r="B327" t="s">
        <v>0</v>
      </c>
      <c r="C327">
        <v>64</v>
      </c>
      <c r="D327">
        <v>338</v>
      </c>
      <c r="E327" s="9">
        <v>0.22249093107617895</v>
      </c>
      <c r="F327" s="9">
        <v>0.23781676413255359</v>
      </c>
      <c r="G327" s="9">
        <v>0.2413793103448276</v>
      </c>
    </row>
    <row r="328" spans="1:7" x14ac:dyDescent="0.25">
      <c r="A328" t="s">
        <v>47</v>
      </c>
      <c r="B328" t="s">
        <v>0</v>
      </c>
      <c r="C328">
        <v>64</v>
      </c>
      <c r="D328">
        <v>339</v>
      </c>
      <c r="E328" s="9">
        <v>0.22249093107617895</v>
      </c>
      <c r="F328" s="9">
        <v>0.23781676413255359</v>
      </c>
      <c r="G328" s="9">
        <v>0.2413793103448276</v>
      </c>
    </row>
    <row r="329" spans="1:7" x14ac:dyDescent="0.25">
      <c r="A329" t="s">
        <v>47</v>
      </c>
      <c r="B329" t="s">
        <v>0</v>
      </c>
      <c r="C329">
        <v>64</v>
      </c>
      <c r="D329">
        <v>340</v>
      </c>
      <c r="E329" s="9">
        <v>0.22249093107617895</v>
      </c>
      <c r="F329" s="9">
        <v>0.23781676413255359</v>
      </c>
      <c r="G329" s="9">
        <v>0.2413793103448276</v>
      </c>
    </row>
    <row r="330" spans="1:7" x14ac:dyDescent="0.25">
      <c r="A330" t="s">
        <v>47</v>
      </c>
      <c r="B330" t="s">
        <v>0</v>
      </c>
      <c r="C330">
        <v>64</v>
      </c>
      <c r="D330">
        <v>341</v>
      </c>
      <c r="E330" s="9">
        <v>0.2132768361581921</v>
      </c>
      <c r="F330" s="9">
        <v>0.23962516733601072</v>
      </c>
      <c r="G330" s="9">
        <v>0.24221453287197231</v>
      </c>
    </row>
    <row r="331" spans="1:7" x14ac:dyDescent="0.25">
      <c r="A331" t="s">
        <v>47</v>
      </c>
      <c r="B331" t="s">
        <v>0</v>
      </c>
      <c r="C331">
        <v>64</v>
      </c>
      <c r="D331">
        <v>342</v>
      </c>
      <c r="E331" s="9">
        <v>0.2132768361581921</v>
      </c>
      <c r="F331" s="9">
        <v>0.23962516733601072</v>
      </c>
      <c r="G331" s="9">
        <v>0.24221453287197231</v>
      </c>
    </row>
    <row r="332" spans="1:7" x14ac:dyDescent="0.25">
      <c r="A332" t="s">
        <v>47</v>
      </c>
      <c r="B332" t="s">
        <v>0</v>
      </c>
      <c r="C332">
        <v>64</v>
      </c>
      <c r="D332">
        <v>343</v>
      </c>
      <c r="E332" s="9">
        <v>0.2132768361581921</v>
      </c>
      <c r="F332" s="9">
        <v>0.23962516733601072</v>
      </c>
      <c r="G332" s="9">
        <v>0.24221453287197231</v>
      </c>
    </row>
    <row r="333" spans="1:7" x14ac:dyDescent="0.25">
      <c r="A333" t="s">
        <v>47</v>
      </c>
      <c r="B333" t="s">
        <v>0</v>
      </c>
      <c r="C333">
        <v>64</v>
      </c>
      <c r="D333">
        <v>344</v>
      </c>
      <c r="E333" s="9">
        <v>0.2132768361581921</v>
      </c>
      <c r="F333" s="9">
        <v>0.23962516733601072</v>
      </c>
      <c r="G333" s="9">
        <v>0.24221453287197231</v>
      </c>
    </row>
    <row r="334" spans="1:7" x14ac:dyDescent="0.25">
      <c r="A334" t="s">
        <v>47</v>
      </c>
      <c r="B334" t="s">
        <v>0</v>
      </c>
      <c r="C334">
        <v>64</v>
      </c>
      <c r="D334">
        <v>345</v>
      </c>
      <c r="E334" s="9">
        <v>0.23333333333333334</v>
      </c>
      <c r="F334" s="9">
        <v>0.24960753532182103</v>
      </c>
      <c r="G334" s="9">
        <v>0.23281250000000001</v>
      </c>
    </row>
    <row r="335" spans="1:7" x14ac:dyDescent="0.25">
      <c r="A335" t="s">
        <v>47</v>
      </c>
      <c r="B335" t="s">
        <v>0</v>
      </c>
      <c r="C335">
        <v>64</v>
      </c>
      <c r="D335">
        <v>346</v>
      </c>
      <c r="E335" s="9">
        <v>0.23333333333333334</v>
      </c>
      <c r="F335" s="9">
        <v>0.24960753532182103</v>
      </c>
      <c r="G335" s="9">
        <v>0.23281250000000001</v>
      </c>
    </row>
    <row r="336" spans="1:7" x14ac:dyDescent="0.25">
      <c r="A336" t="s">
        <v>47</v>
      </c>
      <c r="B336" t="s">
        <v>0</v>
      </c>
      <c r="C336">
        <v>64</v>
      </c>
      <c r="D336">
        <v>347</v>
      </c>
      <c r="E336" s="9">
        <v>0.23333333333333334</v>
      </c>
      <c r="F336" s="9">
        <v>0.24960753532182103</v>
      </c>
      <c r="G336" s="9">
        <v>0.23281250000000001</v>
      </c>
    </row>
    <row r="337" spans="1:7" x14ac:dyDescent="0.25">
      <c r="A337" t="s">
        <v>47</v>
      </c>
      <c r="B337" t="s">
        <v>0</v>
      </c>
      <c r="C337">
        <v>64</v>
      </c>
      <c r="D337">
        <v>348</v>
      </c>
      <c r="E337" s="9">
        <v>0.23333333333333334</v>
      </c>
      <c r="F337" s="9">
        <v>0.24960753532182103</v>
      </c>
      <c r="G337" s="9">
        <v>0.23281250000000001</v>
      </c>
    </row>
    <row r="338" spans="1:7" x14ac:dyDescent="0.25">
      <c r="A338" t="s">
        <v>47</v>
      </c>
      <c r="B338" t="s">
        <v>0</v>
      </c>
      <c r="C338">
        <v>64</v>
      </c>
      <c r="D338">
        <v>401</v>
      </c>
      <c r="E338" s="9">
        <v>0.23010752688172043</v>
      </c>
      <c r="F338" s="9"/>
      <c r="G338" s="9">
        <v>0.21615949632738721</v>
      </c>
    </row>
    <row r="339" spans="1:7" x14ac:dyDescent="0.25">
      <c r="A339" t="s">
        <v>47</v>
      </c>
      <c r="B339" t="s">
        <v>0</v>
      </c>
      <c r="C339">
        <v>64</v>
      </c>
      <c r="D339">
        <v>402</v>
      </c>
      <c r="E339" s="9">
        <v>0.23010752688172043</v>
      </c>
      <c r="F339" s="9"/>
      <c r="G339" s="9">
        <v>0.21615949632738721</v>
      </c>
    </row>
    <row r="340" spans="1:7" x14ac:dyDescent="0.25">
      <c r="A340" t="s">
        <v>47</v>
      </c>
      <c r="B340" t="s">
        <v>0</v>
      </c>
      <c r="C340">
        <v>64</v>
      </c>
      <c r="D340">
        <v>403</v>
      </c>
      <c r="E340" s="9">
        <v>0.23010752688172043</v>
      </c>
      <c r="F340" s="9"/>
      <c r="G340" s="9">
        <v>0.21615949632738721</v>
      </c>
    </row>
    <row r="341" spans="1:7" x14ac:dyDescent="0.25">
      <c r="A341" t="s">
        <v>47</v>
      </c>
      <c r="B341" t="s">
        <v>0</v>
      </c>
      <c r="C341">
        <v>64</v>
      </c>
      <c r="D341">
        <v>404</v>
      </c>
      <c r="E341" s="9">
        <v>0.23010752688172043</v>
      </c>
      <c r="F341" s="9"/>
      <c r="G341" s="9">
        <v>0.21615949632738721</v>
      </c>
    </row>
    <row r="342" spans="1:7" x14ac:dyDescent="0.25">
      <c r="A342" t="s">
        <v>47</v>
      </c>
      <c r="B342" t="s">
        <v>0</v>
      </c>
      <c r="C342">
        <v>64</v>
      </c>
      <c r="D342">
        <v>405</v>
      </c>
      <c r="E342" s="9">
        <v>0.20135363790186125</v>
      </c>
      <c r="F342" s="9"/>
      <c r="G342" s="9">
        <v>0.21299638989169675</v>
      </c>
    </row>
    <row r="343" spans="1:7" x14ac:dyDescent="0.25">
      <c r="A343" t="s">
        <v>47</v>
      </c>
      <c r="B343" t="s">
        <v>0</v>
      </c>
      <c r="C343">
        <v>64</v>
      </c>
      <c r="D343">
        <v>406</v>
      </c>
      <c r="E343" s="9">
        <v>0.20135363790186125</v>
      </c>
      <c r="F343" s="9"/>
      <c r="G343" s="9">
        <v>0.21299638989169675</v>
      </c>
    </row>
    <row r="344" spans="1:7" x14ac:dyDescent="0.25">
      <c r="A344" t="s">
        <v>47</v>
      </c>
      <c r="B344" t="s">
        <v>0</v>
      </c>
      <c r="C344">
        <v>64</v>
      </c>
      <c r="D344">
        <v>407</v>
      </c>
      <c r="E344" s="9">
        <v>0.20135363790186125</v>
      </c>
      <c r="F344" s="9"/>
      <c r="G344" s="9">
        <v>0.21299638989169675</v>
      </c>
    </row>
    <row r="345" spans="1:7" x14ac:dyDescent="0.25">
      <c r="A345" t="s">
        <v>47</v>
      </c>
      <c r="B345" t="s">
        <v>0</v>
      </c>
      <c r="C345">
        <v>64</v>
      </c>
      <c r="D345">
        <v>408</v>
      </c>
      <c r="E345" s="9">
        <v>0.20135363790186125</v>
      </c>
      <c r="F345" s="9"/>
      <c r="G345" s="9">
        <v>0.21299638989169675</v>
      </c>
    </row>
    <row r="346" spans="1:7" x14ac:dyDescent="0.25">
      <c r="A346" t="s">
        <v>47</v>
      </c>
      <c r="B346" t="s">
        <v>0</v>
      </c>
      <c r="C346">
        <v>64</v>
      </c>
      <c r="D346">
        <v>409</v>
      </c>
      <c r="E346" s="9">
        <v>0.21282401091405184</v>
      </c>
      <c r="F346" s="9"/>
      <c r="G346" s="9">
        <v>0.2389937106918239</v>
      </c>
    </row>
    <row r="347" spans="1:7" x14ac:dyDescent="0.25">
      <c r="A347" t="s">
        <v>47</v>
      </c>
      <c r="B347" t="s">
        <v>0</v>
      </c>
      <c r="C347">
        <v>64</v>
      </c>
      <c r="D347">
        <v>410</v>
      </c>
      <c r="E347" s="9">
        <v>0.21282401091405184</v>
      </c>
      <c r="F347" s="9"/>
      <c r="G347" s="9">
        <v>0.2389937106918239</v>
      </c>
    </row>
    <row r="348" spans="1:7" x14ac:dyDescent="0.25">
      <c r="A348" t="s">
        <v>47</v>
      </c>
      <c r="B348" t="s">
        <v>0</v>
      </c>
      <c r="C348">
        <v>64</v>
      </c>
      <c r="D348">
        <v>411</v>
      </c>
      <c r="E348" s="9">
        <v>0.21282401091405184</v>
      </c>
      <c r="F348" s="9"/>
      <c r="G348" s="9">
        <v>0.2389937106918239</v>
      </c>
    </row>
    <row r="349" spans="1:7" x14ac:dyDescent="0.25">
      <c r="A349" t="s">
        <v>47</v>
      </c>
      <c r="B349" t="s">
        <v>0</v>
      </c>
      <c r="C349">
        <v>64</v>
      </c>
      <c r="D349">
        <v>412</v>
      </c>
      <c r="E349" s="9">
        <v>0.21282401091405184</v>
      </c>
      <c r="F349" s="9"/>
      <c r="G349" s="9">
        <v>0.2389937106918239</v>
      </c>
    </row>
    <row r="350" spans="1:7" x14ac:dyDescent="0.25">
      <c r="A350" t="s">
        <v>47</v>
      </c>
      <c r="B350" t="s">
        <v>0</v>
      </c>
      <c r="C350">
        <v>64</v>
      </c>
      <c r="D350">
        <v>413</v>
      </c>
      <c r="E350" s="9">
        <v>0.21190130624092887</v>
      </c>
      <c r="F350" s="9">
        <v>0.25852272727272729</v>
      </c>
      <c r="G350" s="9">
        <v>0.21750321750321749</v>
      </c>
    </row>
    <row r="351" spans="1:7" x14ac:dyDescent="0.25">
      <c r="A351" t="s">
        <v>47</v>
      </c>
      <c r="B351" t="s">
        <v>0</v>
      </c>
      <c r="C351">
        <v>64</v>
      </c>
      <c r="D351">
        <v>414</v>
      </c>
      <c r="E351" s="9">
        <v>0.21190130624092887</v>
      </c>
      <c r="F351" s="9">
        <v>0.25852272727272729</v>
      </c>
      <c r="G351" s="9">
        <v>0.21750321750321749</v>
      </c>
    </row>
    <row r="352" spans="1:7" x14ac:dyDescent="0.25">
      <c r="A352" t="s">
        <v>47</v>
      </c>
      <c r="B352" t="s">
        <v>0</v>
      </c>
      <c r="C352">
        <v>64</v>
      </c>
      <c r="D352">
        <v>415</v>
      </c>
      <c r="E352" s="9">
        <v>0.21190130624092887</v>
      </c>
      <c r="F352" s="9">
        <v>0.25852272727272729</v>
      </c>
      <c r="G352" s="9">
        <v>0.21750321750321749</v>
      </c>
    </row>
    <row r="353" spans="1:7" x14ac:dyDescent="0.25">
      <c r="A353" t="s">
        <v>47</v>
      </c>
      <c r="B353" t="s">
        <v>0</v>
      </c>
      <c r="C353">
        <v>64</v>
      </c>
      <c r="D353">
        <v>416</v>
      </c>
      <c r="E353" s="9">
        <v>0.21190130624092887</v>
      </c>
      <c r="F353" s="9">
        <v>0.25852272727272729</v>
      </c>
      <c r="G353" s="9">
        <v>0.21750321750321749</v>
      </c>
    </row>
    <row r="354" spans="1:7" x14ac:dyDescent="0.25">
      <c r="A354" t="s">
        <v>47</v>
      </c>
      <c r="B354" t="s">
        <v>0</v>
      </c>
      <c r="C354">
        <v>64</v>
      </c>
      <c r="D354">
        <v>417</v>
      </c>
      <c r="E354" s="9">
        <v>0.21858638743455497</v>
      </c>
      <c r="F354" s="9">
        <v>0.25078864353312302</v>
      </c>
      <c r="G354" s="9">
        <v>0.22068965517241379</v>
      </c>
    </row>
    <row r="355" spans="1:7" x14ac:dyDescent="0.25">
      <c r="A355" t="s">
        <v>47</v>
      </c>
      <c r="B355" t="s">
        <v>0</v>
      </c>
      <c r="C355">
        <v>64</v>
      </c>
      <c r="D355">
        <v>418</v>
      </c>
      <c r="E355" s="9">
        <v>0.21858638743455497</v>
      </c>
      <c r="F355" s="9">
        <v>0.25078864353312302</v>
      </c>
      <c r="G355" s="9">
        <v>0.22068965517241379</v>
      </c>
    </row>
    <row r="356" spans="1:7" x14ac:dyDescent="0.25">
      <c r="A356" t="s">
        <v>47</v>
      </c>
      <c r="B356" t="s">
        <v>0</v>
      </c>
      <c r="C356">
        <v>64</v>
      </c>
      <c r="D356">
        <v>419</v>
      </c>
      <c r="E356" s="9">
        <v>0.21858638743455497</v>
      </c>
      <c r="F356" s="9">
        <v>0.25078864353312302</v>
      </c>
      <c r="G356" s="9">
        <v>0.22068965517241379</v>
      </c>
    </row>
    <row r="357" spans="1:7" x14ac:dyDescent="0.25">
      <c r="A357" t="s">
        <v>47</v>
      </c>
      <c r="B357" t="s">
        <v>0</v>
      </c>
      <c r="C357">
        <v>64</v>
      </c>
      <c r="D357">
        <v>420</v>
      </c>
      <c r="E357" s="9">
        <v>0.21858638743455497</v>
      </c>
      <c r="F357" s="9">
        <v>0.25078864353312302</v>
      </c>
      <c r="G357" s="9">
        <v>0.22068965517241379</v>
      </c>
    </row>
    <row r="358" spans="1:7" x14ac:dyDescent="0.25">
      <c r="A358" t="s">
        <v>47</v>
      </c>
      <c r="B358" t="s">
        <v>0</v>
      </c>
      <c r="C358">
        <v>64</v>
      </c>
      <c r="D358">
        <v>421</v>
      </c>
      <c r="E358" s="9">
        <v>0.21772151898734177</v>
      </c>
      <c r="F358" s="9">
        <v>0.24462809917355371</v>
      </c>
      <c r="G358" s="9">
        <v>0.2283464566929134</v>
      </c>
    </row>
    <row r="359" spans="1:7" x14ac:dyDescent="0.25">
      <c r="A359" t="s">
        <v>47</v>
      </c>
      <c r="B359" t="s">
        <v>0</v>
      </c>
      <c r="C359">
        <v>64</v>
      </c>
      <c r="D359">
        <v>422</v>
      </c>
      <c r="E359" s="9">
        <v>0.21772151898734177</v>
      </c>
      <c r="F359" s="9">
        <v>0.24462809917355371</v>
      </c>
      <c r="G359" s="9">
        <v>0.2283464566929134</v>
      </c>
    </row>
    <row r="360" spans="1:7" x14ac:dyDescent="0.25">
      <c r="A360" t="s">
        <v>47</v>
      </c>
      <c r="B360" t="s">
        <v>0</v>
      </c>
      <c r="C360">
        <v>64</v>
      </c>
      <c r="D360">
        <v>423</v>
      </c>
      <c r="E360" s="9">
        <v>0.21772151898734177</v>
      </c>
      <c r="F360" s="9">
        <v>0.24462809917355371</v>
      </c>
      <c r="G360" s="9">
        <v>0.2283464566929134</v>
      </c>
    </row>
    <row r="361" spans="1:7" x14ac:dyDescent="0.25">
      <c r="A361" t="s">
        <v>47</v>
      </c>
      <c r="B361" t="s">
        <v>0</v>
      </c>
      <c r="C361">
        <v>64</v>
      </c>
      <c r="D361">
        <v>424</v>
      </c>
      <c r="E361" s="9">
        <v>0.21772151898734177</v>
      </c>
      <c r="F361" s="9">
        <v>0.24462809917355371</v>
      </c>
      <c r="G361" s="9">
        <v>0.2283464566929134</v>
      </c>
    </row>
    <row r="362" spans="1:7" x14ac:dyDescent="0.25">
      <c r="A362" t="s">
        <v>47</v>
      </c>
      <c r="B362" t="s">
        <v>0</v>
      </c>
      <c r="C362">
        <v>64</v>
      </c>
      <c r="D362">
        <v>425</v>
      </c>
      <c r="E362" s="9">
        <v>0.21846153846153846</v>
      </c>
      <c r="F362" s="9">
        <v>0.25113464447806355</v>
      </c>
      <c r="G362" s="9">
        <v>0.23529411764705882</v>
      </c>
    </row>
    <row r="363" spans="1:7" x14ac:dyDescent="0.25">
      <c r="A363" t="s">
        <v>47</v>
      </c>
      <c r="B363" t="s">
        <v>0</v>
      </c>
      <c r="C363">
        <v>64</v>
      </c>
      <c r="D363">
        <v>426</v>
      </c>
      <c r="E363" s="9">
        <v>0.21846153846153846</v>
      </c>
      <c r="F363" s="9">
        <v>0.25113464447806355</v>
      </c>
      <c r="G363" s="9">
        <v>0.23529411764705882</v>
      </c>
    </row>
    <row r="364" spans="1:7" x14ac:dyDescent="0.25">
      <c r="A364" t="s">
        <v>47</v>
      </c>
      <c r="B364" t="s">
        <v>0</v>
      </c>
      <c r="C364">
        <v>64</v>
      </c>
      <c r="D364">
        <v>427</v>
      </c>
      <c r="E364" s="9">
        <v>0.21846153846153846</v>
      </c>
      <c r="F364" s="9">
        <v>0.25113464447806355</v>
      </c>
      <c r="G364" s="9">
        <v>0.23529411764705882</v>
      </c>
    </row>
    <row r="365" spans="1:7" x14ac:dyDescent="0.25">
      <c r="A365" t="s">
        <v>47</v>
      </c>
      <c r="B365" t="s">
        <v>0</v>
      </c>
      <c r="C365">
        <v>64</v>
      </c>
      <c r="D365">
        <v>428</v>
      </c>
      <c r="E365" s="9">
        <v>0.21846153846153846</v>
      </c>
      <c r="F365" s="9">
        <v>0.25113464447806355</v>
      </c>
      <c r="G365" s="9">
        <v>0.23529411764705882</v>
      </c>
    </row>
    <row r="366" spans="1:7" x14ac:dyDescent="0.25">
      <c r="A366" t="s">
        <v>47</v>
      </c>
      <c r="B366" t="s">
        <v>0</v>
      </c>
      <c r="C366">
        <v>64</v>
      </c>
      <c r="D366">
        <v>429</v>
      </c>
      <c r="E366" s="9">
        <v>0.2292418772563177</v>
      </c>
      <c r="F366" s="9">
        <v>0.26027397260273971</v>
      </c>
      <c r="G366" s="9">
        <v>0.2288488210818308</v>
      </c>
    </row>
    <row r="367" spans="1:7" x14ac:dyDescent="0.25">
      <c r="A367" t="s">
        <v>47</v>
      </c>
      <c r="B367" t="s">
        <v>0</v>
      </c>
      <c r="C367">
        <v>64</v>
      </c>
      <c r="D367">
        <v>430</v>
      </c>
      <c r="E367" s="9">
        <v>0.2292418772563177</v>
      </c>
      <c r="F367" s="9">
        <v>0.26027397260273971</v>
      </c>
      <c r="G367" s="9">
        <v>0.2288488210818308</v>
      </c>
    </row>
    <row r="368" spans="1:7" x14ac:dyDescent="0.25">
      <c r="A368" t="s">
        <v>47</v>
      </c>
      <c r="B368" t="s">
        <v>0</v>
      </c>
      <c r="C368">
        <v>64</v>
      </c>
      <c r="D368">
        <v>431</v>
      </c>
      <c r="E368" s="9">
        <v>0.2292418772563177</v>
      </c>
      <c r="F368" s="9">
        <v>0.26027397260273971</v>
      </c>
      <c r="G368" s="9">
        <v>0.2288488210818308</v>
      </c>
    </row>
    <row r="369" spans="1:7" x14ac:dyDescent="0.25">
      <c r="A369" t="s">
        <v>47</v>
      </c>
      <c r="B369" t="s">
        <v>0</v>
      </c>
      <c r="C369">
        <v>64</v>
      </c>
      <c r="D369">
        <v>432</v>
      </c>
      <c r="E369" s="9">
        <v>0.2292418772563177</v>
      </c>
      <c r="F369" s="9">
        <v>0.26027397260273971</v>
      </c>
      <c r="G369" s="9">
        <v>0.2288488210818308</v>
      </c>
    </row>
    <row r="370" spans="1:7" x14ac:dyDescent="0.25">
      <c r="A370" t="s">
        <v>47</v>
      </c>
      <c r="B370" t="s">
        <v>0</v>
      </c>
      <c r="C370">
        <v>64</v>
      </c>
      <c r="D370">
        <v>433</v>
      </c>
      <c r="E370" s="9">
        <v>0.22767295597484277</v>
      </c>
      <c r="F370" s="9">
        <v>0.25844930417495032</v>
      </c>
      <c r="G370" s="9">
        <v>0.23792270531400966</v>
      </c>
    </row>
    <row r="371" spans="1:7" x14ac:dyDescent="0.25">
      <c r="A371" t="s">
        <v>47</v>
      </c>
      <c r="B371" t="s">
        <v>0</v>
      </c>
      <c r="C371">
        <v>64</v>
      </c>
      <c r="D371">
        <v>434</v>
      </c>
      <c r="E371" s="9">
        <v>0.22767295597484277</v>
      </c>
      <c r="F371" s="9">
        <v>0.25844930417495032</v>
      </c>
      <c r="G371" s="9">
        <v>0.23792270531400966</v>
      </c>
    </row>
    <row r="372" spans="1:7" x14ac:dyDescent="0.25">
      <c r="A372" t="s">
        <v>47</v>
      </c>
      <c r="B372" t="s">
        <v>0</v>
      </c>
      <c r="C372">
        <v>64</v>
      </c>
      <c r="D372">
        <v>435</v>
      </c>
      <c r="E372" s="9">
        <v>0.22767295597484277</v>
      </c>
      <c r="F372" s="9">
        <v>0.25844930417495032</v>
      </c>
      <c r="G372" s="9">
        <v>0.23792270531400966</v>
      </c>
    </row>
    <row r="373" spans="1:7" x14ac:dyDescent="0.25">
      <c r="A373" t="s">
        <v>47</v>
      </c>
      <c r="B373" t="s">
        <v>0</v>
      </c>
      <c r="C373">
        <v>64</v>
      </c>
      <c r="D373">
        <v>436</v>
      </c>
      <c r="E373" s="9">
        <v>0.22767295597484277</v>
      </c>
      <c r="F373" s="9">
        <v>0.25844930417495032</v>
      </c>
      <c r="G373" s="9">
        <v>0.23792270531400966</v>
      </c>
    </row>
    <row r="374" spans="1:7" x14ac:dyDescent="0.25">
      <c r="A374" t="s">
        <v>47</v>
      </c>
      <c r="B374" t="s">
        <v>0</v>
      </c>
      <c r="C374">
        <v>64</v>
      </c>
      <c r="D374">
        <v>437</v>
      </c>
      <c r="E374" s="9">
        <v>0.23502304147465439</v>
      </c>
      <c r="F374" s="9">
        <v>0.2560747663551402</v>
      </c>
      <c r="G374" s="9">
        <v>0.22727272727272727</v>
      </c>
    </row>
    <row r="375" spans="1:7" x14ac:dyDescent="0.25">
      <c r="A375" t="s">
        <v>47</v>
      </c>
      <c r="B375" t="s">
        <v>0</v>
      </c>
      <c r="C375">
        <v>64</v>
      </c>
      <c r="D375">
        <v>438</v>
      </c>
      <c r="E375" s="9">
        <v>0.23502304147465439</v>
      </c>
      <c r="F375" s="9">
        <v>0.2560747663551402</v>
      </c>
      <c r="G375" s="9">
        <v>0.22727272727272727</v>
      </c>
    </row>
    <row r="376" spans="1:7" x14ac:dyDescent="0.25">
      <c r="A376" t="s">
        <v>47</v>
      </c>
      <c r="B376" t="s">
        <v>0</v>
      </c>
      <c r="C376">
        <v>64</v>
      </c>
      <c r="D376">
        <v>439</v>
      </c>
      <c r="E376" s="9">
        <v>0.23502304147465439</v>
      </c>
      <c r="F376" s="9">
        <v>0.2560747663551402</v>
      </c>
      <c r="G376" s="9">
        <v>0.22727272727272727</v>
      </c>
    </row>
    <row r="377" spans="1:7" x14ac:dyDescent="0.25">
      <c r="A377" t="s">
        <v>47</v>
      </c>
      <c r="B377" t="s">
        <v>0</v>
      </c>
      <c r="C377">
        <v>64</v>
      </c>
      <c r="D377">
        <v>440</v>
      </c>
      <c r="E377" s="9">
        <v>0.23502304147465439</v>
      </c>
      <c r="F377" s="9">
        <v>0.2560747663551402</v>
      </c>
      <c r="G377" s="9">
        <v>0.22727272727272727</v>
      </c>
    </row>
    <row r="378" spans="1:7" x14ac:dyDescent="0.25">
      <c r="A378" t="s">
        <v>47</v>
      </c>
      <c r="B378" t="s">
        <v>0</v>
      </c>
      <c r="C378">
        <v>64</v>
      </c>
      <c r="D378">
        <v>441</v>
      </c>
      <c r="E378" s="9">
        <v>0.23709369024856597</v>
      </c>
      <c r="F378" s="9">
        <v>0.25694444444444442</v>
      </c>
      <c r="G378" s="9">
        <v>0.24264705882352941</v>
      </c>
    </row>
    <row r="379" spans="1:7" x14ac:dyDescent="0.25">
      <c r="A379" t="s">
        <v>47</v>
      </c>
      <c r="B379" t="s">
        <v>0</v>
      </c>
      <c r="C379">
        <v>64</v>
      </c>
      <c r="D379">
        <v>442</v>
      </c>
      <c r="E379" s="9">
        <v>0.23709369024856597</v>
      </c>
      <c r="F379" s="9">
        <v>0.25694444444444442</v>
      </c>
      <c r="G379" s="9">
        <v>0.24264705882352941</v>
      </c>
    </row>
    <row r="380" spans="1:7" x14ac:dyDescent="0.25">
      <c r="A380" t="s">
        <v>47</v>
      </c>
      <c r="B380" t="s">
        <v>0</v>
      </c>
      <c r="C380">
        <v>64</v>
      </c>
      <c r="D380">
        <v>443</v>
      </c>
      <c r="E380" s="9">
        <v>0.23709369024856597</v>
      </c>
      <c r="F380" s="9">
        <v>0.25694444444444442</v>
      </c>
      <c r="G380" s="9">
        <v>0.24264705882352941</v>
      </c>
    </row>
    <row r="381" spans="1:7" x14ac:dyDescent="0.25">
      <c r="A381" t="s">
        <v>47</v>
      </c>
      <c r="B381" t="s">
        <v>0</v>
      </c>
      <c r="C381">
        <v>64</v>
      </c>
      <c r="D381">
        <v>444</v>
      </c>
      <c r="E381" s="9">
        <v>0.23709369024856597</v>
      </c>
      <c r="F381" s="9">
        <v>0.25694444444444442</v>
      </c>
      <c r="G381" s="9">
        <v>0.24264705882352941</v>
      </c>
    </row>
    <row r="382" spans="1:7" x14ac:dyDescent="0.25">
      <c r="A382" t="s">
        <v>47</v>
      </c>
      <c r="B382" t="s">
        <v>0</v>
      </c>
      <c r="C382">
        <v>64</v>
      </c>
      <c r="D382">
        <v>445</v>
      </c>
      <c r="E382" s="9">
        <v>0.22740963855421686</v>
      </c>
      <c r="F382" s="9">
        <v>0.27284427284427282</v>
      </c>
      <c r="G382" s="9">
        <v>0.23162939297124602</v>
      </c>
    </row>
    <row r="383" spans="1:7" x14ac:dyDescent="0.25">
      <c r="A383" t="s">
        <v>47</v>
      </c>
      <c r="B383" t="s">
        <v>0</v>
      </c>
      <c r="C383">
        <v>64</v>
      </c>
      <c r="D383">
        <v>446</v>
      </c>
      <c r="E383" s="9">
        <v>0.22740963855421686</v>
      </c>
      <c r="F383" s="9">
        <v>0.27284427284427282</v>
      </c>
      <c r="G383" s="9">
        <v>0.23162939297124602</v>
      </c>
    </row>
    <row r="384" spans="1:7" x14ac:dyDescent="0.25">
      <c r="A384" t="s">
        <v>47</v>
      </c>
      <c r="B384" t="s">
        <v>0</v>
      </c>
      <c r="C384">
        <v>64</v>
      </c>
      <c r="D384">
        <v>447</v>
      </c>
      <c r="E384" s="9">
        <v>0.22740963855421686</v>
      </c>
      <c r="F384" s="9">
        <v>0.27284427284427282</v>
      </c>
      <c r="G384" s="9">
        <v>0.23162939297124602</v>
      </c>
    </row>
    <row r="385" spans="1:7" x14ac:dyDescent="0.25">
      <c r="A385" t="s">
        <v>47</v>
      </c>
      <c r="B385" t="s">
        <v>0</v>
      </c>
      <c r="C385">
        <v>64</v>
      </c>
      <c r="D385">
        <v>448</v>
      </c>
      <c r="E385" s="9">
        <v>0.22740963855421686</v>
      </c>
      <c r="F385" s="9">
        <v>0.27284427284427282</v>
      </c>
      <c r="G385" s="9">
        <v>0.23162939297124602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A9E8-C25F-4FFC-BD2B-222C874A94A6}">
  <dimension ref="A1:J289"/>
  <sheetViews>
    <sheetView tabSelected="1" topLeftCell="A266" workbookViewId="0">
      <selection activeCell="A146" sqref="A146:J289"/>
    </sheetView>
  </sheetViews>
  <sheetFormatPr defaultRowHeight="15" x14ac:dyDescent="0.25"/>
  <cols>
    <col min="2" max="2" width="4.7109375" customWidth="1"/>
    <col min="3" max="3" width="6.28515625" customWidth="1"/>
    <col min="5" max="5" width="9.140625" style="2"/>
    <col min="6" max="6" width="20.85546875" customWidth="1"/>
    <col min="7" max="10" width="9.140625" style="2"/>
  </cols>
  <sheetData>
    <row r="1" spans="1:10" x14ac:dyDescent="0.25">
      <c r="G1" s="6" t="s">
        <v>55</v>
      </c>
      <c r="H1" s="6" t="s">
        <v>56</v>
      </c>
      <c r="I1" s="6" t="s">
        <v>58</v>
      </c>
      <c r="J1" s="2" t="s">
        <v>59</v>
      </c>
    </row>
    <row r="2" spans="1:10" x14ac:dyDescent="0.25">
      <c r="A2" t="s">
        <v>46</v>
      </c>
      <c r="B2" t="s">
        <v>0</v>
      </c>
      <c r="C2">
        <v>63</v>
      </c>
      <c r="D2">
        <v>113</v>
      </c>
      <c r="E2" s="2">
        <v>22</v>
      </c>
      <c r="F2" t="s">
        <v>7</v>
      </c>
      <c r="G2" s="6">
        <v>1.657058688147296</v>
      </c>
      <c r="H2" s="6">
        <v>0.62760478087649396</v>
      </c>
      <c r="I2" s="6">
        <v>0.51852830188679255</v>
      </c>
      <c r="J2" s="6">
        <v>2.8031917709105825</v>
      </c>
    </row>
    <row r="3" spans="1:10" x14ac:dyDescent="0.25">
      <c r="A3" t="s">
        <v>46</v>
      </c>
      <c r="B3" t="s">
        <v>0</v>
      </c>
      <c r="C3">
        <v>63</v>
      </c>
      <c r="D3">
        <v>114</v>
      </c>
      <c r="E3" s="2">
        <v>25</v>
      </c>
      <c r="F3" t="s">
        <v>8</v>
      </c>
      <c r="G3" s="6">
        <v>1.340570771001151</v>
      </c>
      <c r="H3" s="6">
        <v>0.72195059760956171</v>
      </c>
      <c r="I3" s="6">
        <v>0.60741886792452837</v>
      </c>
      <c r="J3" s="6">
        <v>2.6699402365352412</v>
      </c>
    </row>
    <row r="4" spans="1:10" x14ac:dyDescent="0.25">
      <c r="A4" t="s">
        <v>46</v>
      </c>
      <c r="B4" t="s">
        <v>0</v>
      </c>
      <c r="C4">
        <v>63</v>
      </c>
      <c r="D4">
        <v>115</v>
      </c>
      <c r="E4" s="2">
        <v>4</v>
      </c>
      <c r="F4" t="s">
        <v>2</v>
      </c>
      <c r="G4" s="6">
        <v>0.83367548906789424</v>
      </c>
      <c r="H4" s="6">
        <v>0.54146294820717134</v>
      </c>
      <c r="I4" s="6">
        <v>0.48889811320754722</v>
      </c>
      <c r="J4" s="6">
        <v>1.8640365504826129</v>
      </c>
    </row>
    <row r="5" spans="1:10" x14ac:dyDescent="0.25">
      <c r="A5" t="s">
        <v>46</v>
      </c>
      <c r="B5" t="s">
        <v>0</v>
      </c>
      <c r="C5">
        <v>63</v>
      </c>
      <c r="D5">
        <v>116</v>
      </c>
      <c r="E5" s="2">
        <v>30</v>
      </c>
      <c r="F5" t="s">
        <v>9</v>
      </c>
      <c r="G5" s="6">
        <v>1.361155350978136</v>
      </c>
      <c r="H5" s="6">
        <v>0.77527649402390442</v>
      </c>
      <c r="I5" s="6">
        <v>0.63281617250673861</v>
      </c>
      <c r="J5" s="6">
        <v>2.769248017508779</v>
      </c>
    </row>
    <row r="6" spans="1:10" x14ac:dyDescent="0.25">
      <c r="A6" t="s">
        <v>46</v>
      </c>
      <c r="B6" t="s">
        <v>0</v>
      </c>
      <c r="C6">
        <v>63</v>
      </c>
      <c r="D6">
        <v>117</v>
      </c>
      <c r="E6" s="2">
        <v>19</v>
      </c>
      <c r="F6" t="s">
        <v>10</v>
      </c>
      <c r="G6" s="6">
        <v>1.9958015102481126</v>
      </c>
      <c r="H6" s="6">
        <v>0.8628941176470587</v>
      </c>
      <c r="I6" s="6">
        <v>0.65340000000000009</v>
      </c>
      <c r="J6" s="6">
        <v>3.5120956278951714</v>
      </c>
    </row>
    <row r="7" spans="1:10" x14ac:dyDescent="0.25">
      <c r="A7" t="s">
        <v>46</v>
      </c>
      <c r="B7" t="s">
        <v>0</v>
      </c>
      <c r="C7">
        <v>63</v>
      </c>
      <c r="D7">
        <v>118</v>
      </c>
      <c r="E7" s="2">
        <v>29</v>
      </c>
      <c r="F7" t="s">
        <v>11</v>
      </c>
      <c r="G7" s="6">
        <v>1.4421445523193097</v>
      </c>
      <c r="H7" s="6">
        <v>0.61635294117647066</v>
      </c>
      <c r="I7" s="6">
        <v>0.51260000000000006</v>
      </c>
      <c r="J7" s="6">
        <v>2.5710974934957802</v>
      </c>
    </row>
    <row r="8" spans="1:10" x14ac:dyDescent="0.25">
      <c r="A8" t="s">
        <v>46</v>
      </c>
      <c r="B8" t="s">
        <v>0</v>
      </c>
      <c r="C8">
        <v>63</v>
      </c>
      <c r="D8">
        <v>119</v>
      </c>
      <c r="E8" s="2">
        <v>16</v>
      </c>
      <c r="F8" t="s">
        <v>12</v>
      </c>
      <c r="G8" s="6">
        <v>1.2496828478964404</v>
      </c>
      <c r="H8" s="6">
        <v>0.50501176470588227</v>
      </c>
      <c r="I8" s="6">
        <v>0.47960000000000008</v>
      </c>
      <c r="J8" s="6">
        <v>2.2342946126023229</v>
      </c>
    </row>
    <row r="9" spans="1:10" x14ac:dyDescent="0.25">
      <c r="A9" t="s">
        <v>46</v>
      </c>
      <c r="B9" t="s">
        <v>0</v>
      </c>
      <c r="C9">
        <v>63</v>
      </c>
      <c r="D9">
        <v>120</v>
      </c>
      <c r="E9" s="2">
        <v>28</v>
      </c>
      <c r="F9" t="s">
        <v>13</v>
      </c>
      <c r="G9" s="6">
        <v>1.3050485436893207</v>
      </c>
      <c r="H9" s="6">
        <v>0.60044705882352933</v>
      </c>
      <c r="I9" s="6">
        <v>0.61160000000000003</v>
      </c>
      <c r="J9" s="6">
        <v>2.5170956025128501</v>
      </c>
    </row>
    <row r="10" spans="1:10" x14ac:dyDescent="0.25">
      <c r="A10" t="s">
        <v>46</v>
      </c>
      <c r="B10" t="s">
        <v>0</v>
      </c>
      <c r="C10">
        <v>63</v>
      </c>
      <c r="D10">
        <v>121</v>
      </c>
      <c r="E10" s="2">
        <v>27</v>
      </c>
      <c r="F10" t="s">
        <v>14</v>
      </c>
      <c r="G10" s="6">
        <v>1.0527981460023175</v>
      </c>
      <c r="H10" s="6">
        <v>0.56406106870229011</v>
      </c>
      <c r="I10" s="6">
        <v>0.59420091324200908</v>
      </c>
      <c r="J10" s="6">
        <v>2.2110601279466167</v>
      </c>
    </row>
    <row r="11" spans="1:10" x14ac:dyDescent="0.25">
      <c r="A11" t="s">
        <v>46</v>
      </c>
      <c r="B11" t="s">
        <v>0</v>
      </c>
      <c r="C11">
        <v>63</v>
      </c>
      <c r="D11">
        <v>122</v>
      </c>
      <c r="E11" s="2">
        <v>11</v>
      </c>
      <c r="F11" t="s">
        <v>15</v>
      </c>
      <c r="G11" s="6">
        <v>1.6522382387022017</v>
      </c>
      <c r="H11" s="6">
        <v>0.68854351145038173</v>
      </c>
      <c r="I11" s="6">
        <v>0.62877260273972602</v>
      </c>
      <c r="J11" s="6">
        <v>2.9695543528923096</v>
      </c>
    </row>
    <row r="12" spans="1:10" x14ac:dyDescent="0.25">
      <c r="A12" t="s">
        <v>46</v>
      </c>
      <c r="B12" t="s">
        <v>0</v>
      </c>
      <c r="C12">
        <v>63</v>
      </c>
      <c r="D12">
        <v>123</v>
      </c>
      <c r="E12" s="2">
        <v>7</v>
      </c>
      <c r="F12" t="s">
        <v>16</v>
      </c>
      <c r="G12" s="6">
        <v>1.8260254924681345</v>
      </c>
      <c r="H12" s="6">
        <v>0.67687328244274814</v>
      </c>
      <c r="I12" s="6">
        <v>0.52505753424657542</v>
      </c>
      <c r="J12" s="6">
        <v>3.0279563091574579</v>
      </c>
    </row>
    <row r="13" spans="1:10" x14ac:dyDescent="0.25">
      <c r="A13" t="s">
        <v>46</v>
      </c>
      <c r="B13" t="s">
        <v>0</v>
      </c>
      <c r="C13">
        <v>63</v>
      </c>
      <c r="D13">
        <v>124</v>
      </c>
      <c r="E13" s="2">
        <v>17</v>
      </c>
      <c r="F13" t="s">
        <v>17</v>
      </c>
      <c r="G13" s="6">
        <v>1.8361001158748553</v>
      </c>
      <c r="H13" s="6">
        <v>0.66909312977099245</v>
      </c>
      <c r="I13" s="6">
        <v>0.50561095890410956</v>
      </c>
      <c r="J13" s="6">
        <v>3.0108042045499577</v>
      </c>
    </row>
    <row r="14" spans="1:10" x14ac:dyDescent="0.25">
      <c r="A14" t="s">
        <v>46</v>
      </c>
      <c r="B14" t="s">
        <v>0</v>
      </c>
      <c r="C14">
        <v>63</v>
      </c>
      <c r="D14">
        <v>125</v>
      </c>
      <c r="E14" s="2">
        <v>18</v>
      </c>
      <c r="F14" t="s">
        <v>18</v>
      </c>
      <c r="G14" s="6">
        <v>1.9621175398633257</v>
      </c>
      <c r="H14" s="6">
        <v>0.47330196078431375</v>
      </c>
      <c r="I14" s="6">
        <v>0.5811390433815351</v>
      </c>
      <c r="J14" s="6">
        <v>3.0165585440291744</v>
      </c>
    </row>
    <row r="15" spans="1:10" x14ac:dyDescent="0.25">
      <c r="A15" t="s">
        <v>46</v>
      </c>
      <c r="B15" t="s">
        <v>0</v>
      </c>
      <c r="C15">
        <v>63</v>
      </c>
      <c r="D15">
        <v>126</v>
      </c>
      <c r="E15" s="2">
        <v>2</v>
      </c>
      <c r="F15" s="19" t="s">
        <v>4</v>
      </c>
      <c r="G15" s="6">
        <v>2.0438724373576309</v>
      </c>
      <c r="H15" s="6" t="s">
        <v>60</v>
      </c>
      <c r="I15" s="6">
        <v>0.56062825361512791</v>
      </c>
      <c r="J15" s="6" t="s">
        <v>60</v>
      </c>
    </row>
    <row r="16" spans="1:10" x14ac:dyDescent="0.25">
      <c r="A16" t="s">
        <v>46</v>
      </c>
      <c r="B16" t="s">
        <v>0</v>
      </c>
      <c r="C16">
        <v>63</v>
      </c>
      <c r="D16">
        <v>127</v>
      </c>
      <c r="E16" s="2">
        <v>9</v>
      </c>
      <c r="F16" t="s">
        <v>19</v>
      </c>
      <c r="G16" s="6">
        <v>1.6012683371298406</v>
      </c>
      <c r="H16" s="6" t="s">
        <v>60</v>
      </c>
      <c r="I16" s="6">
        <v>0.42388965517241389</v>
      </c>
      <c r="J16" s="6" t="s">
        <v>60</v>
      </c>
    </row>
    <row r="17" spans="1:10" x14ac:dyDescent="0.25">
      <c r="A17" t="s">
        <v>46</v>
      </c>
      <c r="B17" t="s">
        <v>0</v>
      </c>
      <c r="C17">
        <v>63</v>
      </c>
      <c r="D17">
        <v>128</v>
      </c>
      <c r="E17" s="2">
        <v>15</v>
      </c>
      <c r="F17" t="s">
        <v>20</v>
      </c>
      <c r="G17" s="6">
        <v>1.7901503416856492</v>
      </c>
      <c r="H17" s="6" t="s">
        <v>60</v>
      </c>
      <c r="I17" s="6">
        <v>0.42844760845383761</v>
      </c>
      <c r="J17" s="6" t="s">
        <v>60</v>
      </c>
    </row>
    <row r="18" spans="1:10" x14ac:dyDescent="0.25">
      <c r="A18" t="s">
        <v>46</v>
      </c>
      <c r="B18" t="s">
        <v>0</v>
      </c>
      <c r="C18">
        <v>63</v>
      </c>
      <c r="D18">
        <v>129</v>
      </c>
      <c r="E18" s="2">
        <v>26</v>
      </c>
      <c r="F18" t="s">
        <v>21</v>
      </c>
      <c r="G18" s="6">
        <v>2.2523155963302757</v>
      </c>
      <c r="H18" s="6" t="s">
        <v>60</v>
      </c>
      <c r="I18" s="6">
        <v>0.55681910447761196</v>
      </c>
      <c r="J18" s="6" t="s">
        <v>60</v>
      </c>
    </row>
    <row r="19" spans="1:10" x14ac:dyDescent="0.25">
      <c r="A19" t="s">
        <v>46</v>
      </c>
      <c r="B19" t="s">
        <v>0</v>
      </c>
      <c r="C19">
        <v>63</v>
      </c>
      <c r="D19">
        <v>130</v>
      </c>
      <c r="E19" s="2">
        <v>21</v>
      </c>
      <c r="F19" t="s">
        <v>22</v>
      </c>
      <c r="G19" s="6">
        <v>2.0420256880733945</v>
      </c>
      <c r="H19" s="6" t="s">
        <v>60</v>
      </c>
      <c r="I19" s="6">
        <v>0.575694328358209</v>
      </c>
      <c r="J19" s="6" t="s">
        <v>60</v>
      </c>
    </row>
    <row r="20" spans="1:10" x14ac:dyDescent="0.25">
      <c r="A20" t="s">
        <v>46</v>
      </c>
      <c r="B20" t="s">
        <v>0</v>
      </c>
      <c r="C20">
        <v>63</v>
      </c>
      <c r="D20">
        <v>131</v>
      </c>
      <c r="E20" s="2">
        <v>33</v>
      </c>
      <c r="F20" t="s">
        <v>23</v>
      </c>
      <c r="G20" s="6">
        <v>1.8151339449541286</v>
      </c>
      <c r="H20" s="6">
        <v>0.54971428571428571</v>
      </c>
      <c r="I20" s="6">
        <v>0.45536477611940301</v>
      </c>
      <c r="J20" s="6">
        <v>2.8202130067878173</v>
      </c>
    </row>
    <row r="21" spans="1:10" x14ac:dyDescent="0.25">
      <c r="A21" t="s">
        <v>46</v>
      </c>
      <c r="B21" t="s">
        <v>0</v>
      </c>
      <c r="C21">
        <v>63</v>
      </c>
      <c r="D21">
        <v>132</v>
      </c>
      <c r="E21" s="2">
        <v>13</v>
      </c>
      <c r="F21" t="s">
        <v>24</v>
      </c>
      <c r="G21" s="6">
        <v>1.6242128440366974</v>
      </c>
      <c r="H21" s="6">
        <v>0.50142857142857156</v>
      </c>
      <c r="I21" s="6">
        <v>0.41289552238805971</v>
      </c>
      <c r="J21" s="6">
        <v>2.5385369378533289</v>
      </c>
    </row>
    <row r="22" spans="1:10" x14ac:dyDescent="0.25">
      <c r="A22" t="s">
        <v>46</v>
      </c>
      <c r="B22" t="s">
        <v>0</v>
      </c>
      <c r="C22">
        <v>63</v>
      </c>
      <c r="D22">
        <v>133</v>
      </c>
      <c r="E22" s="2">
        <v>1</v>
      </c>
      <c r="F22" t="s">
        <v>6</v>
      </c>
      <c r="G22" s="6">
        <v>1.8910413361169105</v>
      </c>
      <c r="H22" s="6">
        <v>0.65216021650879563</v>
      </c>
      <c r="I22" s="6">
        <v>0.44936734059097977</v>
      </c>
      <c r="J22" s="6">
        <v>2.9925688932166858</v>
      </c>
    </row>
    <row r="23" spans="1:10" x14ac:dyDescent="0.25">
      <c r="A23" t="s">
        <v>46</v>
      </c>
      <c r="B23" t="s">
        <v>0</v>
      </c>
      <c r="C23">
        <v>63</v>
      </c>
      <c r="D23">
        <v>134</v>
      </c>
      <c r="E23" s="2">
        <v>14</v>
      </c>
      <c r="F23" t="s">
        <v>25</v>
      </c>
      <c r="G23" s="6">
        <v>1.7602488517745305</v>
      </c>
      <c r="H23" s="6">
        <v>0.55681515561569694</v>
      </c>
      <c r="I23" s="6">
        <v>0.41845847589424573</v>
      </c>
      <c r="J23" s="6">
        <v>2.7355224832844729</v>
      </c>
    </row>
    <row r="24" spans="1:10" x14ac:dyDescent="0.25">
      <c r="A24" t="s">
        <v>46</v>
      </c>
      <c r="B24" t="s">
        <v>0</v>
      </c>
      <c r="C24">
        <v>63</v>
      </c>
      <c r="D24">
        <v>135</v>
      </c>
      <c r="E24" s="2">
        <v>3</v>
      </c>
      <c r="F24" t="s">
        <v>3</v>
      </c>
      <c r="G24" s="6">
        <v>1.8774171189979123</v>
      </c>
      <c r="H24" s="6">
        <v>0.60258078484438438</v>
      </c>
      <c r="I24" s="6">
        <v>0.46601057542768271</v>
      </c>
      <c r="J24" s="6">
        <v>2.9460084792699792</v>
      </c>
    </row>
    <row r="25" spans="1:10" x14ac:dyDescent="0.25">
      <c r="A25" t="s">
        <v>46</v>
      </c>
      <c r="B25" t="s">
        <v>0</v>
      </c>
      <c r="C25">
        <v>63</v>
      </c>
      <c r="D25">
        <v>136</v>
      </c>
      <c r="E25" s="2">
        <v>35</v>
      </c>
      <c r="F25" t="s">
        <v>26</v>
      </c>
      <c r="G25" s="6">
        <v>1.9346388308977036</v>
      </c>
      <c r="H25" s="6">
        <v>0.6483464140730717</v>
      </c>
      <c r="I25" s="6">
        <v>0.54922674961119755</v>
      </c>
      <c r="J25" s="6">
        <v>3.1322119945819726</v>
      </c>
    </row>
    <row r="26" spans="1:10" x14ac:dyDescent="0.25">
      <c r="A26" t="s">
        <v>46</v>
      </c>
      <c r="B26" t="s">
        <v>0</v>
      </c>
      <c r="C26">
        <v>63</v>
      </c>
      <c r="D26">
        <v>137</v>
      </c>
      <c r="E26" s="2">
        <v>36</v>
      </c>
      <c r="F26" t="s">
        <v>27</v>
      </c>
      <c r="G26" s="6">
        <v>2.139078880407125</v>
      </c>
      <c r="H26" s="6">
        <v>0.72271277419354851</v>
      </c>
      <c r="I26" s="6">
        <v>0.53938247566063979</v>
      </c>
      <c r="J26" s="6">
        <v>3.401174130261313</v>
      </c>
    </row>
    <row r="27" spans="1:10" x14ac:dyDescent="0.25">
      <c r="A27" t="s">
        <v>46</v>
      </c>
      <c r="B27" t="s">
        <v>0</v>
      </c>
      <c r="C27">
        <v>63</v>
      </c>
      <c r="D27">
        <v>138</v>
      </c>
      <c r="E27" s="2">
        <v>20</v>
      </c>
      <c r="F27" t="s">
        <v>28</v>
      </c>
      <c r="G27" s="6">
        <v>1.7371043256997456</v>
      </c>
      <c r="H27" s="6">
        <v>0.69565935483870978</v>
      </c>
      <c r="I27" s="6">
        <v>0.46539638386648119</v>
      </c>
      <c r="J27" s="6">
        <v>2.8981600644049363</v>
      </c>
    </row>
    <row r="28" spans="1:10" x14ac:dyDescent="0.25">
      <c r="A28" t="s">
        <v>46</v>
      </c>
      <c r="B28" t="s">
        <v>0</v>
      </c>
      <c r="C28">
        <v>63</v>
      </c>
      <c r="D28">
        <v>139</v>
      </c>
      <c r="E28" s="2">
        <v>31</v>
      </c>
      <c r="F28" t="s">
        <v>29</v>
      </c>
      <c r="G28" s="6">
        <v>1.8002717557251908</v>
      </c>
      <c r="H28" s="6">
        <v>0.69179458064516142</v>
      </c>
      <c r="I28" s="6">
        <v>0.53222253129346309</v>
      </c>
      <c r="J28" s="6">
        <v>3.0242888676638153</v>
      </c>
    </row>
    <row r="29" spans="1:10" x14ac:dyDescent="0.25">
      <c r="A29" t="s">
        <v>46</v>
      </c>
      <c r="B29" t="s">
        <v>0</v>
      </c>
      <c r="C29">
        <v>63</v>
      </c>
      <c r="D29">
        <v>140</v>
      </c>
      <c r="E29" s="2">
        <v>5</v>
      </c>
      <c r="F29" t="s">
        <v>5</v>
      </c>
      <c r="G29" s="6">
        <v>1.7442824427480916</v>
      </c>
      <c r="H29" s="6">
        <v>0.66860593548387104</v>
      </c>
      <c r="I29" s="6">
        <v>0.48687621696801109</v>
      </c>
      <c r="J29" s="6">
        <v>2.899764595199974</v>
      </c>
    </row>
    <row r="30" spans="1:10" x14ac:dyDescent="0.25">
      <c r="A30" t="s">
        <v>46</v>
      </c>
      <c r="B30" t="s">
        <v>0</v>
      </c>
      <c r="C30">
        <v>63</v>
      </c>
      <c r="D30">
        <v>141</v>
      </c>
      <c r="E30" s="2">
        <v>32</v>
      </c>
      <c r="F30" t="s">
        <v>30</v>
      </c>
      <c r="G30" s="6">
        <v>1.6163635545556803</v>
      </c>
      <c r="H30" s="6">
        <v>0.5565392125984252</v>
      </c>
      <c r="I30" s="6">
        <v>0.4590101694915254</v>
      </c>
      <c r="J30" s="6">
        <v>2.6319129366456306</v>
      </c>
    </row>
    <row r="31" spans="1:10" x14ac:dyDescent="0.25">
      <c r="A31" t="s">
        <v>46</v>
      </c>
      <c r="B31" t="s">
        <v>0</v>
      </c>
      <c r="C31">
        <v>63</v>
      </c>
      <c r="D31">
        <v>142</v>
      </c>
      <c r="E31" s="2">
        <v>8</v>
      </c>
      <c r="F31" t="s">
        <v>31</v>
      </c>
      <c r="G31" s="6">
        <v>1.5923581552305961</v>
      </c>
      <c r="H31" s="6">
        <v>0.57232755905511812</v>
      </c>
      <c r="I31" s="6">
        <v>0.49058229755178911</v>
      </c>
      <c r="J31" s="6">
        <v>2.6552680118375034</v>
      </c>
    </row>
    <row r="32" spans="1:10" x14ac:dyDescent="0.25">
      <c r="A32" t="s">
        <v>46</v>
      </c>
      <c r="B32" t="s">
        <v>0</v>
      </c>
      <c r="C32">
        <v>63</v>
      </c>
      <c r="D32">
        <v>143</v>
      </c>
      <c r="E32" s="2">
        <v>6</v>
      </c>
      <c r="F32" t="s">
        <v>1</v>
      </c>
      <c r="G32" s="6">
        <v>1.6430362204724409</v>
      </c>
      <c r="H32" s="6">
        <v>0.53680377952755909</v>
      </c>
      <c r="I32" s="6">
        <v>0.47115329566854991</v>
      </c>
      <c r="J32" s="6">
        <v>2.6509932956685498</v>
      </c>
    </row>
    <row r="33" spans="1:10" x14ac:dyDescent="0.25">
      <c r="A33" t="s">
        <v>46</v>
      </c>
      <c r="B33" t="s">
        <v>0</v>
      </c>
      <c r="C33">
        <v>63</v>
      </c>
      <c r="D33">
        <v>144</v>
      </c>
      <c r="E33" s="2">
        <v>24</v>
      </c>
      <c r="F33" t="s">
        <v>32</v>
      </c>
      <c r="G33" s="6">
        <v>1.8884247469066364</v>
      </c>
      <c r="H33" s="6">
        <v>0.60390425196850395</v>
      </c>
      <c r="I33" s="6">
        <v>0.54886930320150651</v>
      </c>
      <c r="J33" s="6">
        <v>3.0411983020766469</v>
      </c>
    </row>
    <row r="34" spans="1:10" x14ac:dyDescent="0.25">
      <c r="A34" t="s">
        <v>46</v>
      </c>
      <c r="B34" t="s">
        <v>0</v>
      </c>
      <c r="C34">
        <v>63</v>
      </c>
      <c r="D34">
        <v>145</v>
      </c>
      <c r="E34" s="2">
        <v>12</v>
      </c>
      <c r="F34" t="s">
        <v>33</v>
      </c>
      <c r="G34" s="6">
        <v>2.1112338762214988</v>
      </c>
      <c r="H34" s="6">
        <v>0.71006896551724141</v>
      </c>
      <c r="I34" s="6">
        <v>0.48314329738058548</v>
      </c>
      <c r="J34" s="6">
        <v>3.3044461391193258</v>
      </c>
    </row>
    <row r="35" spans="1:10" x14ac:dyDescent="0.25">
      <c r="A35" t="s">
        <v>46</v>
      </c>
      <c r="B35" t="s">
        <v>0</v>
      </c>
      <c r="C35">
        <v>63</v>
      </c>
      <c r="D35">
        <v>146</v>
      </c>
      <c r="E35" s="2">
        <v>34</v>
      </c>
      <c r="F35" t="s">
        <v>34</v>
      </c>
      <c r="G35" s="6">
        <v>2.2486358306188925</v>
      </c>
      <c r="H35" s="6">
        <v>0.79291034482758604</v>
      </c>
      <c r="I35" s="6">
        <v>0.53842835130970734</v>
      </c>
      <c r="J35" s="6">
        <v>3.5799745267561858</v>
      </c>
    </row>
    <row r="36" spans="1:10" x14ac:dyDescent="0.25">
      <c r="A36" t="s">
        <v>46</v>
      </c>
      <c r="B36" t="s">
        <v>0</v>
      </c>
      <c r="C36">
        <v>63</v>
      </c>
      <c r="D36">
        <v>147</v>
      </c>
      <c r="E36" s="2">
        <v>10</v>
      </c>
      <c r="F36" t="s">
        <v>35</v>
      </c>
      <c r="G36" s="6">
        <v>1.9711895765472314</v>
      </c>
      <c r="H36" s="6">
        <v>0.60750344827586211</v>
      </c>
      <c r="I36" s="6">
        <v>0.47352850539291219</v>
      </c>
      <c r="J36" s="6">
        <v>3.0522215302160056</v>
      </c>
    </row>
    <row r="37" spans="1:10" x14ac:dyDescent="0.25">
      <c r="A37" t="s">
        <v>46</v>
      </c>
      <c r="B37" t="s">
        <v>0</v>
      </c>
      <c r="C37">
        <v>63</v>
      </c>
      <c r="D37">
        <v>148</v>
      </c>
      <c r="E37" s="2">
        <v>23</v>
      </c>
      <c r="F37" t="s">
        <v>36</v>
      </c>
      <c r="G37" s="6">
        <v>1.7386631921824105</v>
      </c>
      <c r="H37" s="6">
        <v>0.49704827586206896</v>
      </c>
      <c r="I37" s="6">
        <v>0.4759322033898305</v>
      </c>
      <c r="J37" s="6">
        <v>2.71164367143431</v>
      </c>
    </row>
    <row r="38" spans="1:10" x14ac:dyDescent="0.25">
      <c r="A38" t="s">
        <v>46</v>
      </c>
      <c r="B38" t="s">
        <v>0</v>
      </c>
      <c r="C38">
        <v>63</v>
      </c>
      <c r="D38">
        <v>213</v>
      </c>
      <c r="E38" s="2">
        <v>24</v>
      </c>
      <c r="F38" t="s">
        <v>32</v>
      </c>
      <c r="G38" s="6">
        <v>1.7208779664135245</v>
      </c>
      <c r="H38" s="6">
        <v>0.72554706607929509</v>
      </c>
      <c r="I38" s="6">
        <v>0.61980350877192991</v>
      </c>
      <c r="J38" s="6">
        <v>3.0662285412647496</v>
      </c>
    </row>
    <row r="39" spans="1:10" x14ac:dyDescent="0.25">
      <c r="A39" t="s">
        <v>46</v>
      </c>
      <c r="B39" t="s">
        <v>0</v>
      </c>
      <c r="C39">
        <v>63</v>
      </c>
      <c r="D39">
        <v>214</v>
      </c>
      <c r="E39" s="2">
        <v>31</v>
      </c>
      <c r="F39" t="s">
        <v>29</v>
      </c>
      <c r="G39" s="6">
        <v>1.571240189294439</v>
      </c>
      <c r="H39" s="6">
        <v>0.77093888025630752</v>
      </c>
      <c r="I39" s="6">
        <v>0.73552631578947369</v>
      </c>
      <c r="J39" s="6">
        <v>3.0777053853402201</v>
      </c>
    </row>
    <row r="40" spans="1:10" x14ac:dyDescent="0.25">
      <c r="A40" t="s">
        <v>46</v>
      </c>
      <c r="B40" t="s">
        <v>0</v>
      </c>
      <c r="C40">
        <v>63</v>
      </c>
      <c r="D40">
        <v>215</v>
      </c>
      <c r="E40" s="2">
        <v>8</v>
      </c>
      <c r="F40" t="s">
        <v>31</v>
      </c>
      <c r="G40" s="6">
        <v>1.7128603452681501</v>
      </c>
      <c r="H40" s="6">
        <v>0.806343362434922</v>
      </c>
      <c r="I40" s="6">
        <v>0.56292280701754382</v>
      </c>
      <c r="J40" s="6">
        <v>3.0821265147206161</v>
      </c>
    </row>
    <row r="41" spans="1:10" x14ac:dyDescent="0.25">
      <c r="A41" t="s">
        <v>46</v>
      </c>
      <c r="B41" t="s">
        <v>0</v>
      </c>
      <c r="C41">
        <v>63</v>
      </c>
      <c r="D41">
        <v>216</v>
      </c>
      <c r="E41" s="2">
        <v>29</v>
      </c>
      <c r="F41" t="s">
        <v>11</v>
      </c>
      <c r="G41" s="6">
        <v>1.7708502550159961</v>
      </c>
      <c r="H41" s="6">
        <v>0.79681559631557874</v>
      </c>
      <c r="I41" s="6">
        <v>0.59822807017543855</v>
      </c>
      <c r="J41" s="6">
        <v>3.1658939215070134</v>
      </c>
    </row>
    <row r="42" spans="1:10" x14ac:dyDescent="0.25">
      <c r="A42" t="s">
        <v>46</v>
      </c>
      <c r="B42" t="s">
        <v>0</v>
      </c>
      <c r="C42">
        <v>63</v>
      </c>
      <c r="D42">
        <v>217</v>
      </c>
      <c r="E42" s="2">
        <v>26</v>
      </c>
      <c r="F42" t="s">
        <v>21</v>
      </c>
      <c r="G42" s="6">
        <v>2.000780196986081</v>
      </c>
      <c r="H42" s="6">
        <v>0.71576046745709099</v>
      </c>
      <c r="I42" s="6">
        <v>0.61340716934487027</v>
      </c>
      <c r="J42" s="6">
        <v>3.3299478337880419</v>
      </c>
    </row>
    <row r="43" spans="1:10" x14ac:dyDescent="0.25">
      <c r="A43" t="s">
        <v>46</v>
      </c>
      <c r="B43" t="s">
        <v>0</v>
      </c>
      <c r="C43">
        <v>63</v>
      </c>
      <c r="D43">
        <v>218</v>
      </c>
      <c r="E43" s="2">
        <v>28</v>
      </c>
      <c r="F43" t="s">
        <v>13</v>
      </c>
      <c r="G43" s="6">
        <v>1.6084063218788787</v>
      </c>
      <c r="H43" s="6">
        <v>0.93636434463195595</v>
      </c>
      <c r="I43" s="6">
        <v>0.6289364647713227</v>
      </c>
      <c r="J43" s="6">
        <v>3.1737071312821574</v>
      </c>
    </row>
    <row r="44" spans="1:10" x14ac:dyDescent="0.25">
      <c r="A44" t="s">
        <v>46</v>
      </c>
      <c r="B44" t="s">
        <v>0</v>
      </c>
      <c r="C44">
        <v>63</v>
      </c>
      <c r="D44">
        <v>219</v>
      </c>
      <c r="E44" s="2">
        <v>9</v>
      </c>
      <c r="F44" t="s">
        <v>19</v>
      </c>
      <c r="G44" s="6">
        <v>1.6210054408216101</v>
      </c>
      <c r="H44" s="6">
        <v>0.95358778546124789</v>
      </c>
      <c r="I44" s="6">
        <v>0.68328899876390614</v>
      </c>
      <c r="J44" s="6">
        <v>3.2578822250467638</v>
      </c>
    </row>
    <row r="45" spans="1:10" x14ac:dyDescent="0.25">
      <c r="A45" t="s">
        <v>46</v>
      </c>
      <c r="B45" t="s">
        <v>0</v>
      </c>
      <c r="C45">
        <v>63</v>
      </c>
      <c r="D45">
        <v>220</v>
      </c>
      <c r="E45" s="2">
        <v>18</v>
      </c>
      <c r="F45" t="s">
        <v>18</v>
      </c>
      <c r="G45" s="6">
        <v>1.4767999446009938</v>
      </c>
      <c r="H45" s="6">
        <v>0.92491671786559315</v>
      </c>
      <c r="I45" s="6">
        <v>0.6910536464771323</v>
      </c>
      <c r="J45" s="6">
        <v>3.0927703089437193</v>
      </c>
    </row>
    <row r="46" spans="1:10" x14ac:dyDescent="0.25">
      <c r="A46" t="s">
        <v>46</v>
      </c>
      <c r="B46" t="s">
        <v>0</v>
      </c>
      <c r="C46">
        <v>63</v>
      </c>
      <c r="D46">
        <v>221</v>
      </c>
      <c r="E46" s="2">
        <v>5</v>
      </c>
      <c r="F46" t="s">
        <v>5</v>
      </c>
      <c r="G46" s="6">
        <v>1.4497436726811903</v>
      </c>
      <c r="H46" s="6">
        <v>1.1164953532940092</v>
      </c>
      <c r="I46" s="6">
        <v>0.69692682926829275</v>
      </c>
      <c r="J46" s="6">
        <v>3.2631658552434919</v>
      </c>
    </row>
    <row r="47" spans="1:10" x14ac:dyDescent="0.25">
      <c r="A47" t="s">
        <v>46</v>
      </c>
      <c r="B47" t="s">
        <v>0</v>
      </c>
      <c r="C47">
        <v>63</v>
      </c>
      <c r="D47">
        <v>222</v>
      </c>
      <c r="E47" s="2">
        <v>32</v>
      </c>
      <c r="F47" t="s">
        <v>30</v>
      </c>
      <c r="G47" s="6">
        <v>1.7960649327137772</v>
      </c>
      <c r="H47" s="6">
        <v>1.1391962866173873</v>
      </c>
      <c r="I47" s="6">
        <v>0.64117268292682938</v>
      </c>
      <c r="J47" s="6">
        <v>3.5764339022579938</v>
      </c>
    </row>
    <row r="48" spans="1:10" x14ac:dyDescent="0.25">
      <c r="A48" t="s">
        <v>46</v>
      </c>
      <c r="B48" t="s">
        <v>0</v>
      </c>
      <c r="C48">
        <v>63</v>
      </c>
      <c r="D48">
        <v>223</v>
      </c>
      <c r="E48" s="2">
        <v>3</v>
      </c>
      <c r="F48" t="s">
        <v>3</v>
      </c>
      <c r="G48" s="6">
        <v>1.5875565264618914</v>
      </c>
      <c r="H48" s="6">
        <v>1.0231152393041141</v>
      </c>
      <c r="I48" s="6">
        <v>0.68099707317073177</v>
      </c>
      <c r="J48" s="6">
        <v>3.291668838936737</v>
      </c>
    </row>
    <row r="49" spans="1:10" x14ac:dyDescent="0.25">
      <c r="A49" t="s">
        <v>46</v>
      </c>
      <c r="B49" t="s">
        <v>0</v>
      </c>
      <c r="C49">
        <v>63</v>
      </c>
      <c r="D49">
        <v>224</v>
      </c>
      <c r="E49" s="2">
        <v>10</v>
      </c>
      <c r="F49" t="s">
        <v>35</v>
      </c>
      <c r="G49" s="6">
        <v>0.95972385492728274</v>
      </c>
      <c r="H49" s="6">
        <v>0.78475919261305671</v>
      </c>
      <c r="I49" s="6">
        <v>0.68099707317073177</v>
      </c>
      <c r="J49" s="6">
        <v>2.4254801207110712</v>
      </c>
    </row>
    <row r="50" spans="1:10" x14ac:dyDescent="0.25">
      <c r="A50" t="s">
        <v>46</v>
      </c>
      <c r="B50" t="s">
        <v>0</v>
      </c>
      <c r="C50">
        <v>63</v>
      </c>
      <c r="D50">
        <v>225</v>
      </c>
      <c r="E50" s="2">
        <v>25</v>
      </c>
      <c r="F50" t="s">
        <v>8</v>
      </c>
      <c r="G50" s="6">
        <v>2.0245862635162193</v>
      </c>
      <c r="H50" s="6">
        <v>0.79955995684617465</v>
      </c>
      <c r="I50" s="6">
        <v>0.69583005181347146</v>
      </c>
      <c r="J50" s="6">
        <v>3.5199762721758656</v>
      </c>
    </row>
    <row r="51" spans="1:10" x14ac:dyDescent="0.25">
      <c r="A51" t="s">
        <v>46</v>
      </c>
      <c r="B51" t="s">
        <v>0</v>
      </c>
      <c r="C51">
        <v>63</v>
      </c>
      <c r="D51">
        <v>226</v>
      </c>
      <c r="E51" s="2">
        <v>20</v>
      </c>
      <c r="F51" t="s">
        <v>28</v>
      </c>
      <c r="G51" s="6">
        <v>1.6956498197837404</v>
      </c>
      <c r="H51" s="6">
        <v>0.71794758608289133</v>
      </c>
      <c r="I51" s="6">
        <v>0.57620310880829007</v>
      </c>
      <c r="J51" s="6">
        <v>2.9898005146749216</v>
      </c>
    </row>
    <row r="52" spans="1:10" x14ac:dyDescent="0.25">
      <c r="A52" t="s">
        <v>46</v>
      </c>
      <c r="B52" t="s">
        <v>0</v>
      </c>
      <c r="C52">
        <v>63</v>
      </c>
      <c r="D52">
        <v>227</v>
      </c>
      <c r="E52" s="2">
        <v>17</v>
      </c>
      <c r="F52" t="s">
        <v>17</v>
      </c>
      <c r="G52" s="6">
        <v>1.6838149779735685</v>
      </c>
      <c r="H52" s="6">
        <v>0.76508745841949122</v>
      </c>
      <c r="I52" s="6">
        <v>0.48847668393782384</v>
      </c>
      <c r="J52" s="6">
        <v>2.9373791203308839</v>
      </c>
    </row>
    <row r="53" spans="1:10" x14ac:dyDescent="0.25">
      <c r="A53" t="s">
        <v>46</v>
      </c>
      <c r="B53" t="s">
        <v>0</v>
      </c>
      <c r="C53">
        <v>63</v>
      </c>
      <c r="D53">
        <v>228</v>
      </c>
      <c r="E53" s="2">
        <v>36</v>
      </c>
      <c r="F53" t="s">
        <v>27</v>
      </c>
      <c r="G53" s="6">
        <v>1.6563228674409292</v>
      </c>
      <c r="H53" s="6">
        <v>0.62895222511912263</v>
      </c>
      <c r="I53" s="6">
        <v>0.51040829015544043</v>
      </c>
      <c r="J53" s="6">
        <v>2.7956833827154921</v>
      </c>
    </row>
    <row r="54" spans="1:10" x14ac:dyDescent="0.25">
      <c r="A54" t="s">
        <v>46</v>
      </c>
      <c r="B54" t="s">
        <v>0</v>
      </c>
      <c r="C54">
        <v>63</v>
      </c>
      <c r="D54">
        <v>229</v>
      </c>
      <c r="E54" s="2">
        <v>1</v>
      </c>
      <c r="F54" t="s">
        <v>6</v>
      </c>
      <c r="G54" s="6">
        <v>1.6671725858640989</v>
      </c>
      <c r="H54" s="6">
        <v>0.63109206735137646</v>
      </c>
      <c r="I54" s="6">
        <v>0.60610379362670719</v>
      </c>
      <c r="J54" s="6">
        <v>2.9043684468421822</v>
      </c>
    </row>
    <row r="55" spans="1:10" x14ac:dyDescent="0.25">
      <c r="A55" t="s">
        <v>46</v>
      </c>
      <c r="B55" t="s">
        <v>0</v>
      </c>
      <c r="C55">
        <v>63</v>
      </c>
      <c r="D55">
        <v>230</v>
      </c>
      <c r="E55" s="2">
        <v>22</v>
      </c>
      <c r="F55" t="s">
        <v>7</v>
      </c>
      <c r="G55" s="6">
        <v>2.0171255311683756</v>
      </c>
      <c r="H55" s="6">
        <v>0.60084688277426512</v>
      </c>
      <c r="I55" s="6">
        <v>0.63296388467374809</v>
      </c>
      <c r="J55" s="6">
        <v>3.2509362986163888</v>
      </c>
    </row>
    <row r="56" spans="1:10" x14ac:dyDescent="0.25">
      <c r="A56" t="s">
        <v>46</v>
      </c>
      <c r="B56" t="s">
        <v>0</v>
      </c>
      <c r="C56">
        <v>63</v>
      </c>
      <c r="D56">
        <v>231</v>
      </c>
      <c r="E56" s="2">
        <v>35</v>
      </c>
      <c r="F56" t="s">
        <v>26</v>
      </c>
      <c r="G56" s="6">
        <v>1.7512481384741336</v>
      </c>
      <c r="H56" s="6">
        <v>1.1546649187559923</v>
      </c>
      <c r="I56" s="6">
        <v>0.66332746585735958</v>
      </c>
      <c r="J56" s="6">
        <v>3.5692405230874855</v>
      </c>
    </row>
    <row r="57" spans="1:10" x14ac:dyDescent="0.25">
      <c r="A57" t="s">
        <v>46</v>
      </c>
      <c r="B57" t="s">
        <v>0</v>
      </c>
      <c r="C57">
        <v>63</v>
      </c>
      <c r="D57">
        <v>232</v>
      </c>
      <c r="E57" s="2">
        <v>27</v>
      </c>
      <c r="F57" t="s">
        <v>14</v>
      </c>
      <c r="G57" s="6">
        <v>1.3535837589177808</v>
      </c>
      <c r="H57" s="6">
        <v>0.85979724403281099</v>
      </c>
      <c r="I57" s="6">
        <v>0.56289408194233692</v>
      </c>
      <c r="J57" s="6">
        <v>2.7762750848929287</v>
      </c>
    </row>
    <row r="58" spans="1:10" x14ac:dyDescent="0.25">
      <c r="A58" t="s">
        <v>46</v>
      </c>
      <c r="B58" t="s">
        <v>0</v>
      </c>
      <c r="C58">
        <v>63</v>
      </c>
      <c r="D58">
        <v>233</v>
      </c>
      <c r="E58" s="2">
        <v>6</v>
      </c>
      <c r="F58" t="s">
        <v>1</v>
      </c>
      <c r="G58" s="6">
        <v>1.914923959363481</v>
      </c>
      <c r="H58" s="6">
        <v>1.0832496920823602</v>
      </c>
      <c r="I58" s="6">
        <v>0.51115555555555559</v>
      </c>
      <c r="J58" s="6">
        <v>3.5093292070013966</v>
      </c>
    </row>
    <row r="59" spans="1:10" x14ac:dyDescent="0.25">
      <c r="A59" t="s">
        <v>46</v>
      </c>
      <c r="B59" t="s">
        <v>0</v>
      </c>
      <c r="C59">
        <v>63</v>
      </c>
      <c r="D59">
        <v>234</v>
      </c>
      <c r="E59" s="2">
        <v>4</v>
      </c>
      <c r="F59" t="s">
        <v>2</v>
      </c>
      <c r="G59" s="6">
        <v>1.2847628623255469</v>
      </c>
      <c r="H59" s="6">
        <v>0.82261210520660721</v>
      </c>
      <c r="I59" s="6">
        <v>0.65955555555555556</v>
      </c>
      <c r="J59" s="6">
        <v>2.7669305230877095</v>
      </c>
    </row>
    <row r="60" spans="1:10" x14ac:dyDescent="0.25">
      <c r="A60" t="s">
        <v>46</v>
      </c>
      <c r="B60" t="s">
        <v>0</v>
      </c>
      <c r="C60">
        <v>63</v>
      </c>
      <c r="D60">
        <v>235</v>
      </c>
      <c r="E60" s="2">
        <v>12</v>
      </c>
      <c r="F60" t="s">
        <v>33</v>
      </c>
      <c r="G60" s="6">
        <v>2.0420312082542269</v>
      </c>
      <c r="H60" s="6">
        <v>1.3163982921739721</v>
      </c>
      <c r="I60" s="6">
        <v>0.7208</v>
      </c>
      <c r="J60" s="6">
        <v>4.0792295004281991</v>
      </c>
    </row>
    <row r="61" spans="1:10" x14ac:dyDescent="0.25">
      <c r="A61" t="s">
        <v>46</v>
      </c>
      <c r="B61" t="s">
        <v>0</v>
      </c>
      <c r="C61">
        <v>63</v>
      </c>
      <c r="D61">
        <v>236</v>
      </c>
      <c r="E61" s="2">
        <v>19</v>
      </c>
      <c r="F61" t="s">
        <v>10</v>
      </c>
      <c r="G61" s="6">
        <v>2.1759994288464286</v>
      </c>
      <c r="H61" s="6">
        <v>1.318154905475788</v>
      </c>
      <c r="I61" s="6">
        <v>0.73022222222222233</v>
      </c>
      <c r="J61" s="6">
        <v>4.2243765565444384</v>
      </c>
    </row>
    <row r="62" spans="1:10" x14ac:dyDescent="0.25">
      <c r="A62" t="s">
        <v>46</v>
      </c>
      <c r="B62" t="s">
        <v>0</v>
      </c>
      <c r="C62">
        <v>63</v>
      </c>
      <c r="D62">
        <v>237</v>
      </c>
      <c r="E62" s="2">
        <v>7</v>
      </c>
      <c r="F62" t="s">
        <v>16</v>
      </c>
      <c r="G62" s="6">
        <v>1.5423395316485047</v>
      </c>
      <c r="H62" s="6">
        <v>1.0364909437742738</v>
      </c>
      <c r="I62" s="6">
        <v>0.57214246575342453</v>
      </c>
      <c r="J62" s="6">
        <v>3.1509729411762031</v>
      </c>
    </row>
    <row r="63" spans="1:10" x14ac:dyDescent="0.25">
      <c r="A63" t="s">
        <v>46</v>
      </c>
      <c r="B63" t="s">
        <v>0</v>
      </c>
      <c r="C63">
        <v>63</v>
      </c>
      <c r="D63">
        <v>238</v>
      </c>
      <c r="E63" s="2">
        <v>16</v>
      </c>
      <c r="F63" t="s">
        <v>12</v>
      </c>
      <c r="G63" s="6">
        <v>1.5948574937935796</v>
      </c>
      <c r="H63" s="6">
        <v>0.89524279577861032</v>
      </c>
      <c r="I63" s="6">
        <v>0.54478904109589044</v>
      </c>
      <c r="J63" s="6">
        <v>3.0348893306680802</v>
      </c>
    </row>
    <row r="64" spans="1:10" x14ac:dyDescent="0.25">
      <c r="A64" t="s">
        <v>46</v>
      </c>
      <c r="B64" t="s">
        <v>0</v>
      </c>
      <c r="C64">
        <v>63</v>
      </c>
      <c r="D64">
        <v>239</v>
      </c>
      <c r="E64" s="2">
        <v>30</v>
      </c>
      <c r="F64" t="s">
        <v>9</v>
      </c>
      <c r="G64" s="6">
        <v>1.5425568440279813</v>
      </c>
      <c r="H64" s="6">
        <v>0.99294601946011229</v>
      </c>
      <c r="I64" s="6">
        <v>0.57214246575342453</v>
      </c>
      <c r="J64" s="6">
        <v>3.1076453292415183</v>
      </c>
    </row>
    <row r="65" spans="1:10" x14ac:dyDescent="0.25">
      <c r="A65" t="s">
        <v>46</v>
      </c>
      <c r="B65" t="s">
        <v>0</v>
      </c>
      <c r="C65">
        <v>63</v>
      </c>
      <c r="D65">
        <v>240</v>
      </c>
      <c r="E65" s="2">
        <v>15</v>
      </c>
      <c r="F65" t="s">
        <v>20</v>
      </c>
      <c r="G65" s="6">
        <v>1.7858517267704559</v>
      </c>
      <c r="H65" s="6">
        <v>1.0690113000397987</v>
      </c>
      <c r="I65" s="6">
        <v>0.54934794520547947</v>
      </c>
      <c r="J65" s="6">
        <v>3.4042109720157336</v>
      </c>
    </row>
    <row r="66" spans="1:10" x14ac:dyDescent="0.25">
      <c r="A66" t="s">
        <v>46</v>
      </c>
      <c r="B66" t="s">
        <v>0</v>
      </c>
      <c r="C66">
        <v>63</v>
      </c>
      <c r="D66">
        <v>241</v>
      </c>
      <c r="E66" s="2">
        <v>2</v>
      </c>
      <c r="F66" t="s">
        <v>4</v>
      </c>
      <c r="G66" s="6">
        <v>2.0228425209263192</v>
      </c>
      <c r="H66" s="6">
        <v>1.1561409112426695</v>
      </c>
      <c r="I66" s="6">
        <v>0.71935910780669143</v>
      </c>
      <c r="J66" s="6">
        <v>3.8983425399756801</v>
      </c>
    </row>
    <row r="67" spans="1:10" x14ac:dyDescent="0.25">
      <c r="A67" t="s">
        <v>46</v>
      </c>
      <c r="B67" t="s">
        <v>0</v>
      </c>
      <c r="C67">
        <v>63</v>
      </c>
      <c r="D67">
        <v>242</v>
      </c>
      <c r="E67" s="2">
        <v>13</v>
      </c>
      <c r="F67" t="s">
        <v>24</v>
      </c>
      <c r="G67" s="6">
        <v>1.9963377766602028</v>
      </c>
      <c r="H67" s="6">
        <v>1.1973534821811458</v>
      </c>
      <c r="I67" s="6">
        <v>0.68441536555142501</v>
      </c>
      <c r="J67" s="6">
        <v>3.8781066243927738</v>
      </c>
    </row>
    <row r="68" spans="1:10" x14ac:dyDescent="0.25">
      <c r="A68" t="s">
        <v>46</v>
      </c>
      <c r="B68" t="s">
        <v>0</v>
      </c>
      <c r="C68">
        <v>63</v>
      </c>
      <c r="D68">
        <v>243</v>
      </c>
      <c r="E68" s="2">
        <v>34</v>
      </c>
      <c r="F68" t="s">
        <v>34</v>
      </c>
      <c r="G68" s="6">
        <v>1.9086207014608527</v>
      </c>
      <c r="H68" s="6">
        <v>1.0392413016479447</v>
      </c>
      <c r="I68" s="6">
        <v>0.81214076827757131</v>
      </c>
      <c r="J68" s="6">
        <v>3.7600027713863686</v>
      </c>
    </row>
    <row r="69" spans="1:10" x14ac:dyDescent="0.25">
      <c r="A69" t="s">
        <v>46</v>
      </c>
      <c r="B69" t="s">
        <v>0</v>
      </c>
      <c r="C69">
        <v>63</v>
      </c>
      <c r="D69">
        <v>244</v>
      </c>
      <c r="E69" s="2">
        <v>11</v>
      </c>
      <c r="F69" t="s">
        <v>15</v>
      </c>
      <c r="G69" s="6">
        <v>1.541398213707162</v>
      </c>
      <c r="H69" s="6">
        <v>0.88727145586081324</v>
      </c>
      <c r="I69" s="6">
        <v>0.74707311028500623</v>
      </c>
      <c r="J69" s="6">
        <v>3.1757427798529818</v>
      </c>
    </row>
    <row r="70" spans="1:10" x14ac:dyDescent="0.25">
      <c r="A70" t="s">
        <v>46</v>
      </c>
      <c r="B70" t="s">
        <v>0</v>
      </c>
      <c r="C70">
        <v>63</v>
      </c>
      <c r="D70">
        <v>245</v>
      </c>
      <c r="E70" s="2">
        <v>21</v>
      </c>
      <c r="F70" t="s">
        <v>22</v>
      </c>
      <c r="G70" s="6">
        <v>1.26135708266339</v>
      </c>
      <c r="H70" s="6">
        <v>0.88321662516759247</v>
      </c>
      <c r="I70" s="6">
        <v>0.72886666666666666</v>
      </c>
      <c r="J70" s="6">
        <v>2.8734403744976493</v>
      </c>
    </row>
    <row r="71" spans="1:10" x14ac:dyDescent="0.25">
      <c r="A71" t="s">
        <v>46</v>
      </c>
      <c r="B71" t="s">
        <v>0</v>
      </c>
      <c r="C71">
        <v>63</v>
      </c>
      <c r="D71">
        <v>246</v>
      </c>
      <c r="E71" s="2">
        <v>23</v>
      </c>
      <c r="F71" t="s">
        <v>36</v>
      </c>
      <c r="G71" s="6">
        <v>1.4705458703163878</v>
      </c>
      <c r="H71" s="6">
        <v>0.8527278299176404</v>
      </c>
      <c r="I71" s="6">
        <v>0.76542424242424245</v>
      </c>
      <c r="J71" s="6">
        <v>3.0886979426582708</v>
      </c>
    </row>
    <row r="72" spans="1:10" x14ac:dyDescent="0.25">
      <c r="A72" t="s">
        <v>46</v>
      </c>
      <c r="B72" t="s">
        <v>0</v>
      </c>
      <c r="C72">
        <v>63</v>
      </c>
      <c r="D72">
        <v>247</v>
      </c>
      <c r="E72" s="2">
        <v>14</v>
      </c>
      <c r="F72" t="s">
        <v>25</v>
      </c>
      <c r="G72" s="6">
        <v>2.0022249737469338</v>
      </c>
      <c r="H72" s="6">
        <v>0.82305113962842369</v>
      </c>
      <c r="I72" s="6">
        <v>0.81340606060606058</v>
      </c>
      <c r="J72" s="6">
        <v>3.6386821739814184</v>
      </c>
    </row>
    <row r="73" spans="1:10" x14ac:dyDescent="0.25">
      <c r="A73" t="s">
        <v>46</v>
      </c>
      <c r="B73" t="s">
        <v>0</v>
      </c>
      <c r="C73">
        <v>63</v>
      </c>
      <c r="D73">
        <v>248</v>
      </c>
      <c r="E73" s="2">
        <v>33</v>
      </c>
      <c r="F73" t="s">
        <v>23</v>
      </c>
      <c r="G73" s="6">
        <v>2.1273419173235379</v>
      </c>
      <c r="H73" s="6">
        <v>0.89305228883355681</v>
      </c>
      <c r="I73" s="6">
        <v>0.758569696969697</v>
      </c>
      <c r="J73" s="6">
        <v>3.7789639031267916</v>
      </c>
    </row>
    <row r="74" spans="1:10" x14ac:dyDescent="0.25">
      <c r="A74" t="s">
        <v>46</v>
      </c>
      <c r="B74" t="s">
        <v>0</v>
      </c>
      <c r="C74">
        <v>63</v>
      </c>
      <c r="D74">
        <v>313</v>
      </c>
      <c r="E74" s="2">
        <v>19</v>
      </c>
      <c r="F74" t="s">
        <v>10</v>
      </c>
      <c r="G74" s="6">
        <v>2.1978499482185643</v>
      </c>
      <c r="H74" s="6">
        <v>0.88679383741363949</v>
      </c>
      <c r="I74" s="6">
        <v>0.51654309859154923</v>
      </c>
      <c r="J74" s="6">
        <v>3.6011868842237527</v>
      </c>
    </row>
    <row r="75" spans="1:10" x14ac:dyDescent="0.25">
      <c r="A75" t="s">
        <v>46</v>
      </c>
      <c r="B75" t="s">
        <v>0</v>
      </c>
      <c r="C75">
        <v>63</v>
      </c>
      <c r="D75">
        <v>314</v>
      </c>
      <c r="E75" s="2">
        <v>13</v>
      </c>
      <c r="F75" t="s">
        <v>24</v>
      </c>
      <c r="G75" s="6">
        <v>2.0064816425792826</v>
      </c>
      <c r="H75" s="6">
        <v>0.99703356202306159</v>
      </c>
      <c r="I75" s="6">
        <v>0.46088112676056331</v>
      </c>
      <c r="J75" s="6">
        <v>3.4643963313629076</v>
      </c>
    </row>
    <row r="76" spans="1:10" x14ac:dyDescent="0.25">
      <c r="A76" t="s">
        <v>46</v>
      </c>
      <c r="B76" t="s">
        <v>0</v>
      </c>
      <c r="C76">
        <v>63</v>
      </c>
      <c r="D76">
        <v>315</v>
      </c>
      <c r="E76" s="2">
        <v>23</v>
      </c>
      <c r="F76" t="s">
        <v>36</v>
      </c>
      <c r="G76" s="6">
        <v>2.0185048324187855</v>
      </c>
      <c r="H76" s="6">
        <v>0.98672619339929246</v>
      </c>
      <c r="I76" s="6">
        <v>0.51431661971830989</v>
      </c>
      <c r="J76" s="6">
        <v>3.5195476455363881</v>
      </c>
    </row>
    <row r="77" spans="1:10" x14ac:dyDescent="0.25">
      <c r="A77" t="s">
        <v>46</v>
      </c>
      <c r="B77" t="s">
        <v>0</v>
      </c>
      <c r="C77">
        <v>63</v>
      </c>
      <c r="D77">
        <v>316</v>
      </c>
      <c r="E77" s="2">
        <v>6</v>
      </c>
      <c r="F77" t="s">
        <v>1</v>
      </c>
      <c r="G77" s="6">
        <v>1.9669305634129375</v>
      </c>
      <c r="H77" s="6">
        <v>0.71642157868130285</v>
      </c>
      <c r="I77" s="6">
        <v>0.4864856338028169</v>
      </c>
      <c r="J77" s="6">
        <v>3.1698377758970575</v>
      </c>
    </row>
    <row r="78" spans="1:10" x14ac:dyDescent="0.25">
      <c r="A78" t="s">
        <v>46</v>
      </c>
      <c r="B78" t="s">
        <v>0</v>
      </c>
      <c r="C78">
        <v>63</v>
      </c>
      <c r="D78">
        <v>317</v>
      </c>
      <c r="E78" s="2">
        <v>20</v>
      </c>
      <c r="F78" t="s">
        <v>28</v>
      </c>
      <c r="G78" s="6">
        <v>1.6809554624473575</v>
      </c>
      <c r="H78" s="6">
        <v>0.77065107482362305</v>
      </c>
      <c r="I78" s="6">
        <v>0.44985792922673656</v>
      </c>
      <c r="J78" s="6">
        <v>2.9014644664977172</v>
      </c>
    </row>
    <row r="79" spans="1:10" x14ac:dyDescent="0.25">
      <c r="A79" t="s">
        <v>46</v>
      </c>
      <c r="B79" t="s">
        <v>0</v>
      </c>
      <c r="C79">
        <v>63</v>
      </c>
      <c r="D79">
        <v>318</v>
      </c>
      <c r="E79" s="2">
        <v>36</v>
      </c>
      <c r="F79" t="s">
        <v>27</v>
      </c>
      <c r="G79" s="6">
        <v>2.1333666081449327</v>
      </c>
      <c r="H79" s="6">
        <v>0.7959609221291114</v>
      </c>
      <c r="I79" s="6">
        <v>0.48818663171690696</v>
      </c>
      <c r="J79" s="6">
        <v>3.417514161990951</v>
      </c>
    </row>
    <row r="80" spans="1:10" x14ac:dyDescent="0.25">
      <c r="A80" t="s">
        <v>46</v>
      </c>
      <c r="B80" t="s">
        <v>0</v>
      </c>
      <c r="C80">
        <v>63</v>
      </c>
      <c r="D80">
        <v>319</v>
      </c>
      <c r="E80" s="2">
        <v>3</v>
      </c>
      <c r="F80" t="s">
        <v>3</v>
      </c>
      <c r="G80" s="6">
        <v>1.9812122658681863</v>
      </c>
      <c r="H80" s="6">
        <v>0.73946020337186602</v>
      </c>
      <c r="I80" s="6">
        <v>0.48516068152031455</v>
      </c>
      <c r="J80" s="6">
        <v>3.205833150760367</v>
      </c>
    </row>
    <row r="81" spans="1:10" x14ac:dyDescent="0.25">
      <c r="A81" t="s">
        <v>46</v>
      </c>
      <c r="B81" t="s">
        <v>0</v>
      </c>
      <c r="C81">
        <v>63</v>
      </c>
      <c r="D81">
        <v>320</v>
      </c>
      <c r="E81" s="2">
        <v>33</v>
      </c>
      <c r="F81" t="s">
        <v>23</v>
      </c>
      <c r="G81" s="6">
        <v>2.1692423122906415</v>
      </c>
      <c r="H81" s="6">
        <v>0.85000347785763974</v>
      </c>
      <c r="I81" s="6">
        <v>0.5265153342070773</v>
      </c>
      <c r="J81" s="6">
        <v>3.5457611243553586</v>
      </c>
    </row>
    <row r="82" spans="1:10" x14ac:dyDescent="0.25">
      <c r="A82" t="s">
        <v>46</v>
      </c>
      <c r="B82" t="s">
        <v>0</v>
      </c>
      <c r="C82">
        <v>63</v>
      </c>
      <c r="D82">
        <v>321</v>
      </c>
      <c r="E82" s="2">
        <v>22</v>
      </c>
      <c r="F82" t="s">
        <v>7</v>
      </c>
      <c r="G82" s="6">
        <v>2.0744959640078737</v>
      </c>
      <c r="H82" s="6">
        <v>0.91755692608908468</v>
      </c>
      <c r="I82" s="6">
        <v>0.50115734002509416</v>
      </c>
      <c r="J82" s="6">
        <v>3.4932102301220525</v>
      </c>
    </row>
    <row r="83" spans="1:10" x14ac:dyDescent="0.25">
      <c r="A83" t="s">
        <v>46</v>
      </c>
      <c r="B83" t="s">
        <v>0</v>
      </c>
      <c r="C83">
        <v>63</v>
      </c>
      <c r="D83">
        <v>322</v>
      </c>
      <c r="E83" s="2">
        <v>1</v>
      </c>
      <c r="F83" t="s">
        <v>6</v>
      </c>
      <c r="G83" s="6">
        <v>2.1108399137688632</v>
      </c>
      <c r="H83" s="6">
        <v>0.96358570729319626</v>
      </c>
      <c r="I83" s="6">
        <v>0.55307904642409045</v>
      </c>
      <c r="J83" s="6">
        <v>3.62750466748615</v>
      </c>
    </row>
    <row r="84" spans="1:10" x14ac:dyDescent="0.25">
      <c r="A84" t="s">
        <v>46</v>
      </c>
      <c r="B84" t="s">
        <v>0</v>
      </c>
      <c r="C84">
        <v>63</v>
      </c>
      <c r="D84">
        <v>323</v>
      </c>
      <c r="E84" s="2">
        <v>15</v>
      </c>
      <c r="F84" t="s">
        <v>20</v>
      </c>
      <c r="G84" s="6">
        <v>2.0772891180054365</v>
      </c>
      <c r="H84" s="6">
        <v>1.0046053842388645</v>
      </c>
      <c r="I84" s="6">
        <v>0.51695959849435391</v>
      </c>
      <c r="J84" s="6">
        <v>3.598854100738655</v>
      </c>
    </row>
    <row r="85" spans="1:10" x14ac:dyDescent="0.25">
      <c r="A85" t="s">
        <v>46</v>
      </c>
      <c r="B85" t="s">
        <v>0</v>
      </c>
      <c r="C85">
        <v>63</v>
      </c>
      <c r="D85">
        <v>324</v>
      </c>
      <c r="E85" s="2">
        <v>4</v>
      </c>
      <c r="F85" t="s">
        <v>2</v>
      </c>
      <c r="G85" s="6">
        <v>2.019203134314369</v>
      </c>
      <c r="H85" s="6">
        <v>0.68891982378854633</v>
      </c>
      <c r="I85" s="6">
        <v>0.58468356336260974</v>
      </c>
      <c r="J85" s="6">
        <v>3.2928065214655255</v>
      </c>
    </row>
    <row r="86" spans="1:10" x14ac:dyDescent="0.25">
      <c r="A86" t="s">
        <v>46</v>
      </c>
      <c r="B86" t="s">
        <v>0</v>
      </c>
      <c r="C86">
        <v>63</v>
      </c>
      <c r="D86">
        <v>325</v>
      </c>
      <c r="E86" s="2">
        <v>12</v>
      </c>
      <c r="F86" t="s">
        <v>33</v>
      </c>
      <c r="G86" s="6">
        <v>2.369479627097856</v>
      </c>
      <c r="H86" s="6">
        <v>0.72067219682486905</v>
      </c>
      <c r="I86" s="6">
        <v>0.54475707317073174</v>
      </c>
      <c r="J86" s="6">
        <v>3.6349088970934571</v>
      </c>
    </row>
    <row r="87" spans="1:10" x14ac:dyDescent="0.25">
      <c r="A87" t="s">
        <v>46</v>
      </c>
      <c r="B87" t="s">
        <v>0</v>
      </c>
      <c r="C87">
        <v>63</v>
      </c>
      <c r="D87">
        <v>326</v>
      </c>
      <c r="E87" s="2">
        <v>24</v>
      </c>
      <c r="F87" t="s">
        <v>32</v>
      </c>
      <c r="G87" s="6">
        <v>2.2458020648021564</v>
      </c>
      <c r="H87" s="6">
        <v>0.70255799185437617</v>
      </c>
      <c r="I87" s="6">
        <v>0.48704975609756096</v>
      </c>
      <c r="J87" s="6">
        <v>3.4354098127540933</v>
      </c>
    </row>
    <row r="88" spans="1:10" x14ac:dyDescent="0.25">
      <c r="A88" t="s">
        <v>46</v>
      </c>
      <c r="B88" t="s">
        <v>0</v>
      </c>
      <c r="C88">
        <v>63</v>
      </c>
      <c r="D88">
        <v>327</v>
      </c>
      <c r="E88" s="2">
        <v>21</v>
      </c>
      <c r="F88" t="s">
        <v>22</v>
      </c>
      <c r="G88" s="6">
        <v>1.7484894897631948</v>
      </c>
      <c r="H88" s="6" t="s">
        <v>60</v>
      </c>
      <c r="I88" s="6">
        <v>0.42934243902439029</v>
      </c>
      <c r="J88" s="6" t="s">
        <v>60</v>
      </c>
    </row>
    <row r="89" spans="1:10" x14ac:dyDescent="0.25">
      <c r="A89" t="s">
        <v>46</v>
      </c>
      <c r="B89" t="s">
        <v>0</v>
      </c>
      <c r="C89">
        <v>63</v>
      </c>
      <c r="D89">
        <v>328</v>
      </c>
      <c r="E89" s="2">
        <v>2</v>
      </c>
      <c r="F89" s="19" t="s">
        <v>4</v>
      </c>
      <c r="G89" s="6">
        <v>1.9483243596018927</v>
      </c>
      <c r="H89" s="6" t="s">
        <v>60</v>
      </c>
      <c r="I89" s="6">
        <v>0.47781658536585364</v>
      </c>
      <c r="J89" s="6" t="s">
        <v>60</v>
      </c>
    </row>
    <row r="90" spans="1:10" x14ac:dyDescent="0.25">
      <c r="A90" t="s">
        <v>46</v>
      </c>
      <c r="B90" t="s">
        <v>0</v>
      </c>
      <c r="C90">
        <v>63</v>
      </c>
      <c r="D90">
        <v>329</v>
      </c>
      <c r="E90" s="2">
        <v>30</v>
      </c>
      <c r="F90" t="s">
        <v>9</v>
      </c>
      <c r="G90" s="6">
        <v>1.7257431139351138</v>
      </c>
      <c r="H90" s="6" t="s">
        <v>60</v>
      </c>
      <c r="I90" s="6">
        <v>0.47213930348258709</v>
      </c>
      <c r="J90" s="6" t="s">
        <v>60</v>
      </c>
    </row>
    <row r="91" spans="1:10" x14ac:dyDescent="0.25">
      <c r="A91" t="s">
        <v>46</v>
      </c>
      <c r="B91" t="s">
        <v>0</v>
      </c>
      <c r="C91">
        <v>63</v>
      </c>
      <c r="D91">
        <v>330</v>
      </c>
      <c r="E91" s="2">
        <v>8</v>
      </c>
      <c r="F91" t="s">
        <v>31</v>
      </c>
      <c r="G91" s="6">
        <v>1.7998447260573278</v>
      </c>
      <c r="H91" s="6" t="s">
        <v>60</v>
      </c>
      <c r="I91" s="6">
        <v>0.5044776119402985</v>
      </c>
      <c r="J91" s="6" t="s">
        <v>60</v>
      </c>
    </row>
    <row r="92" spans="1:10" x14ac:dyDescent="0.25">
      <c r="A92" t="s">
        <v>46</v>
      </c>
      <c r="B92" t="s">
        <v>0</v>
      </c>
      <c r="C92">
        <v>63</v>
      </c>
      <c r="D92">
        <v>331</v>
      </c>
      <c r="E92" s="2">
        <v>17</v>
      </c>
      <c r="F92" t="s">
        <v>17</v>
      </c>
      <c r="G92" s="6">
        <v>1.8471804419458846</v>
      </c>
      <c r="H92" s="6">
        <v>0.91192662817002013</v>
      </c>
      <c r="I92" s="6">
        <v>0.47429519071310122</v>
      </c>
      <c r="J92" s="6">
        <v>3.2334022608290063</v>
      </c>
    </row>
    <row r="93" spans="1:10" x14ac:dyDescent="0.25">
      <c r="A93" t="s">
        <v>46</v>
      </c>
      <c r="B93" t="s">
        <v>0</v>
      </c>
      <c r="C93">
        <v>63</v>
      </c>
      <c r="D93">
        <v>332</v>
      </c>
      <c r="E93" s="2">
        <v>34</v>
      </c>
      <c r="F93" t="s">
        <v>34</v>
      </c>
      <c r="G93" s="6">
        <v>1.8160911102975046</v>
      </c>
      <c r="H93" s="6">
        <v>0.89640912608643897</v>
      </c>
      <c r="I93" s="6">
        <v>0.49800995024875627</v>
      </c>
      <c r="J93" s="6">
        <v>3.2105101866326997</v>
      </c>
    </row>
    <row r="94" spans="1:10" x14ac:dyDescent="0.25">
      <c r="A94" t="s">
        <v>46</v>
      </c>
      <c r="B94" t="s">
        <v>0</v>
      </c>
      <c r="C94">
        <v>63</v>
      </c>
      <c r="D94">
        <v>333</v>
      </c>
      <c r="E94" s="2">
        <v>14</v>
      </c>
      <c r="F94" t="s">
        <v>25</v>
      </c>
      <c r="G94" s="6">
        <v>1.8339280722017233</v>
      </c>
      <c r="H94" s="6">
        <v>0.74243110881994567</v>
      </c>
      <c r="I94" s="6">
        <v>0.45785521472392637</v>
      </c>
      <c r="J94" s="6">
        <v>3.0342143957455954</v>
      </c>
    </row>
    <row r="95" spans="1:10" x14ac:dyDescent="0.25">
      <c r="A95" t="s">
        <v>46</v>
      </c>
      <c r="B95" t="s">
        <v>0</v>
      </c>
      <c r="C95">
        <v>63</v>
      </c>
      <c r="D95">
        <v>334</v>
      </c>
      <c r="E95" s="2">
        <v>7</v>
      </c>
      <c r="F95" t="s">
        <v>16</v>
      </c>
      <c r="G95" s="6">
        <v>1.8502737083107621</v>
      </c>
      <c r="H95" s="6">
        <v>0.78215214640547392</v>
      </c>
      <c r="I95" s="6">
        <v>0.43437546012269945</v>
      </c>
      <c r="J95" s="6">
        <v>3.0668013148389353</v>
      </c>
    </row>
    <row r="96" spans="1:10" x14ac:dyDescent="0.25">
      <c r="A96" t="s">
        <v>46</v>
      </c>
      <c r="B96" t="s">
        <v>0</v>
      </c>
      <c r="C96">
        <v>63</v>
      </c>
      <c r="D96">
        <v>335</v>
      </c>
      <c r="E96" s="2">
        <v>9</v>
      </c>
      <c r="F96" t="s">
        <v>19</v>
      </c>
      <c r="G96" s="6">
        <v>1.9311669082249048</v>
      </c>
      <c r="H96" s="6">
        <v>0.82132943574843009</v>
      </c>
      <c r="I96" s="6">
        <v>0.53064245398773002</v>
      </c>
      <c r="J96" s="6">
        <v>3.2831387979610649</v>
      </c>
    </row>
    <row r="97" spans="1:10" x14ac:dyDescent="0.25">
      <c r="A97" t="s">
        <v>46</v>
      </c>
      <c r="B97" t="s">
        <v>0</v>
      </c>
      <c r="C97">
        <v>63</v>
      </c>
      <c r="D97">
        <v>336</v>
      </c>
      <c r="E97" s="2">
        <v>11</v>
      </c>
      <c r="F97" t="s">
        <v>15</v>
      </c>
      <c r="G97" s="6">
        <v>2.2519051320052736</v>
      </c>
      <c r="H97" s="6">
        <v>1.1257751429374827</v>
      </c>
      <c r="I97" s="6">
        <v>0.6057776687116565</v>
      </c>
      <c r="J97" s="6">
        <v>3.9834579436544129</v>
      </c>
    </row>
    <row r="98" spans="1:10" x14ac:dyDescent="0.25">
      <c r="A98" t="s">
        <v>46</v>
      </c>
      <c r="B98" t="s">
        <v>0</v>
      </c>
      <c r="C98">
        <v>63</v>
      </c>
      <c r="D98">
        <v>337</v>
      </c>
      <c r="E98" s="2">
        <v>29</v>
      </c>
      <c r="F98" t="s">
        <v>11</v>
      </c>
      <c r="G98" s="6">
        <v>2.0619275537337214</v>
      </c>
      <c r="H98" s="6">
        <v>1.0981488523069791</v>
      </c>
      <c r="I98" s="6">
        <v>0.56133999999999995</v>
      </c>
      <c r="J98" s="6">
        <v>3.7214164060407007</v>
      </c>
    </row>
    <row r="99" spans="1:10" x14ac:dyDescent="0.25">
      <c r="A99" t="s">
        <v>46</v>
      </c>
      <c r="B99" t="s">
        <v>0</v>
      </c>
      <c r="C99">
        <v>63</v>
      </c>
      <c r="D99">
        <v>338</v>
      </c>
      <c r="E99" s="2">
        <v>26</v>
      </c>
      <c r="F99" t="s">
        <v>21</v>
      </c>
      <c r="G99" s="6">
        <v>2.1561068744011478</v>
      </c>
      <c r="H99" s="6">
        <v>0.85170044052863425</v>
      </c>
      <c r="I99" s="6">
        <v>0.57680999999999993</v>
      </c>
      <c r="J99" s="6">
        <v>3.584617314929782</v>
      </c>
    </row>
    <row r="100" spans="1:10" x14ac:dyDescent="0.25">
      <c r="A100" t="s">
        <v>46</v>
      </c>
      <c r="B100" t="s">
        <v>0</v>
      </c>
      <c r="C100">
        <v>63</v>
      </c>
      <c r="D100">
        <v>339</v>
      </c>
      <c r="E100" s="2">
        <v>28</v>
      </c>
      <c r="F100" t="s">
        <v>13</v>
      </c>
      <c r="G100" s="6">
        <v>2.1181380504481826</v>
      </c>
      <c r="H100" s="6">
        <v>0.81390308370044051</v>
      </c>
      <c r="I100" s="6">
        <v>0.53481999999999996</v>
      </c>
      <c r="J100" s="6">
        <v>3.4668611341486231</v>
      </c>
    </row>
    <row r="101" spans="1:10" x14ac:dyDescent="0.25">
      <c r="A101" t="s">
        <v>46</v>
      </c>
      <c r="B101" t="s">
        <v>0</v>
      </c>
      <c r="C101">
        <v>63</v>
      </c>
      <c r="D101">
        <v>340</v>
      </c>
      <c r="E101" s="2">
        <v>31</v>
      </c>
      <c r="F101" t="s">
        <v>29</v>
      </c>
      <c r="G101" s="6">
        <v>2.0050804234064143</v>
      </c>
      <c r="H101" s="6">
        <v>0.79908073266867596</v>
      </c>
      <c r="I101" s="6">
        <v>0.59891000000000005</v>
      </c>
      <c r="J101" s="6">
        <v>3.4030711560750904</v>
      </c>
    </row>
    <row r="102" spans="1:10" x14ac:dyDescent="0.25">
      <c r="A102" t="s">
        <v>46</v>
      </c>
      <c r="B102" t="s">
        <v>0</v>
      </c>
      <c r="C102">
        <v>63</v>
      </c>
      <c r="D102">
        <v>341</v>
      </c>
      <c r="E102" s="2">
        <v>10</v>
      </c>
      <c r="F102" t="s">
        <v>35</v>
      </c>
      <c r="G102" s="6">
        <v>1.8541233480176214</v>
      </c>
      <c r="H102" s="6">
        <v>0.7086352856214343</v>
      </c>
      <c r="I102" s="6">
        <v>0.56145248226950362</v>
      </c>
      <c r="J102" s="6">
        <v>3.124211115908559</v>
      </c>
    </row>
    <row r="103" spans="1:10" x14ac:dyDescent="0.25">
      <c r="A103" t="s">
        <v>46</v>
      </c>
      <c r="B103" t="s">
        <v>0</v>
      </c>
      <c r="C103">
        <v>63</v>
      </c>
      <c r="D103">
        <v>342</v>
      </c>
      <c r="E103" s="2">
        <v>35</v>
      </c>
      <c r="F103" t="s">
        <v>26</v>
      </c>
      <c r="G103" s="6">
        <v>2.0565370925110136</v>
      </c>
      <c r="H103" s="6">
        <v>0.84661009604968585</v>
      </c>
      <c r="I103" s="6">
        <v>0.63826004728132391</v>
      </c>
      <c r="J103" s="6">
        <v>3.5414072358420232</v>
      </c>
    </row>
    <row r="104" spans="1:10" x14ac:dyDescent="0.25">
      <c r="A104" t="s">
        <v>46</v>
      </c>
      <c r="B104" t="s">
        <v>0</v>
      </c>
      <c r="C104">
        <v>63</v>
      </c>
      <c r="D104">
        <v>343</v>
      </c>
      <c r="E104" s="2">
        <v>27</v>
      </c>
      <c r="F104" t="s">
        <v>14</v>
      </c>
      <c r="G104" s="6">
        <v>1.7173448458149783</v>
      </c>
      <c r="H104" s="6">
        <v>0.76187942514624096</v>
      </c>
      <c r="I104" s="6">
        <v>0.5625342789598109</v>
      </c>
      <c r="J104" s="6">
        <v>3.0417585499210302</v>
      </c>
    </row>
    <row r="105" spans="1:10" x14ac:dyDescent="0.25">
      <c r="A105" t="s">
        <v>46</v>
      </c>
      <c r="B105" t="s">
        <v>0</v>
      </c>
      <c r="C105">
        <v>63</v>
      </c>
      <c r="D105">
        <v>344</v>
      </c>
      <c r="E105" s="2">
        <v>18</v>
      </c>
      <c r="F105" t="s">
        <v>18</v>
      </c>
      <c r="G105" s="6">
        <v>1.685672599118943</v>
      </c>
      <c r="H105" s="6">
        <v>0.74185565104354745</v>
      </c>
      <c r="I105" s="6">
        <v>0.57335224586288425</v>
      </c>
      <c r="J105" s="6">
        <v>3.0008804960253745</v>
      </c>
    </row>
    <row r="106" spans="1:10" x14ac:dyDescent="0.25">
      <c r="A106" t="s">
        <v>46</v>
      </c>
      <c r="B106" t="s">
        <v>0</v>
      </c>
      <c r="C106">
        <v>63</v>
      </c>
      <c r="D106">
        <v>345</v>
      </c>
      <c r="E106" s="2">
        <v>16</v>
      </c>
      <c r="F106" t="s">
        <v>12</v>
      </c>
      <c r="G106" s="6">
        <v>1.7758687224669607</v>
      </c>
      <c r="H106" s="6">
        <v>0.81139955947136566</v>
      </c>
      <c r="I106" s="6">
        <v>0.5040627027027027</v>
      </c>
      <c r="J106" s="6">
        <v>3.0913309846410293</v>
      </c>
    </row>
    <row r="107" spans="1:10" x14ac:dyDescent="0.25">
      <c r="A107" t="s">
        <v>46</v>
      </c>
      <c r="B107" t="s">
        <v>0</v>
      </c>
      <c r="C107">
        <v>63</v>
      </c>
      <c r="D107">
        <v>346</v>
      </c>
      <c r="E107" s="2">
        <v>32</v>
      </c>
      <c r="F107" t="s">
        <v>30</v>
      </c>
      <c r="G107" s="6">
        <v>2.1930140969162997</v>
      </c>
      <c r="H107" s="6">
        <v>0.79821806167400877</v>
      </c>
      <c r="I107" s="6">
        <v>0.54625297297297293</v>
      </c>
      <c r="J107" s="6">
        <v>3.5374851315632814</v>
      </c>
    </row>
    <row r="108" spans="1:10" x14ac:dyDescent="0.25">
      <c r="A108" t="s">
        <v>46</v>
      </c>
      <c r="B108" t="s">
        <v>0</v>
      </c>
      <c r="C108">
        <v>63</v>
      </c>
      <c r="D108">
        <v>347</v>
      </c>
      <c r="E108" s="2">
        <v>25</v>
      </c>
      <c r="F108" t="s">
        <v>8</v>
      </c>
      <c r="G108" s="6">
        <v>2.2083048458149781</v>
      </c>
      <c r="H108" s="6">
        <v>0.86930881057268705</v>
      </c>
      <c r="I108" s="6">
        <v>0.61064864864864876</v>
      </c>
      <c r="J108" s="6">
        <v>3.6882623050363139</v>
      </c>
    </row>
    <row r="109" spans="1:10" x14ac:dyDescent="0.25">
      <c r="A109" t="s">
        <v>46</v>
      </c>
      <c r="B109" t="s">
        <v>0</v>
      </c>
      <c r="C109">
        <v>63</v>
      </c>
      <c r="D109">
        <v>348</v>
      </c>
      <c r="E109" s="2">
        <v>5</v>
      </c>
      <c r="F109" t="s">
        <v>5</v>
      </c>
      <c r="G109" s="6">
        <v>1.9148140969162997</v>
      </c>
      <c r="H109" s="6">
        <v>0.82542555066079282</v>
      </c>
      <c r="I109" s="6">
        <v>0.56068648648648645</v>
      </c>
      <c r="J109" s="6">
        <v>3.3009261340635785</v>
      </c>
    </row>
    <row r="110" spans="1:10" x14ac:dyDescent="0.25">
      <c r="A110" t="s">
        <v>46</v>
      </c>
      <c r="B110" t="s">
        <v>0</v>
      </c>
      <c r="C110">
        <v>63</v>
      </c>
      <c r="D110">
        <v>413</v>
      </c>
      <c r="E110" s="2">
        <v>6</v>
      </c>
      <c r="F110" t="s">
        <v>1</v>
      </c>
      <c r="G110" s="6">
        <v>1.3827886279357233</v>
      </c>
      <c r="H110" s="6">
        <v>0.46031030303030313</v>
      </c>
      <c r="I110" s="6">
        <v>0.36495412844036701</v>
      </c>
      <c r="J110" s="6">
        <v>2.2080530594063932</v>
      </c>
    </row>
    <row r="111" spans="1:10" x14ac:dyDescent="0.25">
      <c r="A111" t="s">
        <v>46</v>
      </c>
      <c r="B111" t="s">
        <v>0</v>
      </c>
      <c r="C111">
        <v>63</v>
      </c>
      <c r="D111">
        <v>414</v>
      </c>
      <c r="E111" s="2">
        <v>29</v>
      </c>
      <c r="F111" t="s">
        <v>11</v>
      </c>
      <c r="G111" s="6">
        <v>1.2896899876390608</v>
      </c>
      <c r="H111" s="6">
        <v>0.44341818181818188</v>
      </c>
      <c r="I111" s="6">
        <v>0.36710091743119266</v>
      </c>
      <c r="J111" s="6">
        <v>2.1002090868884356</v>
      </c>
    </row>
    <row r="112" spans="1:10" x14ac:dyDescent="0.25">
      <c r="A112" t="s">
        <v>46</v>
      </c>
      <c r="B112" t="s">
        <v>0</v>
      </c>
      <c r="C112">
        <v>63</v>
      </c>
      <c r="D112">
        <v>415</v>
      </c>
      <c r="E112" s="2">
        <v>5</v>
      </c>
      <c r="F112" t="s">
        <v>5</v>
      </c>
      <c r="G112" s="6">
        <v>1.314333745364648</v>
      </c>
      <c r="H112" s="6">
        <v>0.5109866666666667</v>
      </c>
      <c r="I112" s="6">
        <v>0.41218348623853213</v>
      </c>
      <c r="J112" s="6">
        <v>2.2375038982698467</v>
      </c>
    </row>
    <row r="113" spans="1:10" x14ac:dyDescent="0.25">
      <c r="A113" t="s">
        <v>46</v>
      </c>
      <c r="B113" t="s">
        <v>0</v>
      </c>
      <c r="C113">
        <v>63</v>
      </c>
      <c r="D113">
        <v>416</v>
      </c>
      <c r="E113" s="2">
        <v>17</v>
      </c>
      <c r="F113" t="s">
        <v>17</v>
      </c>
      <c r="G113" s="6">
        <v>1.2513552533992585</v>
      </c>
      <c r="H113" s="6">
        <v>0.45608727272727279</v>
      </c>
      <c r="I113" s="6">
        <v>0.34563302752293579</v>
      </c>
      <c r="J113" s="6">
        <v>2.0530755536494669</v>
      </c>
    </row>
    <row r="114" spans="1:10" x14ac:dyDescent="0.25">
      <c r="A114" t="s">
        <v>46</v>
      </c>
      <c r="B114" t="s">
        <v>0</v>
      </c>
      <c r="C114">
        <v>63</v>
      </c>
      <c r="D114">
        <v>417</v>
      </c>
      <c r="E114" s="2">
        <v>24</v>
      </c>
      <c r="F114" t="s">
        <v>32</v>
      </c>
      <c r="G114" s="6">
        <v>1.5022633451957297</v>
      </c>
      <c r="H114" s="6">
        <v>0.44447361111111117</v>
      </c>
      <c r="I114" s="6">
        <v>0.4156711462450593</v>
      </c>
      <c r="J114" s="6">
        <v>2.3624081025519001</v>
      </c>
    </row>
    <row r="115" spans="1:10" x14ac:dyDescent="0.25">
      <c r="A115" t="s">
        <v>46</v>
      </c>
      <c r="B115" t="s">
        <v>0</v>
      </c>
      <c r="C115">
        <v>63</v>
      </c>
      <c r="D115">
        <v>418</v>
      </c>
      <c r="E115" s="2">
        <v>27</v>
      </c>
      <c r="F115" t="s">
        <v>14</v>
      </c>
      <c r="G115" s="6">
        <v>1.2716128113879004</v>
      </c>
      <c r="H115" s="6">
        <v>0.39700555555555561</v>
      </c>
      <c r="I115" s="6">
        <v>0.40917628458498023</v>
      </c>
      <c r="J115" s="6">
        <v>2.0777946515284365</v>
      </c>
    </row>
    <row r="116" spans="1:10" x14ac:dyDescent="0.25">
      <c r="A116" t="s">
        <v>46</v>
      </c>
      <c r="B116" t="s">
        <v>0</v>
      </c>
      <c r="C116">
        <v>63</v>
      </c>
      <c r="D116">
        <v>419</v>
      </c>
      <c r="E116" s="2">
        <v>7</v>
      </c>
      <c r="F116" t="s">
        <v>16</v>
      </c>
      <c r="G116" s="6">
        <v>1.6752512455516013</v>
      </c>
      <c r="H116" s="6">
        <v>0.52646388888888884</v>
      </c>
      <c r="I116" s="6">
        <v>0.37237206851119897</v>
      </c>
      <c r="J116" s="6">
        <v>2.5740872029516888</v>
      </c>
    </row>
    <row r="117" spans="1:10" x14ac:dyDescent="0.25">
      <c r="A117" t="s">
        <v>46</v>
      </c>
      <c r="B117" t="s">
        <v>0</v>
      </c>
      <c r="C117">
        <v>63</v>
      </c>
      <c r="D117">
        <v>420</v>
      </c>
      <c r="E117" s="2">
        <v>18</v>
      </c>
      <c r="F117" t="s">
        <v>18</v>
      </c>
      <c r="G117" s="6">
        <v>1.6934604982206407</v>
      </c>
      <c r="H117" s="6">
        <v>0.50920277777777778</v>
      </c>
      <c r="I117" s="6">
        <v>0.48061976284584984</v>
      </c>
      <c r="J117" s="6">
        <v>2.6832830388442686</v>
      </c>
    </row>
    <row r="118" spans="1:10" x14ac:dyDescent="0.25">
      <c r="A118" t="s">
        <v>46</v>
      </c>
      <c r="B118" t="s">
        <v>0</v>
      </c>
      <c r="C118">
        <v>63</v>
      </c>
      <c r="D118">
        <v>421</v>
      </c>
      <c r="E118" s="2">
        <v>34</v>
      </c>
      <c r="F118" t="s">
        <v>34</v>
      </c>
      <c r="G118" s="6">
        <v>1.6443523545706371</v>
      </c>
      <c r="H118" s="6">
        <v>0.63816487455197146</v>
      </c>
      <c r="I118" s="6">
        <v>0.5405208053691275</v>
      </c>
      <c r="J118" s="6">
        <v>2.8230380344917361</v>
      </c>
    </row>
    <row r="119" spans="1:10" x14ac:dyDescent="0.25">
      <c r="A119" t="s">
        <v>46</v>
      </c>
      <c r="B119" t="s">
        <v>0</v>
      </c>
      <c r="C119">
        <v>63</v>
      </c>
      <c r="D119">
        <v>422</v>
      </c>
      <c r="E119" s="2">
        <v>31</v>
      </c>
      <c r="F119" t="s">
        <v>29</v>
      </c>
      <c r="G119" s="6">
        <v>1.5545119113573407</v>
      </c>
      <c r="H119" s="6">
        <v>0.60625663082437276</v>
      </c>
      <c r="I119" s="6">
        <v>0.48468187919463085</v>
      </c>
      <c r="J119" s="6">
        <v>2.6454504213763443</v>
      </c>
    </row>
    <row r="120" spans="1:10" x14ac:dyDescent="0.25">
      <c r="A120" t="s">
        <v>46</v>
      </c>
      <c r="B120" t="s">
        <v>0</v>
      </c>
      <c r="C120">
        <v>63</v>
      </c>
      <c r="D120">
        <v>423</v>
      </c>
      <c r="E120" s="2">
        <v>10</v>
      </c>
      <c r="F120" t="s">
        <v>35</v>
      </c>
      <c r="G120" s="6">
        <v>1.6661318559556788</v>
      </c>
      <c r="H120" s="6">
        <v>0.6620960573476703</v>
      </c>
      <c r="I120" s="6">
        <v>0.51818523489932877</v>
      </c>
      <c r="J120" s="6">
        <v>2.8464131482026778</v>
      </c>
    </row>
    <row r="121" spans="1:10" x14ac:dyDescent="0.25">
      <c r="A121" t="s">
        <v>46</v>
      </c>
      <c r="B121" t="s">
        <v>0</v>
      </c>
      <c r="C121">
        <v>63</v>
      </c>
      <c r="D121">
        <v>424</v>
      </c>
      <c r="E121" s="2">
        <v>36</v>
      </c>
      <c r="F121" t="s">
        <v>27</v>
      </c>
      <c r="G121" s="6">
        <v>2.0146038781163438</v>
      </c>
      <c r="H121" s="6">
        <v>0.59827956989247322</v>
      </c>
      <c r="I121" s="6">
        <v>0.53605369127516778</v>
      </c>
      <c r="J121" s="6">
        <v>3.1489371392839844</v>
      </c>
    </row>
    <row r="122" spans="1:10" x14ac:dyDescent="0.25">
      <c r="A122" t="s">
        <v>46</v>
      </c>
      <c r="B122" t="s">
        <v>0</v>
      </c>
      <c r="C122">
        <v>63</v>
      </c>
      <c r="D122">
        <v>425</v>
      </c>
      <c r="E122" s="2">
        <v>11</v>
      </c>
      <c r="F122" t="s">
        <v>15</v>
      </c>
      <c r="G122" s="6">
        <v>1.7036211891891893</v>
      </c>
      <c r="H122" s="6" t="s">
        <v>60</v>
      </c>
      <c r="I122" s="6">
        <v>0.53550714285714296</v>
      </c>
      <c r="J122" s="6" t="s">
        <v>60</v>
      </c>
    </row>
    <row r="123" spans="1:10" x14ac:dyDescent="0.25">
      <c r="A123" t="s">
        <v>46</v>
      </c>
      <c r="B123" t="s">
        <v>0</v>
      </c>
      <c r="C123">
        <v>63</v>
      </c>
      <c r="D123">
        <v>426</v>
      </c>
      <c r="E123" s="2">
        <v>4</v>
      </c>
      <c r="F123" s="19" t="s">
        <v>2</v>
      </c>
      <c r="G123" s="6">
        <v>1.4210560000000001</v>
      </c>
      <c r="H123" s="6" t="s">
        <v>60</v>
      </c>
      <c r="I123" s="6">
        <v>0.43382857142857145</v>
      </c>
      <c r="J123" s="6" t="s">
        <v>60</v>
      </c>
    </row>
    <row r="124" spans="1:10" x14ac:dyDescent="0.25">
      <c r="A124" t="s">
        <v>46</v>
      </c>
      <c r="B124" t="s">
        <v>0</v>
      </c>
      <c r="C124">
        <v>63</v>
      </c>
      <c r="D124">
        <v>427</v>
      </c>
      <c r="E124" s="2">
        <v>30</v>
      </c>
      <c r="F124" t="s">
        <v>9</v>
      </c>
      <c r="G124" s="6">
        <v>1.434772756756757</v>
      </c>
      <c r="H124" s="6" t="s">
        <v>60</v>
      </c>
      <c r="I124" s="6">
        <v>0.38863809523809523</v>
      </c>
      <c r="J124" s="6" t="s">
        <v>60</v>
      </c>
    </row>
    <row r="125" spans="1:10" x14ac:dyDescent="0.25">
      <c r="A125" t="s">
        <v>46</v>
      </c>
      <c r="B125" t="s">
        <v>0</v>
      </c>
      <c r="C125">
        <v>63</v>
      </c>
      <c r="D125">
        <v>428</v>
      </c>
      <c r="E125" s="2">
        <v>22</v>
      </c>
      <c r="F125" t="s">
        <v>7</v>
      </c>
      <c r="G125" s="6">
        <v>1.5911437837837841</v>
      </c>
      <c r="H125" s="6" t="s">
        <v>60</v>
      </c>
      <c r="I125" s="6">
        <v>0.3750809523809524</v>
      </c>
      <c r="J125" s="6" t="s">
        <v>60</v>
      </c>
    </row>
    <row r="126" spans="1:10" x14ac:dyDescent="0.25">
      <c r="A126" t="s">
        <v>46</v>
      </c>
      <c r="B126" t="s">
        <v>0</v>
      </c>
      <c r="C126">
        <v>63</v>
      </c>
      <c r="D126">
        <v>429</v>
      </c>
      <c r="E126" s="2">
        <v>35</v>
      </c>
      <c r="F126" t="s">
        <v>26</v>
      </c>
      <c r="G126" s="6">
        <v>1.6655338129496404</v>
      </c>
      <c r="H126" s="6" t="s">
        <v>60</v>
      </c>
      <c r="I126" s="6">
        <v>0.47553103448275863</v>
      </c>
      <c r="J126" s="6" t="s">
        <v>60</v>
      </c>
    </row>
    <row r="127" spans="1:10" x14ac:dyDescent="0.25">
      <c r="A127" t="s">
        <v>46</v>
      </c>
      <c r="B127" t="s">
        <v>0</v>
      </c>
      <c r="C127">
        <v>63</v>
      </c>
      <c r="D127">
        <v>430</v>
      </c>
      <c r="E127" s="2">
        <v>20</v>
      </c>
      <c r="F127" t="s">
        <v>28</v>
      </c>
      <c r="G127" s="6">
        <v>1.7181573141486812</v>
      </c>
      <c r="H127" s="6">
        <v>0.88111025260029729</v>
      </c>
      <c r="I127" s="6">
        <v>0.51211034482758622</v>
      </c>
      <c r="J127" s="6">
        <v>3.111377911576565</v>
      </c>
    </row>
    <row r="128" spans="1:10" x14ac:dyDescent="0.25">
      <c r="A128" t="s">
        <v>46</v>
      </c>
      <c r="B128" t="s">
        <v>0</v>
      </c>
      <c r="C128">
        <v>63</v>
      </c>
      <c r="D128">
        <v>431</v>
      </c>
      <c r="E128" s="2">
        <v>26</v>
      </c>
      <c r="F128" t="s">
        <v>21</v>
      </c>
      <c r="G128" s="6">
        <v>1.8444537170263788</v>
      </c>
      <c r="H128" s="6">
        <v>0.71718276374442791</v>
      </c>
      <c r="I128" s="6">
        <v>0.57307586206896555</v>
      </c>
      <c r="J128" s="6">
        <v>3.1347123428397721</v>
      </c>
    </row>
    <row r="129" spans="1:10" x14ac:dyDescent="0.25">
      <c r="A129" t="s">
        <v>46</v>
      </c>
      <c r="B129" t="s">
        <v>0</v>
      </c>
      <c r="C129">
        <v>63</v>
      </c>
      <c r="D129">
        <v>432</v>
      </c>
      <c r="E129" s="2">
        <v>9</v>
      </c>
      <c r="F129" t="s">
        <v>19</v>
      </c>
      <c r="G129" s="6">
        <v>1.6707961630695443</v>
      </c>
      <c r="H129" s="6">
        <v>0.78548588410104014</v>
      </c>
      <c r="I129" s="6">
        <v>0.53161931034482768</v>
      </c>
      <c r="J129" s="6">
        <v>2.9879013575154123</v>
      </c>
    </row>
    <row r="130" spans="1:10" x14ac:dyDescent="0.25">
      <c r="A130" t="s">
        <v>46</v>
      </c>
      <c r="B130" t="s">
        <v>0</v>
      </c>
      <c r="C130">
        <v>63</v>
      </c>
      <c r="D130">
        <v>433</v>
      </c>
      <c r="E130" s="2">
        <v>16</v>
      </c>
      <c r="F130" t="s">
        <v>12</v>
      </c>
      <c r="G130" s="6">
        <v>1.4880997752808989</v>
      </c>
      <c r="H130" s="6">
        <v>0.7894021621621623</v>
      </c>
      <c r="I130" s="6">
        <v>0.41578883248730969</v>
      </c>
      <c r="J130" s="6">
        <v>2.6932907699303708</v>
      </c>
    </row>
    <row r="131" spans="1:10" x14ac:dyDescent="0.25">
      <c r="A131" t="s">
        <v>46</v>
      </c>
      <c r="B131" t="s">
        <v>0</v>
      </c>
      <c r="C131">
        <v>63</v>
      </c>
      <c r="D131">
        <v>434</v>
      </c>
      <c r="E131" s="2">
        <v>21</v>
      </c>
      <c r="F131" t="s">
        <v>22</v>
      </c>
      <c r="G131" s="6">
        <v>1.5331937078651685</v>
      </c>
      <c r="H131" s="6">
        <v>0.70280108108108108</v>
      </c>
      <c r="I131" s="6">
        <v>0.48315126903553302</v>
      </c>
      <c r="J131" s="6">
        <v>2.7191460579817823</v>
      </c>
    </row>
    <row r="132" spans="1:10" x14ac:dyDescent="0.25">
      <c r="A132" t="s">
        <v>46</v>
      </c>
      <c r="B132" t="s">
        <v>0</v>
      </c>
      <c r="C132">
        <v>63</v>
      </c>
      <c r="D132">
        <v>435</v>
      </c>
      <c r="E132" s="2">
        <v>25</v>
      </c>
      <c r="F132" t="s">
        <v>8</v>
      </c>
      <c r="G132" s="6">
        <v>1.6976539325842699</v>
      </c>
      <c r="H132" s="6">
        <v>0.68281621621621613</v>
      </c>
      <c r="I132" s="6">
        <v>0.43669441624365485</v>
      </c>
      <c r="J132" s="6">
        <v>2.8171645650441408</v>
      </c>
    </row>
    <row r="133" spans="1:10" x14ac:dyDescent="0.25">
      <c r="A133" t="s">
        <v>46</v>
      </c>
      <c r="B133" t="s">
        <v>0</v>
      </c>
      <c r="C133">
        <v>63</v>
      </c>
      <c r="D133">
        <v>436</v>
      </c>
      <c r="E133" s="2">
        <v>14</v>
      </c>
      <c r="F133" t="s">
        <v>25</v>
      </c>
      <c r="G133" s="6">
        <v>1.7135694382022471</v>
      </c>
      <c r="H133" s="6">
        <v>0.47297513513513512</v>
      </c>
      <c r="I133" s="6">
        <v>0.50870253807106602</v>
      </c>
      <c r="J133" s="6">
        <v>2.695247111408448</v>
      </c>
    </row>
    <row r="134" spans="1:10" x14ac:dyDescent="0.25">
      <c r="A134" t="s">
        <v>46</v>
      </c>
      <c r="B134" t="s">
        <v>0</v>
      </c>
      <c r="C134">
        <v>63</v>
      </c>
      <c r="D134">
        <v>437</v>
      </c>
      <c r="E134" s="2">
        <v>33</v>
      </c>
      <c r="F134" t="s">
        <v>23</v>
      </c>
      <c r="G134" s="6">
        <v>1.9384171673819743</v>
      </c>
      <c r="H134" s="6">
        <v>0.77474851485148521</v>
      </c>
      <c r="I134" s="6">
        <v>0.60207604166666662</v>
      </c>
      <c r="J134" s="6">
        <v>3.3152417239001259</v>
      </c>
    </row>
    <row r="135" spans="1:10" x14ac:dyDescent="0.25">
      <c r="A135" t="s">
        <v>46</v>
      </c>
      <c r="B135" t="s">
        <v>0</v>
      </c>
      <c r="C135">
        <v>63</v>
      </c>
      <c r="D135">
        <v>438</v>
      </c>
      <c r="E135" s="2">
        <v>2</v>
      </c>
      <c r="F135" t="s">
        <v>4</v>
      </c>
      <c r="G135" s="6">
        <v>1.6838775393419172</v>
      </c>
      <c r="H135" s="6">
        <v>0.82561584158415835</v>
      </c>
      <c r="I135" s="6">
        <v>0.63955937499999993</v>
      </c>
      <c r="J135" s="6">
        <v>3.1490527559260757</v>
      </c>
    </row>
    <row r="136" spans="1:10" x14ac:dyDescent="0.25">
      <c r="A136" t="s">
        <v>46</v>
      </c>
      <c r="B136" t="s">
        <v>0</v>
      </c>
      <c r="C136">
        <v>63</v>
      </c>
      <c r="D136">
        <v>439</v>
      </c>
      <c r="E136" s="2">
        <v>23</v>
      </c>
      <c r="F136" t="s">
        <v>36</v>
      </c>
      <c r="G136" s="6">
        <v>1.4936721030042919</v>
      </c>
      <c r="H136" s="6">
        <v>0.68083960396039611</v>
      </c>
      <c r="I136" s="6">
        <v>0.54116562500000009</v>
      </c>
      <c r="J136" s="6">
        <v>2.7156773319646881</v>
      </c>
    </row>
    <row r="137" spans="1:10" x14ac:dyDescent="0.25">
      <c r="A137" t="s">
        <v>46</v>
      </c>
      <c r="B137" t="s">
        <v>0</v>
      </c>
      <c r="C137">
        <v>63</v>
      </c>
      <c r="D137">
        <v>440</v>
      </c>
      <c r="E137" s="2">
        <v>13</v>
      </c>
      <c r="F137" t="s">
        <v>24</v>
      </c>
      <c r="G137" s="6">
        <v>1.689471816881259</v>
      </c>
      <c r="H137" s="6">
        <v>0.80996435643564346</v>
      </c>
      <c r="I137" s="6">
        <v>0.50133958333333339</v>
      </c>
      <c r="J137" s="6">
        <v>3.0007757566502358</v>
      </c>
    </row>
    <row r="138" spans="1:10" x14ac:dyDescent="0.25">
      <c r="A138" t="s">
        <v>46</v>
      </c>
      <c r="B138" t="s">
        <v>0</v>
      </c>
      <c r="C138">
        <v>63</v>
      </c>
      <c r="D138">
        <v>441</v>
      </c>
      <c r="E138" s="2">
        <v>28</v>
      </c>
      <c r="F138" t="s">
        <v>13</v>
      </c>
      <c r="G138" s="6">
        <v>1.8553953632148379</v>
      </c>
      <c r="H138" s="6">
        <v>0.80961614678899085</v>
      </c>
      <c r="I138" s="6">
        <v>0.62389325513196481</v>
      </c>
      <c r="J138" s="6">
        <v>3.2889047651357934</v>
      </c>
    </row>
    <row r="139" spans="1:10" x14ac:dyDescent="0.25">
      <c r="A139" t="s">
        <v>46</v>
      </c>
      <c r="B139" t="s">
        <v>0</v>
      </c>
      <c r="C139">
        <v>63</v>
      </c>
      <c r="D139">
        <v>442</v>
      </c>
      <c r="E139" s="2">
        <v>3</v>
      </c>
      <c r="F139" t="s">
        <v>3</v>
      </c>
      <c r="G139" s="6">
        <v>1.9314584234930452</v>
      </c>
      <c r="H139" s="6">
        <v>0.91033394495412856</v>
      </c>
      <c r="I139" s="6">
        <v>0.58163753665689144</v>
      </c>
      <c r="J139" s="6">
        <v>3.4234299051040655</v>
      </c>
    </row>
    <row r="140" spans="1:10" x14ac:dyDescent="0.25">
      <c r="A140" t="s">
        <v>46</v>
      </c>
      <c r="B140" t="s">
        <v>0</v>
      </c>
      <c r="C140">
        <v>63</v>
      </c>
      <c r="D140">
        <v>443</v>
      </c>
      <c r="E140" s="2">
        <v>1</v>
      </c>
      <c r="F140" t="s">
        <v>6</v>
      </c>
      <c r="G140" s="6">
        <v>1.7059857805255025</v>
      </c>
      <c r="H140" s="6">
        <v>1.0226730275229359</v>
      </c>
      <c r="I140" s="6">
        <v>0.63135014662756594</v>
      </c>
      <c r="J140" s="6">
        <v>3.3600089546760041</v>
      </c>
    </row>
    <row r="141" spans="1:10" x14ac:dyDescent="0.25">
      <c r="A141" t="s">
        <v>46</v>
      </c>
      <c r="B141" t="s">
        <v>0</v>
      </c>
      <c r="C141">
        <v>63</v>
      </c>
      <c r="D141">
        <v>444</v>
      </c>
      <c r="E141" s="2">
        <v>32</v>
      </c>
      <c r="F141" t="s">
        <v>30</v>
      </c>
      <c r="G141" s="6">
        <v>1.8336630602782071</v>
      </c>
      <c r="H141" s="6">
        <v>0.95681908256880754</v>
      </c>
      <c r="I141" s="6">
        <v>0.69349090909090916</v>
      </c>
      <c r="J141" s="6">
        <v>3.4839730519379239</v>
      </c>
    </row>
    <row r="142" spans="1:10" x14ac:dyDescent="0.25">
      <c r="A142" t="s">
        <v>46</v>
      </c>
      <c r="B142" t="s">
        <v>0</v>
      </c>
      <c r="C142">
        <v>63</v>
      </c>
      <c r="D142">
        <v>445</v>
      </c>
      <c r="E142" s="2">
        <v>15</v>
      </c>
      <c r="F142" t="s">
        <v>20</v>
      </c>
      <c r="G142" s="6">
        <v>1.5470714285714287</v>
      </c>
      <c r="H142" s="6">
        <v>0.85790429447852767</v>
      </c>
      <c r="I142" s="6">
        <v>0.6624098159509203</v>
      </c>
      <c r="J142" s="6">
        <v>3.0673855390008766</v>
      </c>
    </row>
    <row r="143" spans="1:10" x14ac:dyDescent="0.25">
      <c r="A143" t="s">
        <v>46</v>
      </c>
      <c r="B143" t="s">
        <v>0</v>
      </c>
      <c r="C143">
        <v>63</v>
      </c>
      <c r="D143">
        <v>446</v>
      </c>
      <c r="E143" s="2">
        <v>12</v>
      </c>
      <c r="F143" t="s">
        <v>33</v>
      </c>
      <c r="G143" s="6">
        <v>1.9459857142857144</v>
      </c>
      <c r="H143" s="6">
        <v>0.9571987730061351</v>
      </c>
      <c r="I143" s="6">
        <v>0.77661840490797551</v>
      </c>
      <c r="J143" s="6">
        <v>3.6798028921998251</v>
      </c>
    </row>
    <row r="144" spans="1:10" x14ac:dyDescent="0.25">
      <c r="A144" t="s">
        <v>46</v>
      </c>
      <c r="B144" t="s">
        <v>0</v>
      </c>
      <c r="C144">
        <v>63</v>
      </c>
      <c r="D144">
        <v>447</v>
      </c>
      <c r="E144" s="2">
        <v>8</v>
      </c>
      <c r="F144" t="s">
        <v>31</v>
      </c>
      <c r="G144" s="6">
        <v>2.0406</v>
      </c>
      <c r="H144" s="6">
        <v>1.0326625766871167</v>
      </c>
      <c r="I144" s="6">
        <v>0.8154493251533742</v>
      </c>
      <c r="J144" s="6">
        <v>3.8887119018404905</v>
      </c>
    </row>
    <row r="145" spans="1:10" x14ac:dyDescent="0.25">
      <c r="A145" t="s">
        <v>46</v>
      </c>
      <c r="B145" t="s">
        <v>0</v>
      </c>
      <c r="C145">
        <v>63</v>
      </c>
      <c r="D145">
        <v>448</v>
      </c>
      <c r="E145" s="2">
        <v>19</v>
      </c>
      <c r="F145" t="s">
        <v>10</v>
      </c>
      <c r="G145" s="6">
        <v>2.1710142857142856</v>
      </c>
      <c r="H145" s="6">
        <v>0.9651423312883437</v>
      </c>
      <c r="I145" s="6">
        <v>0.86113276073619638</v>
      </c>
      <c r="J145" s="6">
        <v>3.9972893777388254</v>
      </c>
    </row>
    <row r="146" spans="1:10" x14ac:dyDescent="0.25">
      <c r="A146" t="s">
        <v>47</v>
      </c>
      <c r="B146" t="s">
        <v>0</v>
      </c>
      <c r="C146">
        <v>64</v>
      </c>
      <c r="D146">
        <v>113</v>
      </c>
      <c r="E146" s="2">
        <v>10</v>
      </c>
      <c r="F146" t="s">
        <v>35</v>
      </c>
      <c r="G146" s="6">
        <v>2.1407246592317222</v>
      </c>
      <c r="H146" s="6">
        <v>1.9431578947368422</v>
      </c>
      <c r="I146" s="6">
        <v>1.4252439024390247</v>
      </c>
      <c r="J146" s="6">
        <v>5.5091264564075892</v>
      </c>
    </row>
    <row r="147" spans="1:10" x14ac:dyDescent="0.25">
      <c r="A147" t="s">
        <v>47</v>
      </c>
      <c r="B147" t="s">
        <v>0</v>
      </c>
      <c r="C147">
        <v>64</v>
      </c>
      <c r="D147">
        <v>114</v>
      </c>
      <c r="E147" s="2">
        <v>14</v>
      </c>
      <c r="F147" t="s">
        <v>25</v>
      </c>
      <c r="G147" s="6">
        <v>2.1799405204460967</v>
      </c>
      <c r="H147" s="6">
        <v>1.7695691228070176</v>
      </c>
      <c r="I147" s="6">
        <v>1.3126036585365854</v>
      </c>
      <c r="J147" s="6">
        <v>5.2621133017897002</v>
      </c>
    </row>
    <row r="148" spans="1:10" x14ac:dyDescent="0.25">
      <c r="A148" t="s">
        <v>47</v>
      </c>
      <c r="B148" t="s">
        <v>0</v>
      </c>
      <c r="C148">
        <v>64</v>
      </c>
      <c r="D148">
        <v>115</v>
      </c>
      <c r="E148" s="2">
        <v>31</v>
      </c>
      <c r="F148" t="s">
        <v>29</v>
      </c>
      <c r="G148" s="6">
        <v>2.3368039653035937</v>
      </c>
      <c r="H148" s="6">
        <v>1.9716575438596491</v>
      </c>
      <c r="I148" s="6">
        <v>1.5907560975609756</v>
      </c>
      <c r="J148" s="6">
        <v>5.8992176067242177</v>
      </c>
    </row>
    <row r="149" spans="1:10" x14ac:dyDescent="0.25">
      <c r="A149" t="s">
        <v>47</v>
      </c>
      <c r="B149" t="s">
        <v>0</v>
      </c>
      <c r="C149">
        <v>64</v>
      </c>
      <c r="D149">
        <v>116</v>
      </c>
      <c r="E149" s="2">
        <v>30</v>
      </c>
      <c r="F149" t="s">
        <v>9</v>
      </c>
      <c r="G149" s="6">
        <v>2.0645997521685255</v>
      </c>
      <c r="H149" s="6">
        <v>1.9690666666666667</v>
      </c>
      <c r="I149" s="6">
        <v>1.3838658536585366</v>
      </c>
      <c r="J149" s="6">
        <v>5.4175322724937294</v>
      </c>
    </row>
    <row r="150" spans="1:10" x14ac:dyDescent="0.25">
      <c r="A150" t="s">
        <v>47</v>
      </c>
      <c r="B150" t="s">
        <v>0</v>
      </c>
      <c r="C150">
        <v>64</v>
      </c>
      <c r="D150">
        <v>117</v>
      </c>
      <c r="E150" s="2">
        <v>7</v>
      </c>
      <c r="F150" t="s">
        <v>16</v>
      </c>
      <c r="G150" s="6">
        <v>1.9807150259067354</v>
      </c>
      <c r="H150" s="6">
        <v>1.8603829787234043</v>
      </c>
      <c r="I150" s="6">
        <v>1.3796396396396395</v>
      </c>
      <c r="J150" s="6">
        <v>5.2207376442697786</v>
      </c>
    </row>
    <row r="151" spans="1:10" x14ac:dyDescent="0.25">
      <c r="A151" t="s">
        <v>47</v>
      </c>
      <c r="B151" t="s">
        <v>0</v>
      </c>
      <c r="C151">
        <v>64</v>
      </c>
      <c r="D151">
        <v>118</v>
      </c>
      <c r="E151" s="2">
        <v>29</v>
      </c>
      <c r="F151" t="s">
        <v>11</v>
      </c>
      <c r="G151" s="6">
        <v>1.8377284974093264</v>
      </c>
      <c r="H151" s="6">
        <v>1.9103085106382978</v>
      </c>
      <c r="I151" s="6">
        <v>1.129009009009009</v>
      </c>
      <c r="J151" s="6">
        <v>4.8770460170566334</v>
      </c>
    </row>
    <row r="152" spans="1:10" x14ac:dyDescent="0.25">
      <c r="A152" t="s">
        <v>47</v>
      </c>
      <c r="B152" t="s">
        <v>0</v>
      </c>
      <c r="C152">
        <v>64</v>
      </c>
      <c r="D152">
        <v>119</v>
      </c>
      <c r="E152" s="2">
        <v>3</v>
      </c>
      <c r="F152" t="s">
        <v>3</v>
      </c>
      <c r="G152" s="6">
        <v>2.2244953367875646</v>
      </c>
      <c r="H152" s="6">
        <v>1.6764468085106385</v>
      </c>
      <c r="I152" s="6">
        <v>1.2601801801801802</v>
      </c>
      <c r="J152" s="6">
        <v>5.1611223254783836</v>
      </c>
    </row>
    <row r="153" spans="1:10" x14ac:dyDescent="0.25">
      <c r="A153" t="s">
        <v>47</v>
      </c>
      <c r="B153" t="s">
        <v>0</v>
      </c>
      <c r="C153">
        <v>64</v>
      </c>
      <c r="D153">
        <v>120</v>
      </c>
      <c r="E153" s="2">
        <v>26</v>
      </c>
      <c r="F153" t="s">
        <v>21</v>
      </c>
      <c r="G153" s="6">
        <v>2.1940227979274609</v>
      </c>
      <c r="H153" s="6">
        <v>1.6685638297872343</v>
      </c>
      <c r="I153" s="6">
        <v>1.3655855855855856</v>
      </c>
      <c r="J153" s="6">
        <v>5.2281722133002813</v>
      </c>
    </row>
    <row r="154" spans="1:10" x14ac:dyDescent="0.25">
      <c r="A154" t="s">
        <v>47</v>
      </c>
      <c r="B154" t="s">
        <v>0</v>
      </c>
      <c r="C154">
        <v>64</v>
      </c>
      <c r="D154">
        <v>121</v>
      </c>
      <c r="E154" s="2">
        <v>6</v>
      </c>
      <c r="F154" t="s">
        <v>1</v>
      </c>
      <c r="G154" s="6">
        <v>1.8820126074498569</v>
      </c>
      <c r="H154" s="6">
        <v>1.8562424242424245</v>
      </c>
      <c r="I154" s="6">
        <v>1.2458310160427808</v>
      </c>
      <c r="J154" s="6">
        <v>4.9840860477350617</v>
      </c>
    </row>
    <row r="155" spans="1:10" x14ac:dyDescent="0.25">
      <c r="A155" t="s">
        <v>47</v>
      </c>
      <c r="B155" t="s">
        <v>0</v>
      </c>
      <c r="C155">
        <v>64</v>
      </c>
      <c r="D155">
        <v>122</v>
      </c>
      <c r="E155" s="2">
        <v>24</v>
      </c>
      <c r="F155" t="s">
        <v>32</v>
      </c>
      <c r="G155" s="6">
        <v>2.1379300859598858</v>
      </c>
      <c r="H155" s="6">
        <v>2.0284976076555026</v>
      </c>
      <c r="I155" s="6">
        <v>1.4360342245989306</v>
      </c>
      <c r="J155" s="6">
        <v>5.6024619182143187</v>
      </c>
    </row>
    <row r="156" spans="1:10" x14ac:dyDescent="0.25">
      <c r="A156" t="s">
        <v>47</v>
      </c>
      <c r="B156" t="s">
        <v>0</v>
      </c>
      <c r="C156">
        <v>64</v>
      </c>
      <c r="D156">
        <v>123</v>
      </c>
      <c r="E156" s="2">
        <v>32</v>
      </c>
      <c r="F156" t="s">
        <v>30</v>
      </c>
      <c r="G156" s="6">
        <v>1.6057123209169055</v>
      </c>
      <c r="H156" s="6">
        <v>1.6814162679425839</v>
      </c>
      <c r="I156" s="6">
        <v>1.1435967914438503</v>
      </c>
      <c r="J156" s="6">
        <v>4.4307253803033397</v>
      </c>
    </row>
    <row r="157" spans="1:10" x14ac:dyDescent="0.25">
      <c r="A157" t="s">
        <v>47</v>
      </c>
      <c r="B157" t="s">
        <v>0</v>
      </c>
      <c r="C157">
        <v>64</v>
      </c>
      <c r="D157">
        <v>124</v>
      </c>
      <c r="E157" s="2">
        <v>18</v>
      </c>
      <c r="F157" t="s">
        <v>18</v>
      </c>
      <c r="G157" s="6">
        <v>2.0065742120343839</v>
      </c>
      <c r="H157" s="6">
        <v>1.869097288676236</v>
      </c>
      <c r="I157" s="6">
        <v>1.4859625668449197</v>
      </c>
      <c r="J157" s="6">
        <v>5.3616340675555403</v>
      </c>
    </row>
    <row r="158" spans="1:10" x14ac:dyDescent="0.25">
      <c r="A158" t="s">
        <v>47</v>
      </c>
      <c r="B158" t="s">
        <v>0</v>
      </c>
      <c r="C158">
        <v>64</v>
      </c>
      <c r="D158">
        <v>125</v>
      </c>
      <c r="E158" s="2">
        <v>34</v>
      </c>
      <c r="F158" t="s">
        <v>34</v>
      </c>
      <c r="G158" s="6">
        <v>2.195987073608618</v>
      </c>
      <c r="H158" s="6">
        <v>1.9423720349563045</v>
      </c>
      <c r="I158" s="6">
        <v>1.4028618867924529</v>
      </c>
      <c r="J158" s="6">
        <v>5.5412209953573761</v>
      </c>
    </row>
    <row r="159" spans="1:10" x14ac:dyDescent="0.25">
      <c r="A159" t="s">
        <v>47</v>
      </c>
      <c r="B159" t="s">
        <v>0</v>
      </c>
      <c r="C159">
        <v>64</v>
      </c>
      <c r="D159">
        <v>126</v>
      </c>
      <c r="E159" s="2">
        <v>23</v>
      </c>
      <c r="F159" t="s">
        <v>36</v>
      </c>
      <c r="G159" s="6">
        <v>1.7305824057450629</v>
      </c>
      <c r="H159" s="6">
        <v>1.587889138576779</v>
      </c>
      <c r="I159" s="6">
        <v>1.2400724528301885</v>
      </c>
      <c r="J159" s="6">
        <v>4.5585439971520305</v>
      </c>
    </row>
    <row r="160" spans="1:10" x14ac:dyDescent="0.25">
      <c r="A160" t="s">
        <v>47</v>
      </c>
      <c r="B160" t="s">
        <v>0</v>
      </c>
      <c r="C160">
        <v>64</v>
      </c>
      <c r="D160">
        <v>127</v>
      </c>
      <c r="E160" s="2">
        <v>5</v>
      </c>
      <c r="F160" t="s">
        <v>5</v>
      </c>
      <c r="G160" s="6">
        <v>1.759952603231598</v>
      </c>
      <c r="H160" s="6">
        <v>1.7627026217228463</v>
      </c>
      <c r="I160" s="6">
        <v>1.1826173584905662</v>
      </c>
      <c r="J160" s="6">
        <v>4.7052725834450104</v>
      </c>
    </row>
    <row r="161" spans="1:10" x14ac:dyDescent="0.25">
      <c r="A161" t="s">
        <v>47</v>
      </c>
      <c r="B161" t="s">
        <v>0</v>
      </c>
      <c r="C161">
        <v>64</v>
      </c>
      <c r="D161">
        <v>128</v>
      </c>
      <c r="E161" s="2">
        <v>35</v>
      </c>
      <c r="F161" t="s">
        <v>26</v>
      </c>
      <c r="G161" s="6">
        <v>1.9180998204667865</v>
      </c>
      <c r="H161" s="6">
        <v>1.7772704119850187</v>
      </c>
      <c r="I161" s="6">
        <v>1.3478007547169812</v>
      </c>
      <c r="J161" s="6">
        <v>5.0431709871687858</v>
      </c>
    </row>
    <row r="162" spans="1:10" x14ac:dyDescent="0.25">
      <c r="A162" t="s">
        <v>47</v>
      </c>
      <c r="B162" t="s">
        <v>0</v>
      </c>
      <c r="C162">
        <v>64</v>
      </c>
      <c r="D162">
        <v>129</v>
      </c>
      <c r="E162" s="2">
        <v>1</v>
      </c>
      <c r="F162" t="s">
        <v>6</v>
      </c>
      <c r="G162" s="6">
        <v>1.7895027027027028</v>
      </c>
      <c r="H162" s="6">
        <v>1.7727654986522909</v>
      </c>
      <c r="I162" s="6">
        <v>1.3631205542725173</v>
      </c>
      <c r="J162" s="6">
        <v>4.9253887556275107</v>
      </c>
    </row>
    <row r="163" spans="1:10" x14ac:dyDescent="0.25">
      <c r="A163" t="s">
        <v>47</v>
      </c>
      <c r="B163" t="s">
        <v>0</v>
      </c>
      <c r="C163">
        <v>64</v>
      </c>
      <c r="D163">
        <v>130</v>
      </c>
      <c r="E163" s="2">
        <v>25</v>
      </c>
      <c r="F163" t="s">
        <v>8</v>
      </c>
      <c r="G163" s="6">
        <v>1.6580972972972976</v>
      </c>
      <c r="H163" s="6">
        <v>1.7779795148247979</v>
      </c>
      <c r="I163" s="6">
        <v>1.1676822170900694</v>
      </c>
      <c r="J163" s="6">
        <v>4.6037590292121653</v>
      </c>
    </row>
    <row r="164" spans="1:10" x14ac:dyDescent="0.25">
      <c r="A164" t="s">
        <v>47</v>
      </c>
      <c r="B164" t="s">
        <v>0</v>
      </c>
      <c r="C164">
        <v>64</v>
      </c>
      <c r="D164">
        <v>131</v>
      </c>
      <c r="E164" s="2">
        <v>11</v>
      </c>
      <c r="F164" t="s">
        <v>15</v>
      </c>
      <c r="G164" s="6">
        <v>1.9901945945945949</v>
      </c>
      <c r="H164" s="6">
        <v>1.9604700808625335</v>
      </c>
      <c r="I164" s="6">
        <v>1.4101247113163973</v>
      </c>
      <c r="J164" s="6">
        <v>5.3607893867735257</v>
      </c>
    </row>
    <row r="165" spans="1:10" x14ac:dyDescent="0.25">
      <c r="A165" t="s">
        <v>47</v>
      </c>
      <c r="B165" t="s">
        <v>0</v>
      </c>
      <c r="C165">
        <v>64</v>
      </c>
      <c r="D165">
        <v>132</v>
      </c>
      <c r="E165" s="2">
        <v>4</v>
      </c>
      <c r="F165" t="s">
        <v>2</v>
      </c>
      <c r="G165" s="6">
        <v>1.7799459459459464</v>
      </c>
      <c r="H165" s="6">
        <v>1.5068506738544476</v>
      </c>
      <c r="I165" s="6">
        <v>1.2047907621247114</v>
      </c>
      <c r="J165" s="6">
        <v>4.4915873819251058</v>
      </c>
    </row>
    <row r="166" spans="1:10" x14ac:dyDescent="0.25">
      <c r="A166" t="s">
        <v>47</v>
      </c>
      <c r="B166" t="s">
        <v>0</v>
      </c>
      <c r="C166">
        <v>64</v>
      </c>
      <c r="D166">
        <v>133</v>
      </c>
      <c r="E166" s="2">
        <v>20</v>
      </c>
      <c r="F166" t="s">
        <v>28</v>
      </c>
      <c r="G166" s="6">
        <v>1.6984532019704435</v>
      </c>
      <c r="H166" s="6">
        <v>1.8244711425206124</v>
      </c>
      <c r="I166" s="6">
        <v>1.2144056239015819</v>
      </c>
      <c r="J166" s="6">
        <v>4.737329968392638</v>
      </c>
    </row>
    <row r="167" spans="1:10" x14ac:dyDescent="0.25">
      <c r="A167" t="s">
        <v>47</v>
      </c>
      <c r="B167" t="s">
        <v>0</v>
      </c>
      <c r="C167">
        <v>64</v>
      </c>
      <c r="D167">
        <v>134</v>
      </c>
      <c r="E167" s="2">
        <v>21</v>
      </c>
      <c r="F167" t="s">
        <v>22</v>
      </c>
      <c r="G167" s="6">
        <v>2.0769004926108372</v>
      </c>
      <c r="H167" s="6">
        <v>1.8675901060070672</v>
      </c>
      <c r="I167" s="6">
        <v>1.5446833040421795</v>
      </c>
      <c r="J167" s="6">
        <v>5.4891739026600845</v>
      </c>
    </row>
    <row r="168" spans="1:10" x14ac:dyDescent="0.25">
      <c r="A168" t="s">
        <v>47</v>
      </c>
      <c r="B168" t="s">
        <v>0</v>
      </c>
      <c r="C168">
        <v>64</v>
      </c>
      <c r="D168">
        <v>135</v>
      </c>
      <c r="E168" s="2">
        <v>9</v>
      </c>
      <c r="F168" t="s">
        <v>19</v>
      </c>
      <c r="G168" s="6">
        <v>1.7919251231527096</v>
      </c>
      <c r="H168" s="6">
        <v>1.6466054181389871</v>
      </c>
      <c r="I168" s="6">
        <v>1.1889996485061511</v>
      </c>
      <c r="J168" s="6">
        <v>4.6275301897978478</v>
      </c>
    </row>
    <row r="169" spans="1:10" x14ac:dyDescent="0.25">
      <c r="A169" t="s">
        <v>47</v>
      </c>
      <c r="B169" t="s">
        <v>0</v>
      </c>
      <c r="C169">
        <v>64</v>
      </c>
      <c r="D169">
        <v>136</v>
      </c>
      <c r="E169" s="2">
        <v>27</v>
      </c>
      <c r="F169" t="s">
        <v>14</v>
      </c>
      <c r="G169" s="6">
        <v>1.9720295566502466</v>
      </c>
      <c r="H169" s="6">
        <v>1.8756749116607776</v>
      </c>
      <c r="I169" s="6">
        <v>1.4227346221441126</v>
      </c>
      <c r="J169" s="6">
        <v>5.2704390904551364</v>
      </c>
    </row>
    <row r="170" spans="1:10" x14ac:dyDescent="0.25">
      <c r="A170" t="s">
        <v>47</v>
      </c>
      <c r="B170" t="s">
        <v>0</v>
      </c>
      <c r="C170">
        <v>64</v>
      </c>
      <c r="D170">
        <v>137</v>
      </c>
      <c r="E170" s="2">
        <v>36</v>
      </c>
      <c r="F170" t="s">
        <v>27</v>
      </c>
      <c r="G170" s="6">
        <v>2.178980198019802</v>
      </c>
      <c r="H170" s="6">
        <v>1.9053530740276037</v>
      </c>
      <c r="I170" s="6">
        <v>1.3745006289308177</v>
      </c>
      <c r="J170" s="6">
        <v>5.4588339009782239</v>
      </c>
    </row>
    <row r="171" spans="1:10" x14ac:dyDescent="0.25">
      <c r="A171" t="s">
        <v>47</v>
      </c>
      <c r="B171" t="s">
        <v>0</v>
      </c>
      <c r="C171">
        <v>64</v>
      </c>
      <c r="D171">
        <v>138</v>
      </c>
      <c r="E171" s="2">
        <v>19</v>
      </c>
      <c r="F171" t="s">
        <v>10</v>
      </c>
      <c r="G171" s="6">
        <v>2.1887623762376238</v>
      </c>
      <c r="H171" s="6">
        <v>2.0152772898368885</v>
      </c>
      <c r="I171" s="6">
        <v>1.2651371069182389</v>
      </c>
      <c r="J171" s="6">
        <v>5.4691767729927516</v>
      </c>
    </row>
    <row r="172" spans="1:10" x14ac:dyDescent="0.25">
      <c r="A172" t="s">
        <v>47</v>
      </c>
      <c r="B172" t="s">
        <v>0</v>
      </c>
      <c r="C172">
        <v>64</v>
      </c>
      <c r="D172">
        <v>139</v>
      </c>
      <c r="E172" s="2">
        <v>12</v>
      </c>
      <c r="F172" t="s">
        <v>33</v>
      </c>
      <c r="G172" s="6">
        <v>2.1374059405940593</v>
      </c>
      <c r="H172" s="6">
        <v>1.9081716436637393</v>
      </c>
      <c r="I172" s="6">
        <v>1.2601660377358492</v>
      </c>
      <c r="J172" s="6">
        <v>5.3057436219936474</v>
      </c>
    </row>
    <row r="173" spans="1:10" x14ac:dyDescent="0.25">
      <c r="A173" t="s">
        <v>47</v>
      </c>
      <c r="B173" t="s">
        <v>0</v>
      </c>
      <c r="C173">
        <v>64</v>
      </c>
      <c r="D173">
        <v>140</v>
      </c>
      <c r="E173" s="2">
        <v>28</v>
      </c>
      <c r="F173" t="s">
        <v>13</v>
      </c>
      <c r="G173" s="6">
        <v>2.1643069306930691</v>
      </c>
      <c r="H173" s="6">
        <v>1.8743488080301132</v>
      </c>
      <c r="I173" s="6">
        <v>1.3397031446540879</v>
      </c>
      <c r="J173" s="6">
        <v>5.3783588833772704</v>
      </c>
    </row>
    <row r="174" spans="1:10" x14ac:dyDescent="0.25">
      <c r="A174" t="s">
        <v>47</v>
      </c>
      <c r="B174" t="s">
        <v>0</v>
      </c>
      <c r="C174">
        <v>64</v>
      </c>
      <c r="D174">
        <v>141</v>
      </c>
      <c r="E174" s="2">
        <v>16</v>
      </c>
      <c r="F174" t="s">
        <v>12</v>
      </c>
      <c r="G174" s="6">
        <v>1.6498438834951459</v>
      </c>
      <c r="H174" s="6">
        <v>1.6849871064467767</v>
      </c>
      <c r="I174" s="6">
        <v>1.0667296898079763</v>
      </c>
      <c r="J174" s="6">
        <v>4.401560679749899</v>
      </c>
    </row>
    <row r="175" spans="1:10" x14ac:dyDescent="0.25">
      <c r="A175" t="s">
        <v>47</v>
      </c>
      <c r="B175" t="s">
        <v>0</v>
      </c>
      <c r="C175">
        <v>64</v>
      </c>
      <c r="D175">
        <v>142</v>
      </c>
      <c r="E175" s="2">
        <v>8</v>
      </c>
      <c r="F175" t="s">
        <v>31</v>
      </c>
      <c r="G175" s="6">
        <v>1.8734741747572818</v>
      </c>
      <c r="H175" s="6">
        <v>1.7289883058470765</v>
      </c>
      <c r="I175" s="6">
        <v>1.1748774002954212</v>
      </c>
      <c r="J175" s="6">
        <v>4.7773398808997793</v>
      </c>
    </row>
    <row r="176" spans="1:10" x14ac:dyDescent="0.25">
      <c r="A176" t="s">
        <v>47</v>
      </c>
      <c r="B176" t="s">
        <v>0</v>
      </c>
      <c r="C176">
        <v>64</v>
      </c>
      <c r="D176">
        <v>143</v>
      </c>
      <c r="E176" s="2">
        <v>33</v>
      </c>
      <c r="F176" t="s">
        <v>23</v>
      </c>
      <c r="G176" s="6">
        <v>2.0309281553398062</v>
      </c>
      <c r="H176" s="6">
        <v>1.9256995502248877</v>
      </c>
      <c r="I176" s="6">
        <v>1.2412407680945348</v>
      </c>
      <c r="J176" s="6">
        <v>5.1978684736592289</v>
      </c>
    </row>
    <row r="177" spans="1:10" x14ac:dyDescent="0.25">
      <c r="A177" t="s">
        <v>47</v>
      </c>
      <c r="B177" t="s">
        <v>0</v>
      </c>
      <c r="C177">
        <v>64</v>
      </c>
      <c r="D177">
        <v>144</v>
      </c>
      <c r="E177" s="2">
        <v>13</v>
      </c>
      <c r="F177" t="s">
        <v>24</v>
      </c>
      <c r="G177" s="6">
        <v>1.7411215533980584</v>
      </c>
      <c r="H177" s="6">
        <v>1.8480503748125938</v>
      </c>
      <c r="I177" s="6">
        <v>1.1969985228951256</v>
      </c>
      <c r="J177" s="6">
        <v>4.7861704511057779</v>
      </c>
    </row>
    <row r="178" spans="1:10" x14ac:dyDescent="0.25">
      <c r="A178" t="s">
        <v>47</v>
      </c>
      <c r="B178" t="s">
        <v>0</v>
      </c>
      <c r="C178">
        <v>64</v>
      </c>
      <c r="D178">
        <v>145</v>
      </c>
      <c r="E178" s="2">
        <v>15</v>
      </c>
      <c r="F178" t="s">
        <v>20</v>
      </c>
      <c r="G178" s="6">
        <v>1.7182893081761008</v>
      </c>
      <c r="H178" s="6">
        <v>1.8082708117443869</v>
      </c>
      <c r="I178" s="6">
        <v>1.1073945288753799</v>
      </c>
      <c r="J178" s="6">
        <v>4.6339546487958678</v>
      </c>
    </row>
    <row r="179" spans="1:10" x14ac:dyDescent="0.25">
      <c r="A179" t="s">
        <v>47</v>
      </c>
      <c r="B179" t="s">
        <v>0</v>
      </c>
      <c r="C179">
        <v>64</v>
      </c>
      <c r="D179">
        <v>146</v>
      </c>
      <c r="E179" s="2">
        <v>22</v>
      </c>
      <c r="F179" t="s">
        <v>7</v>
      </c>
      <c r="G179" s="6">
        <v>2.0085408805031446</v>
      </c>
      <c r="H179" s="6">
        <v>1.9880704663212438</v>
      </c>
      <c r="I179" s="6">
        <v>1.2696851063829786</v>
      </c>
      <c r="J179" s="6">
        <v>5.2662964532073673</v>
      </c>
    </row>
    <row r="180" spans="1:10" x14ac:dyDescent="0.25">
      <c r="A180" t="s">
        <v>47</v>
      </c>
      <c r="B180" t="s">
        <v>0</v>
      </c>
      <c r="C180">
        <v>64</v>
      </c>
      <c r="D180">
        <v>147</v>
      </c>
      <c r="E180" s="2">
        <v>17</v>
      </c>
      <c r="F180" t="s">
        <v>17</v>
      </c>
      <c r="G180" s="6">
        <v>1.4744779874213836</v>
      </c>
      <c r="H180" s="6">
        <v>1.8185450777202072</v>
      </c>
      <c r="I180" s="6">
        <v>1.035795744680851</v>
      </c>
      <c r="J180" s="6">
        <v>4.328818809822442</v>
      </c>
    </row>
    <row r="181" spans="1:10" x14ac:dyDescent="0.25">
      <c r="A181" t="s">
        <v>47</v>
      </c>
      <c r="B181" t="s">
        <v>0</v>
      </c>
      <c r="C181">
        <v>64</v>
      </c>
      <c r="D181">
        <v>148</v>
      </c>
      <c r="E181" s="2">
        <v>2</v>
      </c>
      <c r="F181" t="s">
        <v>4</v>
      </c>
      <c r="G181" s="6">
        <v>2.2755723270440251</v>
      </c>
      <c r="H181" s="6">
        <v>2.1139302245250438</v>
      </c>
      <c r="I181" s="6">
        <v>1.3341240121580547</v>
      </c>
      <c r="J181" s="6">
        <v>5.7236265637271231</v>
      </c>
    </row>
    <row r="182" spans="1:10" x14ac:dyDescent="0.25">
      <c r="A182" t="s">
        <v>47</v>
      </c>
      <c r="B182" t="s">
        <v>0</v>
      </c>
      <c r="C182">
        <v>64</v>
      </c>
      <c r="D182">
        <v>213</v>
      </c>
      <c r="E182" s="2">
        <v>6</v>
      </c>
      <c r="F182" t="s">
        <v>1</v>
      </c>
      <c r="G182" s="6">
        <v>1.9381177728027732</v>
      </c>
      <c r="H182" s="6">
        <v>1.8587102563893001</v>
      </c>
      <c r="I182" s="6">
        <v>1.2750020833333333</v>
      </c>
      <c r="J182" s="6">
        <v>5.0718301125254062</v>
      </c>
    </row>
    <row r="183" spans="1:10" x14ac:dyDescent="0.25">
      <c r="A183" t="s">
        <v>47</v>
      </c>
      <c r="B183" t="s">
        <v>0</v>
      </c>
      <c r="C183">
        <v>64</v>
      </c>
      <c r="D183">
        <v>214</v>
      </c>
      <c r="E183" s="2">
        <v>18</v>
      </c>
      <c r="F183" t="s">
        <v>18</v>
      </c>
      <c r="G183" s="6">
        <v>2.2915773236080019</v>
      </c>
      <c r="H183" s="6">
        <v>1.9528821361143576</v>
      </c>
      <c r="I183" s="6">
        <v>1.5295177083333331</v>
      </c>
      <c r="J183" s="6">
        <v>5.7739771680556924</v>
      </c>
    </row>
    <row r="184" spans="1:10" x14ac:dyDescent="0.25">
      <c r="A184" t="s">
        <v>47</v>
      </c>
      <c r="B184" t="s">
        <v>0</v>
      </c>
      <c r="C184">
        <v>64</v>
      </c>
      <c r="D184">
        <v>215</v>
      </c>
      <c r="E184" s="2">
        <v>27</v>
      </c>
      <c r="F184" t="s">
        <v>14</v>
      </c>
      <c r="G184" s="6">
        <v>2.1801545461110714</v>
      </c>
      <c r="H184" s="6">
        <v>1.9467774390493082</v>
      </c>
      <c r="I184" s="6">
        <v>1.4083197916666665</v>
      </c>
      <c r="J184" s="6">
        <v>5.5352517768270459</v>
      </c>
    </row>
    <row r="185" spans="1:10" x14ac:dyDescent="0.25">
      <c r="A185" t="s">
        <v>47</v>
      </c>
      <c r="B185" t="s">
        <v>0</v>
      </c>
      <c r="C185">
        <v>64</v>
      </c>
      <c r="D185">
        <v>216</v>
      </c>
      <c r="E185" s="2">
        <v>16</v>
      </c>
      <c r="F185" t="s">
        <v>12</v>
      </c>
      <c r="G185" s="6">
        <v>1.8214653282299416</v>
      </c>
      <c r="H185" s="6">
        <v>1.875226173448955</v>
      </c>
      <c r="I185" s="6">
        <v>1.1828916666666665</v>
      </c>
      <c r="J185" s="6">
        <v>4.8795831683455635</v>
      </c>
    </row>
    <row r="186" spans="1:10" x14ac:dyDescent="0.25">
      <c r="A186" t="s">
        <v>47</v>
      </c>
      <c r="B186" t="s">
        <v>0</v>
      </c>
      <c r="C186">
        <v>64</v>
      </c>
      <c r="D186">
        <v>217</v>
      </c>
      <c r="E186" s="2">
        <v>22</v>
      </c>
      <c r="F186" t="s">
        <v>7</v>
      </c>
      <c r="G186" s="6">
        <v>2.3582291288822352</v>
      </c>
      <c r="H186" s="6">
        <v>2.1084467434513408</v>
      </c>
      <c r="I186" s="6">
        <v>1.5115404255319149</v>
      </c>
      <c r="J186" s="6">
        <v>5.9782162978654911</v>
      </c>
    </row>
    <row r="187" spans="1:10" x14ac:dyDescent="0.25">
      <c r="A187" t="s">
        <v>47</v>
      </c>
      <c r="B187" t="s">
        <v>0</v>
      </c>
      <c r="C187">
        <v>64</v>
      </c>
      <c r="D187">
        <v>218</v>
      </c>
      <c r="E187" s="2">
        <v>1</v>
      </c>
      <c r="F187" t="s">
        <v>6</v>
      </c>
      <c r="G187" s="6">
        <v>2.1643046642042876</v>
      </c>
      <c r="H187" s="6">
        <v>2.0608098316728509</v>
      </c>
      <c r="I187" s="6">
        <v>1.5553531914893617</v>
      </c>
      <c r="J187" s="6">
        <v>5.7804676873664995</v>
      </c>
    </row>
    <row r="188" spans="1:10" x14ac:dyDescent="0.25">
      <c r="A188" t="s">
        <v>47</v>
      </c>
      <c r="B188" t="s">
        <v>0</v>
      </c>
      <c r="C188">
        <v>64</v>
      </c>
      <c r="D188">
        <v>219</v>
      </c>
      <c r="E188" s="2">
        <v>14</v>
      </c>
      <c r="F188" t="s">
        <v>25</v>
      </c>
      <c r="G188" s="6">
        <v>2.081142694464555</v>
      </c>
      <c r="H188" s="6">
        <v>1.6575091242908262</v>
      </c>
      <c r="I188" s="6">
        <v>1.3581957446808512</v>
      </c>
      <c r="J188" s="6">
        <v>5.0968475634362322</v>
      </c>
    </row>
    <row r="189" spans="1:10" x14ac:dyDescent="0.25">
      <c r="A189" t="s">
        <v>47</v>
      </c>
      <c r="B189" t="s">
        <v>0</v>
      </c>
      <c r="C189">
        <v>64</v>
      </c>
      <c r="D189">
        <v>220</v>
      </c>
      <c r="E189" s="2">
        <v>21</v>
      </c>
      <c r="F189" t="s">
        <v>22</v>
      </c>
      <c r="G189" s="6">
        <v>2.3302082289276376</v>
      </c>
      <c r="H189" s="6">
        <v>2.1056127516223473</v>
      </c>
      <c r="I189" s="6">
        <v>1.745208510638298</v>
      </c>
      <c r="J189" s="6">
        <v>6.1810294911882826</v>
      </c>
    </row>
    <row r="190" spans="1:10" x14ac:dyDescent="0.25">
      <c r="A190" t="s">
        <v>47</v>
      </c>
      <c r="B190" t="s">
        <v>0</v>
      </c>
      <c r="C190">
        <v>64</v>
      </c>
      <c r="D190">
        <v>221</v>
      </c>
      <c r="E190" s="2">
        <v>11</v>
      </c>
      <c r="F190" t="s">
        <v>15</v>
      </c>
      <c r="G190" s="6">
        <v>1.9427593761162043</v>
      </c>
      <c r="H190" s="6">
        <v>2.1030134798096136</v>
      </c>
      <c r="I190" s="6">
        <v>1.3462850241545896</v>
      </c>
      <c r="J190" s="6">
        <v>5.3920578800804071</v>
      </c>
    </row>
    <row r="191" spans="1:10" x14ac:dyDescent="0.25">
      <c r="A191" t="s">
        <v>47</v>
      </c>
      <c r="B191" t="s">
        <v>0</v>
      </c>
      <c r="C191">
        <v>64</v>
      </c>
      <c r="D191">
        <v>222</v>
      </c>
      <c r="E191" s="2">
        <v>34</v>
      </c>
      <c r="F191" t="s">
        <v>34</v>
      </c>
      <c r="G191" s="6">
        <v>2.0985907274675561</v>
      </c>
      <c r="H191" s="6">
        <v>2.0433952941032705</v>
      </c>
      <c r="I191" s="6">
        <v>1.488832850241546</v>
      </c>
      <c r="J191" s="6">
        <v>5.6308188718123722</v>
      </c>
    </row>
    <row r="192" spans="1:10" x14ac:dyDescent="0.25">
      <c r="A192" t="s">
        <v>47</v>
      </c>
      <c r="B192" t="s">
        <v>0</v>
      </c>
      <c r="C192">
        <v>64</v>
      </c>
      <c r="D192">
        <v>223</v>
      </c>
      <c r="E192" s="2">
        <v>24</v>
      </c>
      <c r="F192" t="s">
        <v>32</v>
      </c>
      <c r="G192" s="6">
        <v>2.1123276675794744</v>
      </c>
      <c r="H192" s="6">
        <v>1.9950205869234483</v>
      </c>
      <c r="I192" s="6">
        <v>1.5668077294685991</v>
      </c>
      <c r="J192" s="6">
        <v>5.6741559839715219</v>
      </c>
    </row>
    <row r="193" spans="1:10" x14ac:dyDescent="0.25">
      <c r="A193" t="s">
        <v>47</v>
      </c>
      <c r="B193" t="s">
        <v>0</v>
      </c>
      <c r="C193">
        <v>64</v>
      </c>
      <c r="D193">
        <v>224</v>
      </c>
      <c r="E193" s="2">
        <v>25</v>
      </c>
      <c r="F193" t="s">
        <v>8</v>
      </c>
      <c r="G193" s="6">
        <v>1.7231587760447675</v>
      </c>
      <c r="H193" s="6">
        <v>1.7643141500730142</v>
      </c>
      <c r="I193" s="6">
        <v>1.2183574879227055</v>
      </c>
      <c r="J193" s="6">
        <v>4.7058304140404879</v>
      </c>
    </row>
    <row r="194" spans="1:10" x14ac:dyDescent="0.25">
      <c r="A194" t="s">
        <v>47</v>
      </c>
      <c r="B194" t="s">
        <v>0</v>
      </c>
      <c r="C194">
        <v>64</v>
      </c>
      <c r="D194">
        <v>225</v>
      </c>
      <c r="E194" s="2">
        <v>2</v>
      </c>
      <c r="F194" t="s">
        <v>4</v>
      </c>
      <c r="G194" s="6">
        <v>2.2434589216794669</v>
      </c>
      <c r="H194" s="6">
        <v>1.9408291960145017</v>
      </c>
      <c r="I194" s="6">
        <v>1.6393700598802396</v>
      </c>
      <c r="J194" s="6">
        <v>5.8236581775742087</v>
      </c>
    </row>
    <row r="195" spans="1:10" x14ac:dyDescent="0.25">
      <c r="A195" t="s">
        <v>47</v>
      </c>
      <c r="B195" t="s">
        <v>0</v>
      </c>
      <c r="C195">
        <v>64</v>
      </c>
      <c r="D195">
        <v>226</v>
      </c>
      <c r="E195" s="2">
        <v>20</v>
      </c>
      <c r="F195" t="s">
        <v>28</v>
      </c>
      <c r="G195" s="6">
        <v>1.6938648785622397</v>
      </c>
      <c r="H195" s="6">
        <v>1.6624491069132299</v>
      </c>
      <c r="I195" s="6">
        <v>1.2054191616766468</v>
      </c>
      <c r="J195" s="6">
        <v>4.5617331471521165</v>
      </c>
    </row>
    <row r="196" spans="1:10" x14ac:dyDescent="0.25">
      <c r="A196" t="s">
        <v>47</v>
      </c>
      <c r="B196" t="s">
        <v>0</v>
      </c>
      <c r="C196">
        <v>64</v>
      </c>
      <c r="D196">
        <v>227</v>
      </c>
      <c r="E196" s="2">
        <v>13</v>
      </c>
      <c r="F196" t="s">
        <v>24</v>
      </c>
      <c r="G196" s="6">
        <v>1.99287734591244</v>
      </c>
      <c r="H196" s="6">
        <v>1.8871330064627461</v>
      </c>
      <c r="I196" s="6">
        <v>1.2993149700598803</v>
      </c>
      <c r="J196" s="6">
        <v>5.1793253224350666</v>
      </c>
    </row>
    <row r="197" spans="1:10" x14ac:dyDescent="0.25">
      <c r="A197" t="s">
        <v>47</v>
      </c>
      <c r="B197" t="s">
        <v>0</v>
      </c>
      <c r="C197">
        <v>64</v>
      </c>
      <c r="D197">
        <v>228</v>
      </c>
      <c r="E197" s="2">
        <v>32</v>
      </c>
      <c r="F197" t="s">
        <v>30</v>
      </c>
      <c r="G197" s="6">
        <v>1.5971656777513545</v>
      </c>
      <c r="H197" s="6">
        <v>1.6164934053444169</v>
      </c>
      <c r="I197" s="6">
        <v>1.1267497005988028</v>
      </c>
      <c r="J197" s="6">
        <v>4.3404087836945742</v>
      </c>
    </row>
    <row r="198" spans="1:10" x14ac:dyDescent="0.25">
      <c r="A198" t="s">
        <v>47</v>
      </c>
      <c r="B198" t="s">
        <v>0</v>
      </c>
      <c r="C198">
        <v>64</v>
      </c>
      <c r="D198">
        <v>229</v>
      </c>
      <c r="E198" s="2">
        <v>19</v>
      </c>
      <c r="F198" t="s">
        <v>10</v>
      </c>
      <c r="G198" s="6">
        <v>2.0622435598909168</v>
      </c>
      <c r="H198" s="6">
        <v>2.0884706585241344</v>
      </c>
      <c r="I198" s="6">
        <v>1.3953859973579921</v>
      </c>
      <c r="J198" s="6">
        <v>5.546100215773043</v>
      </c>
    </row>
    <row r="199" spans="1:10" x14ac:dyDescent="0.25">
      <c r="A199" t="s">
        <v>47</v>
      </c>
      <c r="B199" t="s">
        <v>0</v>
      </c>
      <c r="C199">
        <v>64</v>
      </c>
      <c r="D199">
        <v>230</v>
      </c>
      <c r="E199" s="2">
        <v>23</v>
      </c>
      <c r="F199" t="s">
        <v>36</v>
      </c>
      <c r="G199" s="6">
        <v>1.739536354101112</v>
      </c>
      <c r="H199" s="6">
        <v>1.7444423840224865</v>
      </c>
      <c r="I199" s="6">
        <v>1.3675793923381772</v>
      </c>
      <c r="J199" s="6">
        <v>4.8515581304617754</v>
      </c>
    </row>
    <row r="200" spans="1:10" x14ac:dyDescent="0.25">
      <c r="A200" t="s">
        <v>47</v>
      </c>
      <c r="B200" t="s">
        <v>0</v>
      </c>
      <c r="C200">
        <v>64</v>
      </c>
      <c r="D200">
        <v>231</v>
      </c>
      <c r="E200" s="2">
        <v>7</v>
      </c>
      <c r="F200" t="s">
        <v>16</v>
      </c>
      <c r="G200" s="6">
        <v>1.7466255401720161</v>
      </c>
      <c r="H200" s="6">
        <v>1.8334831055062928</v>
      </c>
      <c r="I200" s="6">
        <v>1.310702245706737</v>
      </c>
      <c r="J200" s="6">
        <v>4.8908108913850459</v>
      </c>
    </row>
    <row r="201" spans="1:10" x14ac:dyDescent="0.25">
      <c r="A201" t="s">
        <v>47</v>
      </c>
      <c r="B201" t="s">
        <v>0</v>
      </c>
      <c r="C201">
        <v>64</v>
      </c>
      <c r="D201">
        <v>232</v>
      </c>
      <c r="E201" s="2">
        <v>35</v>
      </c>
      <c r="F201" t="s">
        <v>26</v>
      </c>
      <c r="G201" s="6">
        <v>1.9881416509335013</v>
      </c>
      <c r="H201" s="6">
        <v>1.9701440724004713</v>
      </c>
      <c r="I201" s="6">
        <v>1.4813336856010568</v>
      </c>
      <c r="J201" s="6">
        <v>5.4396194089350294</v>
      </c>
    </row>
    <row r="202" spans="1:10" x14ac:dyDescent="0.25">
      <c r="A202" t="s">
        <v>47</v>
      </c>
      <c r="B202" t="s">
        <v>0</v>
      </c>
      <c r="C202">
        <v>64</v>
      </c>
      <c r="D202">
        <v>233</v>
      </c>
      <c r="E202" s="2">
        <v>9</v>
      </c>
      <c r="F202" t="s">
        <v>19</v>
      </c>
      <c r="G202" s="6">
        <v>2.07820933416042</v>
      </c>
      <c r="H202" s="6">
        <v>1.582961470199364</v>
      </c>
      <c r="I202" s="6">
        <v>1.1804581005586592</v>
      </c>
      <c r="J202" s="6">
        <v>4.8416289049184433</v>
      </c>
    </row>
    <row r="203" spans="1:10" x14ac:dyDescent="0.25">
      <c r="A203" t="s">
        <v>47</v>
      </c>
      <c r="B203" t="s">
        <v>0</v>
      </c>
      <c r="C203">
        <v>64</v>
      </c>
      <c r="D203">
        <v>234</v>
      </c>
      <c r="E203" s="2">
        <v>15</v>
      </c>
      <c r="F203" t="s">
        <v>20</v>
      </c>
      <c r="G203" s="6">
        <v>2.0148925425546453</v>
      </c>
      <c r="H203" s="6">
        <v>1.7594793748303994</v>
      </c>
      <c r="I203" s="6">
        <v>1.4265430167597766</v>
      </c>
      <c r="J203" s="6">
        <v>5.2009149341448211</v>
      </c>
    </row>
    <row r="204" spans="1:10" x14ac:dyDescent="0.25">
      <c r="A204" t="s">
        <v>47</v>
      </c>
      <c r="B204" t="s">
        <v>0</v>
      </c>
      <c r="C204">
        <v>64</v>
      </c>
      <c r="D204">
        <v>235</v>
      </c>
      <c r="E204" s="2">
        <v>26</v>
      </c>
      <c r="F204" t="s">
        <v>21</v>
      </c>
      <c r="G204" s="6">
        <v>2.207029188439015</v>
      </c>
      <c r="H204" s="6">
        <v>1.4838245829989434</v>
      </c>
      <c r="I204" s="6">
        <v>1.1842055865921788</v>
      </c>
      <c r="J204" s="6">
        <v>4.8750593580301373</v>
      </c>
    </row>
    <row r="205" spans="1:10" x14ac:dyDescent="0.25">
      <c r="A205" t="s">
        <v>47</v>
      </c>
      <c r="B205" t="s">
        <v>0</v>
      </c>
      <c r="C205">
        <v>64</v>
      </c>
      <c r="D205">
        <v>236</v>
      </c>
      <c r="E205" s="2">
        <v>8</v>
      </c>
      <c r="F205" t="s">
        <v>31</v>
      </c>
      <c r="G205" s="6">
        <v>2.2313993670686445</v>
      </c>
      <c r="H205" s="6">
        <v>1.8463266794071629</v>
      </c>
      <c r="I205" s="6">
        <v>1.280391061452514</v>
      </c>
      <c r="J205" s="6">
        <v>5.3581171079283214</v>
      </c>
    </row>
    <row r="206" spans="1:10" x14ac:dyDescent="0.25">
      <c r="A206" t="s">
        <v>47</v>
      </c>
      <c r="B206" t="s">
        <v>0</v>
      </c>
      <c r="C206">
        <v>64</v>
      </c>
      <c r="D206">
        <v>237</v>
      </c>
      <c r="E206" s="2">
        <v>33</v>
      </c>
      <c r="F206" t="s">
        <v>23</v>
      </c>
      <c r="G206" s="6">
        <v>2.2002549762627774</v>
      </c>
      <c r="H206" s="6">
        <v>1.8435833157838186</v>
      </c>
      <c r="I206" s="6">
        <v>1.2894263772954926</v>
      </c>
      <c r="J206" s="6">
        <v>5.3332646693420882</v>
      </c>
    </row>
    <row r="207" spans="1:10" x14ac:dyDescent="0.25">
      <c r="A207" t="s">
        <v>47</v>
      </c>
      <c r="B207" t="s">
        <v>0</v>
      </c>
      <c r="C207">
        <v>64</v>
      </c>
      <c r="D207">
        <v>238</v>
      </c>
      <c r="E207" s="2">
        <v>12</v>
      </c>
      <c r="F207" t="s">
        <v>33</v>
      </c>
      <c r="G207" s="6">
        <v>1.9907524229074889</v>
      </c>
      <c r="H207" s="6">
        <v>1.7605160674760933</v>
      </c>
      <c r="I207" s="6">
        <v>1.2438156928213691</v>
      </c>
      <c r="J207" s="6">
        <v>4.9950841832049511</v>
      </c>
    </row>
    <row r="208" spans="1:10" x14ac:dyDescent="0.25">
      <c r="A208" t="s">
        <v>47</v>
      </c>
      <c r="B208" t="s">
        <v>0</v>
      </c>
      <c r="C208">
        <v>64</v>
      </c>
      <c r="D208">
        <v>239</v>
      </c>
      <c r="E208" s="2">
        <v>3</v>
      </c>
      <c r="F208" t="s">
        <v>3</v>
      </c>
      <c r="G208" s="6">
        <v>1.5603647406013428</v>
      </c>
      <c r="H208" s="6">
        <v>1.3456906070699473</v>
      </c>
      <c r="I208" s="6">
        <v>1.0675365609348915</v>
      </c>
      <c r="J208" s="6">
        <v>3.9735919086061817</v>
      </c>
    </row>
    <row r="209" spans="1:10" x14ac:dyDescent="0.25">
      <c r="A209" t="s">
        <v>47</v>
      </c>
      <c r="B209" t="s">
        <v>0</v>
      </c>
      <c r="C209">
        <v>64</v>
      </c>
      <c r="D209">
        <v>240</v>
      </c>
      <c r="E209" s="2">
        <v>5</v>
      </c>
      <c r="F209" t="s">
        <v>5</v>
      </c>
      <c r="G209" s="6">
        <v>1.9083548522304432</v>
      </c>
      <c r="H209" s="6">
        <v>1.8817124400988503</v>
      </c>
      <c r="I209" s="6">
        <v>1.1982050083472455</v>
      </c>
      <c r="J209" s="6">
        <v>4.988272300676539</v>
      </c>
    </row>
    <row r="210" spans="1:10" x14ac:dyDescent="0.25">
      <c r="A210" t="s">
        <v>47</v>
      </c>
      <c r="B210" t="s">
        <v>0</v>
      </c>
      <c r="C210">
        <v>64</v>
      </c>
      <c r="D210">
        <v>241</v>
      </c>
      <c r="E210" s="2">
        <v>10</v>
      </c>
      <c r="F210" t="s">
        <v>35</v>
      </c>
      <c r="G210" s="6">
        <v>1.6372813089993707</v>
      </c>
      <c r="H210" s="6">
        <v>1.4982894063352217</v>
      </c>
      <c r="I210" s="6">
        <v>1.2284370967741935</v>
      </c>
      <c r="J210" s="6">
        <v>4.3640078121087864</v>
      </c>
    </row>
    <row r="211" spans="1:10" x14ac:dyDescent="0.25">
      <c r="A211" t="s">
        <v>47</v>
      </c>
      <c r="B211" t="s">
        <v>0</v>
      </c>
      <c r="C211">
        <v>64</v>
      </c>
      <c r="D211">
        <v>242</v>
      </c>
      <c r="E211" s="2">
        <v>29</v>
      </c>
      <c r="F211" t="s">
        <v>11</v>
      </c>
      <c r="G211" s="6">
        <v>1.8408709880427945</v>
      </c>
      <c r="H211" s="6">
        <v>1.9250233829802115</v>
      </c>
      <c r="I211" s="6">
        <v>1.1109129032258067</v>
      </c>
      <c r="J211" s="6">
        <v>4.8768072742488124</v>
      </c>
    </row>
    <row r="212" spans="1:10" x14ac:dyDescent="0.25">
      <c r="A212" t="s">
        <v>47</v>
      </c>
      <c r="B212" t="s">
        <v>0</v>
      </c>
      <c r="C212">
        <v>64</v>
      </c>
      <c r="D212">
        <v>243</v>
      </c>
      <c r="E212" s="2">
        <v>17</v>
      </c>
      <c r="F212" t="s">
        <v>17</v>
      </c>
      <c r="G212" s="6">
        <v>1.8601988672120833</v>
      </c>
      <c r="H212" s="6">
        <v>1.8408573596252011</v>
      </c>
      <c r="I212" s="6">
        <v>1.1702935483870971</v>
      </c>
      <c r="J212" s="6">
        <v>4.8713497752243811</v>
      </c>
    </row>
    <row r="213" spans="1:10" x14ac:dyDescent="0.25">
      <c r="A213" t="s">
        <v>47</v>
      </c>
      <c r="B213" t="s">
        <v>0</v>
      </c>
      <c r="C213">
        <v>64</v>
      </c>
      <c r="D213">
        <v>244</v>
      </c>
      <c r="E213" s="2">
        <v>31</v>
      </c>
      <c r="F213" t="s">
        <v>29</v>
      </c>
      <c r="G213" s="6">
        <v>2.0424080553807427</v>
      </c>
      <c r="H213" s="6">
        <v>1.9722146283476685</v>
      </c>
      <c r="I213" s="6">
        <v>1.5884322580645163</v>
      </c>
      <c r="J213" s="6">
        <v>5.6030549417929274</v>
      </c>
    </row>
    <row r="214" spans="1:10" x14ac:dyDescent="0.25">
      <c r="A214" t="s">
        <v>47</v>
      </c>
      <c r="B214" t="s">
        <v>0</v>
      </c>
      <c r="C214">
        <v>64</v>
      </c>
      <c r="D214">
        <v>245</v>
      </c>
      <c r="E214" s="2">
        <v>4</v>
      </c>
      <c r="F214" t="s">
        <v>2</v>
      </c>
      <c r="G214" s="6">
        <v>1.9480052310044784</v>
      </c>
      <c r="H214" s="6">
        <v>1.6356353392355616</v>
      </c>
      <c r="I214" s="6">
        <v>1.3282285714285715</v>
      </c>
      <c r="J214" s="6">
        <v>4.9118691416686113</v>
      </c>
    </row>
    <row r="215" spans="1:10" x14ac:dyDescent="0.25">
      <c r="A215" t="s">
        <v>47</v>
      </c>
      <c r="B215" t="s">
        <v>0</v>
      </c>
      <c r="C215">
        <v>64</v>
      </c>
      <c r="D215">
        <v>246</v>
      </c>
      <c r="E215" s="2">
        <v>36</v>
      </c>
      <c r="F215" t="s">
        <v>27</v>
      </c>
      <c r="G215" s="6">
        <v>2.3962101314304438</v>
      </c>
      <c r="H215" s="6">
        <v>1.8897846627603612</v>
      </c>
      <c r="I215" s="6">
        <v>1.3481271268057786</v>
      </c>
      <c r="J215" s="6">
        <v>5.6341219209965843</v>
      </c>
    </row>
    <row r="216" spans="1:10" x14ac:dyDescent="0.25">
      <c r="A216" t="s">
        <v>47</v>
      </c>
      <c r="B216" t="s">
        <v>0</v>
      </c>
      <c r="C216">
        <v>64</v>
      </c>
      <c r="D216">
        <v>247</v>
      </c>
      <c r="E216" s="2">
        <v>28</v>
      </c>
      <c r="F216" t="s">
        <v>13</v>
      </c>
      <c r="G216" s="6">
        <v>2.2247971398405357</v>
      </c>
      <c r="H216" s="6">
        <v>1.7577297349699901</v>
      </c>
      <c r="I216" s="6">
        <v>1.4003608346709471</v>
      </c>
      <c r="J216" s="6">
        <v>5.3828877094814729</v>
      </c>
    </row>
    <row r="217" spans="1:10" x14ac:dyDescent="0.25">
      <c r="A217" t="s">
        <v>47</v>
      </c>
      <c r="B217" t="s">
        <v>0</v>
      </c>
      <c r="C217">
        <v>64</v>
      </c>
      <c r="D217">
        <v>248</v>
      </c>
      <c r="E217" s="2">
        <v>30</v>
      </c>
      <c r="F217" t="s">
        <v>9</v>
      </c>
      <c r="G217" s="6">
        <v>1.9217867200640768</v>
      </c>
      <c r="H217" s="6">
        <v>1.8663334730479166</v>
      </c>
      <c r="I217" s="6">
        <v>1.2461470304975921</v>
      </c>
      <c r="J217" s="6">
        <v>5.0342672236095858</v>
      </c>
    </row>
    <row r="218" spans="1:10" x14ac:dyDescent="0.25">
      <c r="A218" t="s">
        <v>47</v>
      </c>
      <c r="B218" t="s">
        <v>0</v>
      </c>
      <c r="C218">
        <v>64</v>
      </c>
      <c r="D218">
        <v>313</v>
      </c>
      <c r="E218" s="2">
        <v>4</v>
      </c>
      <c r="F218" t="s">
        <v>2</v>
      </c>
      <c r="G218" s="6">
        <v>1.8791721964343795</v>
      </c>
      <c r="H218" s="6">
        <v>1.8515787716634726</v>
      </c>
      <c r="I218" s="6">
        <v>1.3789066666666667</v>
      </c>
      <c r="J218" s="6">
        <v>5.1096576347645186</v>
      </c>
    </row>
    <row r="219" spans="1:10" x14ac:dyDescent="0.25">
      <c r="A219" t="s">
        <v>47</v>
      </c>
      <c r="B219" t="s">
        <v>0</v>
      </c>
      <c r="C219">
        <v>64</v>
      </c>
      <c r="D219">
        <v>314</v>
      </c>
      <c r="E219" s="2">
        <v>10</v>
      </c>
      <c r="F219" t="s">
        <v>35</v>
      </c>
      <c r="G219" s="6">
        <v>1.7622792261675979</v>
      </c>
      <c r="H219" s="6">
        <v>1.7780886134547897</v>
      </c>
      <c r="I219" s="6">
        <v>1.3516133333333333</v>
      </c>
      <c r="J219" s="6">
        <v>4.8919811729557203</v>
      </c>
    </row>
    <row r="220" spans="1:10" x14ac:dyDescent="0.25">
      <c r="A220" t="s">
        <v>47</v>
      </c>
      <c r="B220" t="s">
        <v>0</v>
      </c>
      <c r="C220">
        <v>64</v>
      </c>
      <c r="D220">
        <v>315</v>
      </c>
      <c r="E220" s="2">
        <v>2</v>
      </c>
      <c r="F220" t="s">
        <v>4</v>
      </c>
      <c r="G220" s="6">
        <v>2.3265117425026363</v>
      </c>
      <c r="H220" s="6">
        <v>2.005247298339929</v>
      </c>
      <c r="I220" s="6">
        <v>1.5284266666666668</v>
      </c>
      <c r="J220" s="6">
        <v>5.8601857075092312</v>
      </c>
    </row>
    <row r="221" spans="1:10" x14ac:dyDescent="0.25">
      <c r="A221" t="s">
        <v>47</v>
      </c>
      <c r="B221" t="s">
        <v>0</v>
      </c>
      <c r="C221">
        <v>64</v>
      </c>
      <c r="D221">
        <v>316</v>
      </c>
      <c r="E221" s="2">
        <v>5</v>
      </c>
      <c r="F221" t="s">
        <v>5</v>
      </c>
      <c r="G221" s="6">
        <v>1.816489107017907</v>
      </c>
      <c r="H221" s="6">
        <v>1.9533828451015038</v>
      </c>
      <c r="I221" s="6">
        <v>1.2198933333333333</v>
      </c>
      <c r="J221" s="6">
        <v>4.9897652854527443</v>
      </c>
    </row>
    <row r="222" spans="1:10" x14ac:dyDescent="0.25">
      <c r="A222" t="s">
        <v>47</v>
      </c>
      <c r="B222" t="s">
        <v>0</v>
      </c>
      <c r="C222">
        <v>64</v>
      </c>
      <c r="D222">
        <v>317</v>
      </c>
      <c r="E222" s="2">
        <v>5</v>
      </c>
      <c r="F222" t="s">
        <v>5</v>
      </c>
      <c r="G222" s="6">
        <v>1.8267422236769386</v>
      </c>
      <c r="H222" s="6">
        <v>1.7851406195370951</v>
      </c>
      <c r="I222" s="6">
        <v>1.1418121037463977</v>
      </c>
      <c r="J222" s="6">
        <v>4.7536949469604313</v>
      </c>
    </row>
    <row r="223" spans="1:10" x14ac:dyDescent="0.25">
      <c r="A223" t="s">
        <v>47</v>
      </c>
      <c r="B223" t="s">
        <v>0</v>
      </c>
      <c r="C223">
        <v>64</v>
      </c>
      <c r="D223">
        <v>318</v>
      </c>
      <c r="E223" s="2">
        <v>8</v>
      </c>
      <c r="F223" t="s">
        <v>31</v>
      </c>
      <c r="G223" s="6">
        <v>2.2724890350759521</v>
      </c>
      <c r="H223" s="6">
        <v>1.973645497983824</v>
      </c>
      <c r="I223" s="6">
        <v>1.1555688760806917</v>
      </c>
      <c r="J223" s="6">
        <v>5.4017034091404685</v>
      </c>
    </row>
    <row r="224" spans="1:10" x14ac:dyDescent="0.25">
      <c r="A224" t="s">
        <v>47</v>
      </c>
      <c r="B224" t="s">
        <v>0</v>
      </c>
      <c r="C224">
        <v>64</v>
      </c>
      <c r="D224">
        <v>319</v>
      </c>
      <c r="E224" s="2">
        <v>7</v>
      </c>
      <c r="F224" t="s">
        <v>16</v>
      </c>
      <c r="G224" s="6">
        <v>1.7722284825103158</v>
      </c>
      <c r="H224" s="6">
        <v>1.7850385660676409</v>
      </c>
      <c r="I224" s="6">
        <v>1.1441048991354468</v>
      </c>
      <c r="J224" s="6">
        <v>4.7013719477134037</v>
      </c>
    </row>
    <row r="225" spans="1:10" x14ac:dyDescent="0.25">
      <c r="A225" t="s">
        <v>47</v>
      </c>
      <c r="B225" t="s">
        <v>0</v>
      </c>
      <c r="C225">
        <v>64</v>
      </c>
      <c r="D225">
        <v>320</v>
      </c>
      <c r="E225" s="2">
        <v>15</v>
      </c>
      <c r="F225" t="s">
        <v>20</v>
      </c>
      <c r="G225" s="6">
        <v>1.9375561553279281</v>
      </c>
      <c r="H225" s="6">
        <v>1.7861272172109175</v>
      </c>
      <c r="I225" s="6">
        <v>1.2679158501440924</v>
      </c>
      <c r="J225" s="6">
        <v>4.9915992226829378</v>
      </c>
    </row>
    <row r="226" spans="1:10" x14ac:dyDescent="0.25">
      <c r="A226" t="s">
        <v>47</v>
      </c>
      <c r="B226" t="s">
        <v>0</v>
      </c>
      <c r="C226">
        <v>64</v>
      </c>
      <c r="D226">
        <v>321</v>
      </c>
      <c r="E226" s="2">
        <v>13</v>
      </c>
      <c r="F226" t="s">
        <v>24</v>
      </c>
      <c r="G226" s="6">
        <v>1.8913244344747442</v>
      </c>
      <c r="H226" s="6">
        <v>1.9148581966912712</v>
      </c>
      <c r="I226" s="6">
        <v>1.1496662068965517</v>
      </c>
      <c r="J226" s="6">
        <v>4.9558488380625665</v>
      </c>
    </row>
    <row r="227" spans="1:10" x14ac:dyDescent="0.25">
      <c r="A227" t="s">
        <v>47</v>
      </c>
      <c r="B227" t="s">
        <v>0</v>
      </c>
      <c r="C227">
        <v>64</v>
      </c>
      <c r="D227">
        <v>322</v>
      </c>
      <c r="E227" s="2">
        <v>30</v>
      </c>
      <c r="F227" t="s">
        <v>9</v>
      </c>
      <c r="G227" s="6">
        <v>1.7030995000135134</v>
      </c>
      <c r="H227" s="6">
        <v>1.8332014220059081</v>
      </c>
      <c r="I227" s="6">
        <v>1.2135365517241381</v>
      </c>
      <c r="J227" s="6">
        <v>4.7498374737435594</v>
      </c>
    </row>
    <row r="228" spans="1:10" x14ac:dyDescent="0.25">
      <c r="A228" t="s">
        <v>47</v>
      </c>
      <c r="B228" t="s">
        <v>0</v>
      </c>
      <c r="C228">
        <v>64</v>
      </c>
      <c r="D228">
        <v>323</v>
      </c>
      <c r="E228" s="2">
        <v>11</v>
      </c>
      <c r="F228" t="s">
        <v>15</v>
      </c>
      <c r="G228" s="6">
        <v>1.8629440231345102</v>
      </c>
      <c r="H228" s="6">
        <v>1.8996295571990884</v>
      </c>
      <c r="I228" s="6">
        <v>1.2909179310344827</v>
      </c>
      <c r="J228" s="6">
        <v>5.0534915113680814</v>
      </c>
    </row>
    <row r="229" spans="1:10" x14ac:dyDescent="0.25">
      <c r="A229" t="s">
        <v>47</v>
      </c>
      <c r="B229" t="s">
        <v>0</v>
      </c>
      <c r="C229">
        <v>64</v>
      </c>
      <c r="D229">
        <v>324</v>
      </c>
      <c r="E229" s="2">
        <v>16</v>
      </c>
      <c r="F229" t="s">
        <v>12</v>
      </c>
      <c r="G229" s="6">
        <v>1.542226810086214</v>
      </c>
      <c r="H229" s="6">
        <v>1.7366915229390076</v>
      </c>
      <c r="I229" s="6">
        <v>1.1103613793103448</v>
      </c>
      <c r="J229" s="6">
        <v>4.3892797123355667</v>
      </c>
    </row>
    <row r="230" spans="1:10" x14ac:dyDescent="0.25">
      <c r="A230" t="s">
        <v>47</v>
      </c>
      <c r="B230" t="s">
        <v>0</v>
      </c>
      <c r="C230">
        <v>64</v>
      </c>
      <c r="D230">
        <v>325</v>
      </c>
      <c r="E230" s="2">
        <v>17</v>
      </c>
      <c r="F230" t="s">
        <v>17</v>
      </c>
      <c r="G230" s="6">
        <v>1.7771764241227404</v>
      </c>
      <c r="H230" s="6">
        <v>1.7102236775145345</v>
      </c>
      <c r="I230" s="6">
        <v>1.1942519524617998</v>
      </c>
      <c r="J230" s="6">
        <v>4.6816520540990743</v>
      </c>
    </row>
    <row r="231" spans="1:10" x14ac:dyDescent="0.25">
      <c r="A231" t="s">
        <v>47</v>
      </c>
      <c r="B231" t="s">
        <v>0</v>
      </c>
      <c r="C231">
        <v>64</v>
      </c>
      <c r="D231">
        <v>326</v>
      </c>
      <c r="E231" s="2">
        <v>3</v>
      </c>
      <c r="F231" t="s">
        <v>3</v>
      </c>
      <c r="G231" s="6">
        <v>1.7705144766823639</v>
      </c>
      <c r="H231" s="6">
        <v>1.5422569870308782</v>
      </c>
      <c r="I231" s="6">
        <v>1.2883286926994906</v>
      </c>
      <c r="J231" s="6">
        <v>4.6011001564127323</v>
      </c>
    </row>
    <row r="232" spans="1:10" x14ac:dyDescent="0.25">
      <c r="A232" t="s">
        <v>47</v>
      </c>
      <c r="B232" t="s">
        <v>0</v>
      </c>
      <c r="C232">
        <v>64</v>
      </c>
      <c r="D232">
        <v>327</v>
      </c>
      <c r="E232" s="2">
        <v>34</v>
      </c>
      <c r="F232" t="s">
        <v>34</v>
      </c>
      <c r="G232" s="6">
        <v>2.1495024153121678</v>
      </c>
      <c r="H232" s="6">
        <v>1.8791644040526578</v>
      </c>
      <c r="I232" s="6">
        <v>1.2752624787775892</v>
      </c>
      <c r="J232" s="6">
        <v>5.3039292981424158</v>
      </c>
    </row>
    <row r="233" spans="1:10" x14ac:dyDescent="0.25">
      <c r="A233" t="s">
        <v>47</v>
      </c>
      <c r="B233" t="s">
        <v>0</v>
      </c>
      <c r="C233">
        <v>64</v>
      </c>
      <c r="D233">
        <v>328</v>
      </c>
      <c r="E233" s="2">
        <v>27</v>
      </c>
      <c r="F233" t="s">
        <v>14</v>
      </c>
      <c r="G233" s="6">
        <v>2.042624578459669</v>
      </c>
      <c r="H233" s="6">
        <v>1.7885948216038945</v>
      </c>
      <c r="I233" s="6">
        <v>1.4503497453310694</v>
      </c>
      <c r="J233" s="6">
        <v>5.2815691453946325</v>
      </c>
    </row>
    <row r="234" spans="1:10" x14ac:dyDescent="0.25">
      <c r="A234" t="s">
        <v>47</v>
      </c>
      <c r="B234" t="s">
        <v>0</v>
      </c>
      <c r="C234">
        <v>64</v>
      </c>
      <c r="D234">
        <v>329</v>
      </c>
      <c r="E234" s="2">
        <v>14</v>
      </c>
      <c r="F234" t="s">
        <v>25</v>
      </c>
      <c r="G234" s="6">
        <v>1.7743895805401262</v>
      </c>
      <c r="H234" s="6">
        <v>1.2968203781953311</v>
      </c>
      <c r="I234" s="6">
        <v>1.1255722627737228</v>
      </c>
      <c r="J234" s="6">
        <v>4.1967822215091797</v>
      </c>
    </row>
    <row r="235" spans="1:10" x14ac:dyDescent="0.25">
      <c r="A235" t="s">
        <v>47</v>
      </c>
      <c r="B235" t="s">
        <v>0</v>
      </c>
      <c r="C235">
        <v>64</v>
      </c>
      <c r="D235">
        <v>330</v>
      </c>
      <c r="E235" s="2">
        <v>28</v>
      </c>
      <c r="F235" t="s">
        <v>13</v>
      </c>
      <c r="G235" s="6">
        <v>1.9250499904232905</v>
      </c>
      <c r="H235" s="6">
        <v>1.5273795279051414</v>
      </c>
      <c r="I235" s="6">
        <v>1.4292598540145984</v>
      </c>
      <c r="J235" s="6">
        <v>4.8816893723430308</v>
      </c>
    </row>
    <row r="236" spans="1:10" x14ac:dyDescent="0.25">
      <c r="A236" t="s">
        <v>47</v>
      </c>
      <c r="B236" t="s">
        <v>0</v>
      </c>
      <c r="C236">
        <v>64</v>
      </c>
      <c r="D236">
        <v>331</v>
      </c>
      <c r="E236" s="2">
        <v>36</v>
      </c>
      <c r="F236" t="s">
        <v>27</v>
      </c>
      <c r="G236" s="6">
        <v>1.7842984102662327</v>
      </c>
      <c r="H236" s="6">
        <v>1.447657310677575</v>
      </c>
      <c r="I236" s="6">
        <v>1.3690043795620437</v>
      </c>
      <c r="J236" s="6">
        <v>4.6009601005058514</v>
      </c>
    </row>
    <row r="237" spans="1:10" x14ac:dyDescent="0.25">
      <c r="A237" t="s">
        <v>47</v>
      </c>
      <c r="B237" t="s">
        <v>0</v>
      </c>
      <c r="C237">
        <v>64</v>
      </c>
      <c r="D237">
        <v>332</v>
      </c>
      <c r="E237" s="2">
        <v>29</v>
      </c>
      <c r="F237" t="s">
        <v>11</v>
      </c>
      <c r="G237" s="6">
        <v>1.8034234820915536</v>
      </c>
      <c r="H237" s="6">
        <v>1.7556894842518507</v>
      </c>
      <c r="I237" s="6">
        <v>1.0773678832116789</v>
      </c>
      <c r="J237" s="6">
        <v>4.6364808495550829</v>
      </c>
    </row>
    <row r="238" spans="1:10" x14ac:dyDescent="0.25">
      <c r="A238" t="s">
        <v>47</v>
      </c>
      <c r="B238" t="s">
        <v>0</v>
      </c>
      <c r="C238">
        <v>64</v>
      </c>
      <c r="D238">
        <v>333</v>
      </c>
      <c r="E238" s="2">
        <v>31</v>
      </c>
      <c r="F238" t="s">
        <v>29</v>
      </c>
      <c r="G238" s="6">
        <v>1.8984420320451023</v>
      </c>
      <c r="H238" s="6">
        <v>1.885491143401933</v>
      </c>
      <c r="I238" s="6">
        <v>1.4512296795952782</v>
      </c>
      <c r="J238" s="6">
        <v>5.2351628550423133</v>
      </c>
    </row>
    <row r="239" spans="1:10" x14ac:dyDescent="0.25">
      <c r="A239" t="s">
        <v>47</v>
      </c>
      <c r="B239" t="s">
        <v>0</v>
      </c>
      <c r="C239">
        <v>64</v>
      </c>
      <c r="D239">
        <v>334</v>
      </c>
      <c r="E239" s="2">
        <v>23</v>
      </c>
      <c r="F239" t="s">
        <v>36</v>
      </c>
      <c r="G239" s="6">
        <v>1.7629486131279974</v>
      </c>
      <c r="H239" s="6">
        <v>1.7861473127753307</v>
      </c>
      <c r="I239" s="6">
        <v>1.3094704890387858</v>
      </c>
      <c r="J239" s="6">
        <v>4.8585664149421142</v>
      </c>
    </row>
    <row r="240" spans="1:10" x14ac:dyDescent="0.25">
      <c r="A240" t="s">
        <v>47</v>
      </c>
      <c r="B240" t="s">
        <v>0</v>
      </c>
      <c r="C240">
        <v>64</v>
      </c>
      <c r="D240">
        <v>335</v>
      </c>
      <c r="E240" s="2">
        <v>1</v>
      </c>
      <c r="F240" t="s">
        <v>6</v>
      </c>
      <c r="G240" s="6">
        <v>2.1306576592187638</v>
      </c>
      <c r="H240" s="6">
        <v>2.1312181366296272</v>
      </c>
      <c r="I240" s="6">
        <v>1.3262893760539629</v>
      </c>
      <c r="J240" s="6">
        <v>5.5881651719023546</v>
      </c>
    </row>
    <row r="241" spans="1:10" x14ac:dyDescent="0.25">
      <c r="A241" t="s">
        <v>47</v>
      </c>
      <c r="B241" t="s">
        <v>0</v>
      </c>
      <c r="C241">
        <v>64</v>
      </c>
      <c r="D241">
        <v>336</v>
      </c>
      <c r="E241" s="2">
        <v>22</v>
      </c>
      <c r="F241" t="s">
        <v>7</v>
      </c>
      <c r="G241" s="6">
        <v>2.0022651811536729</v>
      </c>
      <c r="H241" s="6">
        <v>2.059951434019331</v>
      </c>
      <c r="I241" s="6">
        <v>1.1532951096121418</v>
      </c>
      <c r="J241" s="6">
        <v>5.215511724785145</v>
      </c>
    </row>
    <row r="242" spans="1:10" x14ac:dyDescent="0.25">
      <c r="A242" t="s">
        <v>47</v>
      </c>
      <c r="B242" t="s">
        <v>0</v>
      </c>
      <c r="C242">
        <v>64</v>
      </c>
      <c r="D242">
        <v>337</v>
      </c>
      <c r="E242" s="2">
        <v>25</v>
      </c>
      <c r="F242" t="s">
        <v>8</v>
      </c>
      <c r="G242" s="6">
        <v>1.7420111628997121</v>
      </c>
      <c r="H242" s="6">
        <v>1.6456068492327243</v>
      </c>
      <c r="I242" s="6">
        <v>1.0317517241379313</v>
      </c>
      <c r="J242" s="6">
        <v>4.419369736270367</v>
      </c>
    </row>
    <row r="243" spans="1:10" x14ac:dyDescent="0.25">
      <c r="A243" t="s">
        <v>47</v>
      </c>
      <c r="B243" t="s">
        <v>0</v>
      </c>
      <c r="C243">
        <v>64</v>
      </c>
      <c r="D243">
        <v>338</v>
      </c>
      <c r="E243" s="2">
        <v>18</v>
      </c>
      <c r="F243" t="s">
        <v>18</v>
      </c>
      <c r="G243" s="6">
        <v>2.0200735102195186</v>
      </c>
      <c r="H243" s="6">
        <v>1.660099386007849</v>
      </c>
      <c r="I243" s="6">
        <v>1.428386206896552</v>
      </c>
      <c r="J243" s="6">
        <v>5.1085591031239197</v>
      </c>
    </row>
    <row r="244" spans="1:10" x14ac:dyDescent="0.25">
      <c r="A244" t="s">
        <v>47</v>
      </c>
      <c r="B244" t="s">
        <v>0</v>
      </c>
      <c r="C244">
        <v>64</v>
      </c>
      <c r="D244">
        <v>339</v>
      </c>
      <c r="E244" s="2">
        <v>21</v>
      </c>
      <c r="F244" t="s">
        <v>22</v>
      </c>
      <c r="G244" s="6">
        <v>1.6537015463780236</v>
      </c>
      <c r="H244" s="6">
        <v>1.5531643695631638</v>
      </c>
      <c r="I244" s="6">
        <v>1.2300689655172414</v>
      </c>
      <c r="J244" s="6">
        <v>4.4369348814584288</v>
      </c>
    </row>
    <row r="245" spans="1:10" x14ac:dyDescent="0.25">
      <c r="A245" t="s">
        <v>47</v>
      </c>
      <c r="B245" t="s">
        <v>0</v>
      </c>
      <c r="C245">
        <v>64</v>
      </c>
      <c r="D245">
        <v>340</v>
      </c>
      <c r="E245" s="2">
        <v>6</v>
      </c>
      <c r="F245" t="s">
        <v>1</v>
      </c>
      <c r="G245" s="6">
        <v>1.8767271417841676</v>
      </c>
      <c r="H245" s="6">
        <v>1.8145210466204669</v>
      </c>
      <c r="I245" s="6">
        <v>1.2677241379310347</v>
      </c>
      <c r="J245" s="6">
        <v>4.9589723263356689</v>
      </c>
    </row>
    <row r="246" spans="1:10" x14ac:dyDescent="0.25">
      <c r="A246" t="s">
        <v>47</v>
      </c>
      <c r="B246" t="s">
        <v>0</v>
      </c>
      <c r="C246">
        <v>64</v>
      </c>
      <c r="D246">
        <v>341</v>
      </c>
      <c r="E246" s="2">
        <v>19</v>
      </c>
      <c r="F246" t="s">
        <v>10</v>
      </c>
      <c r="G246" s="6">
        <v>1.9348710271534884</v>
      </c>
      <c r="H246" s="6">
        <v>1.914376217351049</v>
      </c>
      <c r="I246" s="6">
        <v>1.2040968858131489</v>
      </c>
      <c r="J246" s="6">
        <v>5.0533441303176865</v>
      </c>
    </row>
    <row r="247" spans="1:10" x14ac:dyDescent="0.25">
      <c r="A247" t="s">
        <v>47</v>
      </c>
      <c r="B247" t="s">
        <v>0</v>
      </c>
      <c r="C247">
        <v>64</v>
      </c>
      <c r="D247">
        <v>342</v>
      </c>
      <c r="E247" s="2">
        <v>24</v>
      </c>
      <c r="F247" t="s">
        <v>32</v>
      </c>
      <c r="G247" s="6">
        <v>1.9397811891784267</v>
      </c>
      <c r="H247" s="6">
        <v>1.8130054573654384</v>
      </c>
      <c r="I247" s="6">
        <v>1.4031003460207614</v>
      </c>
      <c r="J247" s="6">
        <v>5.1558869925646267</v>
      </c>
    </row>
    <row r="248" spans="1:10" x14ac:dyDescent="0.25">
      <c r="A248" t="s">
        <v>47</v>
      </c>
      <c r="B248" t="s">
        <v>0</v>
      </c>
      <c r="C248">
        <v>64</v>
      </c>
      <c r="D248">
        <v>343</v>
      </c>
      <c r="E248" s="2">
        <v>35</v>
      </c>
      <c r="F248" t="s">
        <v>26</v>
      </c>
      <c r="G248" s="6">
        <v>2.0514845118096519</v>
      </c>
      <c r="H248" s="6">
        <v>1.9483974877483505</v>
      </c>
      <c r="I248" s="6">
        <v>1.3250103806228375</v>
      </c>
      <c r="J248" s="6">
        <v>5.3248923801808399</v>
      </c>
    </row>
    <row r="249" spans="1:10" x14ac:dyDescent="0.25">
      <c r="A249" t="s">
        <v>47</v>
      </c>
      <c r="B249" t="s">
        <v>0</v>
      </c>
      <c r="C249">
        <v>64</v>
      </c>
      <c r="D249">
        <v>344</v>
      </c>
      <c r="E249" s="2">
        <v>32</v>
      </c>
      <c r="F249" t="s">
        <v>30</v>
      </c>
      <c r="G249" s="6">
        <v>1.6878648796635061</v>
      </c>
      <c r="H249" s="6">
        <v>1.700042342645177</v>
      </c>
      <c r="I249" s="6">
        <v>1.2670726643598618</v>
      </c>
      <c r="J249" s="6">
        <v>4.6549798866685448</v>
      </c>
    </row>
    <row r="250" spans="1:10" x14ac:dyDescent="0.25">
      <c r="A250" t="s">
        <v>47</v>
      </c>
      <c r="B250" t="s">
        <v>0</v>
      </c>
      <c r="C250">
        <v>64</v>
      </c>
      <c r="D250">
        <v>345</v>
      </c>
      <c r="E250" s="2">
        <v>9</v>
      </c>
      <c r="F250" t="s">
        <v>19</v>
      </c>
      <c r="G250" s="6">
        <v>2.0979777973568283</v>
      </c>
      <c r="H250" s="6">
        <v>1.7835623482873324</v>
      </c>
      <c r="I250" s="6">
        <v>1.265103125</v>
      </c>
      <c r="J250" s="6">
        <v>5.1466432706441605</v>
      </c>
    </row>
    <row r="251" spans="1:10" x14ac:dyDescent="0.25">
      <c r="A251" t="s">
        <v>47</v>
      </c>
      <c r="B251" t="s">
        <v>0</v>
      </c>
      <c r="C251">
        <v>64</v>
      </c>
      <c r="D251">
        <v>346</v>
      </c>
      <c r="E251" s="2">
        <v>33</v>
      </c>
      <c r="F251" t="s">
        <v>23</v>
      </c>
      <c r="G251" s="6">
        <v>2.3722109838472836</v>
      </c>
      <c r="H251" s="6">
        <v>2.1935707992448079</v>
      </c>
      <c r="I251" s="6">
        <v>1.4769625</v>
      </c>
      <c r="J251" s="6">
        <v>6.0427442830920919</v>
      </c>
    </row>
    <row r="252" spans="1:10" x14ac:dyDescent="0.25">
      <c r="A252" t="s">
        <v>47</v>
      </c>
      <c r="B252" t="s">
        <v>0</v>
      </c>
      <c r="C252">
        <v>64</v>
      </c>
      <c r="D252">
        <v>347</v>
      </c>
      <c r="E252" s="2">
        <v>26</v>
      </c>
      <c r="F252" t="s">
        <v>21</v>
      </c>
      <c r="G252" s="6">
        <v>2.2370552716593246</v>
      </c>
      <c r="H252" s="6">
        <v>1.6033739099163895</v>
      </c>
      <c r="I252" s="6">
        <v>1.3292662500000001</v>
      </c>
      <c r="J252" s="6">
        <v>5.1696954315757138</v>
      </c>
    </row>
    <row r="253" spans="1:10" x14ac:dyDescent="0.25">
      <c r="A253" t="s">
        <v>47</v>
      </c>
      <c r="B253" t="s">
        <v>0</v>
      </c>
      <c r="C253">
        <v>64</v>
      </c>
      <c r="D253">
        <v>348</v>
      </c>
      <c r="E253" s="2">
        <v>12</v>
      </c>
      <c r="F253" t="s">
        <v>33</v>
      </c>
      <c r="G253" s="6">
        <v>2.0359916593245226</v>
      </c>
      <c r="H253" s="6">
        <v>1.751261997662501</v>
      </c>
      <c r="I253" s="6">
        <v>1.294158125</v>
      </c>
      <c r="J253" s="6">
        <v>5.0814117819870237</v>
      </c>
    </row>
    <row r="254" spans="1:10" x14ac:dyDescent="0.25">
      <c r="A254" t="s">
        <v>47</v>
      </c>
      <c r="B254" t="s">
        <v>0</v>
      </c>
      <c r="C254">
        <v>64</v>
      </c>
      <c r="D254">
        <v>413</v>
      </c>
      <c r="E254" s="2">
        <v>35</v>
      </c>
      <c r="F254" t="s">
        <v>26</v>
      </c>
      <c r="G254" s="6">
        <v>1.7872603773584903</v>
      </c>
      <c r="H254" s="6">
        <v>1.8820454545454548</v>
      </c>
      <c r="I254" s="6">
        <v>1.5291346203346203</v>
      </c>
      <c r="J254" s="6">
        <v>5.1984404522385654</v>
      </c>
    </row>
    <row r="255" spans="1:10" x14ac:dyDescent="0.25">
      <c r="A255" t="s">
        <v>47</v>
      </c>
      <c r="B255" t="s">
        <v>0</v>
      </c>
      <c r="C255">
        <v>64</v>
      </c>
      <c r="D255">
        <v>414</v>
      </c>
      <c r="E255" s="2">
        <v>23</v>
      </c>
      <c r="F255" t="s">
        <v>36</v>
      </c>
      <c r="G255" s="6">
        <v>1.6704603773584905</v>
      </c>
      <c r="H255" s="6">
        <v>1.7556795454545457</v>
      </c>
      <c r="I255" s="6">
        <v>1.4590115830115831</v>
      </c>
      <c r="J255" s="6">
        <v>4.8851515058246191</v>
      </c>
    </row>
    <row r="256" spans="1:10" x14ac:dyDescent="0.25">
      <c r="A256" t="s">
        <v>47</v>
      </c>
      <c r="B256" t="s">
        <v>0</v>
      </c>
      <c r="C256">
        <v>64</v>
      </c>
      <c r="D256">
        <v>415</v>
      </c>
      <c r="E256" s="2">
        <v>8</v>
      </c>
      <c r="F256" t="s">
        <v>31</v>
      </c>
      <c r="G256" s="6">
        <v>1.8115018867924531</v>
      </c>
      <c r="H256" s="6">
        <v>1.9223750000000002</v>
      </c>
      <c r="I256" s="6">
        <v>1.3617441441441442</v>
      </c>
      <c r="J256" s="6">
        <v>5.0956210309365977</v>
      </c>
    </row>
    <row r="257" spans="1:10" x14ac:dyDescent="0.25">
      <c r="A257" t="s">
        <v>47</v>
      </c>
      <c r="B257" t="s">
        <v>0</v>
      </c>
      <c r="C257">
        <v>64</v>
      </c>
      <c r="D257">
        <v>416</v>
      </c>
      <c r="E257" s="2">
        <v>34</v>
      </c>
      <c r="F257" t="s">
        <v>34</v>
      </c>
      <c r="G257" s="6">
        <v>1.9635622641509436</v>
      </c>
      <c r="H257" s="6">
        <v>2.0003454545454549</v>
      </c>
      <c r="I257" s="6">
        <v>1.4567495495495497</v>
      </c>
      <c r="J257" s="6">
        <v>5.4206572682459484</v>
      </c>
    </row>
    <row r="258" spans="1:10" x14ac:dyDescent="0.25">
      <c r="A258" t="s">
        <v>47</v>
      </c>
      <c r="B258" t="s">
        <v>0</v>
      </c>
      <c r="C258">
        <v>64</v>
      </c>
      <c r="D258">
        <v>417</v>
      </c>
      <c r="E258" s="2">
        <v>12</v>
      </c>
      <c r="F258" t="s">
        <v>33</v>
      </c>
      <c r="G258" s="6">
        <v>1.8027256544502617</v>
      </c>
      <c r="H258" s="6">
        <v>1.8127003154574133</v>
      </c>
      <c r="I258" s="6">
        <v>1.4184165517241378</v>
      </c>
      <c r="J258" s="6">
        <v>5.0338425216318132</v>
      </c>
    </row>
    <row r="259" spans="1:10" x14ac:dyDescent="0.25">
      <c r="A259" t="s">
        <v>47</v>
      </c>
      <c r="B259" t="s">
        <v>0</v>
      </c>
      <c r="C259">
        <v>64</v>
      </c>
      <c r="D259">
        <v>418</v>
      </c>
      <c r="E259" s="2">
        <v>17</v>
      </c>
      <c r="F259" t="s">
        <v>17</v>
      </c>
      <c r="G259" s="6">
        <v>1.6413214659685864</v>
      </c>
      <c r="H259" s="6">
        <v>1.6927230283911672</v>
      </c>
      <c r="I259" s="6">
        <v>1.2416882758620691</v>
      </c>
      <c r="J259" s="6">
        <v>4.5757327702218227</v>
      </c>
    </row>
    <row r="260" spans="1:10" x14ac:dyDescent="0.25">
      <c r="A260" t="s">
        <v>47</v>
      </c>
      <c r="B260" t="s">
        <v>0</v>
      </c>
      <c r="C260">
        <v>64</v>
      </c>
      <c r="D260">
        <v>419</v>
      </c>
      <c r="E260" s="2">
        <v>28</v>
      </c>
      <c r="F260" t="s">
        <v>13</v>
      </c>
      <c r="G260" s="6">
        <v>1.7799926701570681</v>
      </c>
      <c r="H260" s="6">
        <v>1.5910031545741323</v>
      </c>
      <c r="I260" s="6">
        <v>1.4321875862068967</v>
      </c>
      <c r="J260" s="6">
        <v>4.8031834109380966</v>
      </c>
    </row>
    <row r="261" spans="1:10" x14ac:dyDescent="0.25">
      <c r="A261" t="s">
        <v>47</v>
      </c>
      <c r="B261" t="s">
        <v>0</v>
      </c>
      <c r="C261">
        <v>64</v>
      </c>
      <c r="D261">
        <v>420</v>
      </c>
      <c r="E261" s="2">
        <v>25</v>
      </c>
      <c r="F261" t="s">
        <v>8</v>
      </c>
      <c r="G261" s="6">
        <v>1.7345267015706807</v>
      </c>
      <c r="H261" s="6">
        <v>1.7709690851735016</v>
      </c>
      <c r="I261" s="6">
        <v>1.2325075862068966</v>
      </c>
      <c r="J261" s="6">
        <v>4.7380033729510789</v>
      </c>
    </row>
    <row r="262" spans="1:10" x14ac:dyDescent="0.25">
      <c r="A262" t="s">
        <v>47</v>
      </c>
      <c r="B262" t="s">
        <v>0</v>
      </c>
      <c r="C262">
        <v>64</v>
      </c>
      <c r="D262">
        <v>421</v>
      </c>
      <c r="E262" s="2">
        <v>16</v>
      </c>
      <c r="F262" t="s">
        <v>12</v>
      </c>
      <c r="G262" s="6">
        <v>1.5306693670886076</v>
      </c>
      <c r="H262" s="6">
        <v>1.5061262809917355</v>
      </c>
      <c r="I262" s="6">
        <v>1.149404724409449</v>
      </c>
      <c r="J262" s="6">
        <v>4.1862003724897914</v>
      </c>
    </row>
    <row r="263" spans="1:10" x14ac:dyDescent="0.25">
      <c r="A263" t="s">
        <v>47</v>
      </c>
      <c r="B263" t="s">
        <v>0</v>
      </c>
      <c r="C263">
        <v>64</v>
      </c>
      <c r="D263">
        <v>422</v>
      </c>
      <c r="E263" s="2">
        <v>19</v>
      </c>
      <c r="F263" t="s">
        <v>10</v>
      </c>
      <c r="G263" s="6">
        <v>2.0242875949367085</v>
      </c>
      <c r="H263" s="6">
        <v>1.8699371900826447</v>
      </c>
      <c r="I263" s="6">
        <v>1.5127496062992127</v>
      </c>
      <c r="J263" s="6">
        <v>5.4069743913185659</v>
      </c>
    </row>
    <row r="264" spans="1:10" x14ac:dyDescent="0.25">
      <c r="A264" t="s">
        <v>47</v>
      </c>
      <c r="B264" t="s">
        <v>0</v>
      </c>
      <c r="C264">
        <v>64</v>
      </c>
      <c r="D264">
        <v>423</v>
      </c>
      <c r="E264" s="2">
        <v>4</v>
      </c>
      <c r="F264" t="s">
        <v>2</v>
      </c>
      <c r="G264" s="6">
        <v>1.4717974683544304</v>
      </c>
      <c r="H264" s="6">
        <v>1.4221699173553719</v>
      </c>
      <c r="I264" s="6">
        <v>1.318015748031496</v>
      </c>
      <c r="J264" s="6">
        <v>4.2119831337412981</v>
      </c>
    </row>
    <row r="265" spans="1:10" x14ac:dyDescent="0.25">
      <c r="A265" t="s">
        <v>47</v>
      </c>
      <c r="B265" t="s">
        <v>0</v>
      </c>
      <c r="C265">
        <v>64</v>
      </c>
      <c r="D265">
        <v>424</v>
      </c>
      <c r="E265" s="2">
        <v>3</v>
      </c>
      <c r="F265" t="s">
        <v>3</v>
      </c>
      <c r="G265" s="6">
        <v>1.8771078481012655</v>
      </c>
      <c r="H265" s="6">
        <v>1.6511418181818183</v>
      </c>
      <c r="I265" s="6">
        <v>1.3512629921259847</v>
      </c>
      <c r="J265" s="6">
        <v>4.8795126584090678</v>
      </c>
    </row>
    <row r="266" spans="1:10" x14ac:dyDescent="0.25">
      <c r="A266" t="s">
        <v>47</v>
      </c>
      <c r="B266" t="s">
        <v>0</v>
      </c>
      <c r="C266">
        <v>64</v>
      </c>
      <c r="D266">
        <v>425</v>
      </c>
      <c r="E266" s="2">
        <v>15</v>
      </c>
      <c r="F266" t="s">
        <v>20</v>
      </c>
      <c r="G266" s="6">
        <v>1.6312959999999999</v>
      </c>
      <c r="H266" s="6">
        <v>1.7081173978819972</v>
      </c>
      <c r="I266" s="6">
        <v>1.534305882352941</v>
      </c>
      <c r="J266" s="6">
        <v>4.8737192802349378</v>
      </c>
    </row>
    <row r="267" spans="1:10" x14ac:dyDescent="0.25">
      <c r="A267" t="s">
        <v>47</v>
      </c>
      <c r="B267" t="s">
        <v>0</v>
      </c>
      <c r="C267">
        <v>64</v>
      </c>
      <c r="D267">
        <v>426</v>
      </c>
      <c r="E267" s="2">
        <v>9</v>
      </c>
      <c r="F267" t="s">
        <v>19</v>
      </c>
      <c r="G267" s="6">
        <v>1.4836160000000003</v>
      </c>
      <c r="H267" s="6">
        <v>1.5070087745839638</v>
      </c>
      <c r="I267" s="6">
        <v>1.2896000000000001</v>
      </c>
      <c r="J267" s="6">
        <v>4.2802247745839637</v>
      </c>
    </row>
    <row r="268" spans="1:10" x14ac:dyDescent="0.25">
      <c r="A268" t="s">
        <v>47</v>
      </c>
      <c r="B268" t="s">
        <v>0</v>
      </c>
      <c r="C268">
        <v>64</v>
      </c>
      <c r="D268">
        <v>427</v>
      </c>
      <c r="E268" s="2">
        <v>31</v>
      </c>
      <c r="F268" t="s">
        <v>29</v>
      </c>
      <c r="G268" s="6">
        <v>1.6835520000000002</v>
      </c>
      <c r="H268" s="6">
        <v>1.6245397881996975</v>
      </c>
      <c r="I268" s="6">
        <v>1.6224000000000001</v>
      </c>
      <c r="J268" s="6">
        <v>4.9304917881996975</v>
      </c>
    </row>
    <row r="269" spans="1:10" x14ac:dyDescent="0.25">
      <c r="A269" t="s">
        <v>47</v>
      </c>
      <c r="B269" t="s">
        <v>0</v>
      </c>
      <c r="C269">
        <v>64</v>
      </c>
      <c r="D269">
        <v>428</v>
      </c>
      <c r="E269" s="2">
        <v>36</v>
      </c>
      <c r="F269" t="s">
        <v>27</v>
      </c>
      <c r="G269" s="6">
        <v>1.9152960000000001</v>
      </c>
      <c r="H269" s="6">
        <v>1.5070087745839638</v>
      </c>
      <c r="I269" s="6">
        <v>1.4927058823529411</v>
      </c>
      <c r="J269" s="6">
        <v>4.9150106569369045</v>
      </c>
    </row>
    <row r="270" spans="1:10" x14ac:dyDescent="0.25">
      <c r="A270" t="s">
        <v>47</v>
      </c>
      <c r="B270" t="s">
        <v>0</v>
      </c>
      <c r="C270">
        <v>64</v>
      </c>
      <c r="D270">
        <v>429</v>
      </c>
      <c r="E270" s="2">
        <v>24</v>
      </c>
      <c r="F270" t="s">
        <v>32</v>
      </c>
      <c r="G270" s="6">
        <v>2.0694122743682311</v>
      </c>
      <c r="H270" s="6">
        <v>1.6105753424657534</v>
      </c>
      <c r="I270" s="6">
        <v>1.4994174757281553</v>
      </c>
      <c r="J270" s="6">
        <v>5.1794050925621402</v>
      </c>
    </row>
    <row r="271" spans="1:10" x14ac:dyDescent="0.25">
      <c r="A271" t="s">
        <v>47</v>
      </c>
      <c r="B271" t="s">
        <v>0</v>
      </c>
      <c r="C271">
        <v>64</v>
      </c>
      <c r="D271">
        <v>430</v>
      </c>
      <c r="E271" s="2">
        <v>5</v>
      </c>
      <c r="F271" t="s">
        <v>5</v>
      </c>
      <c r="G271" s="6">
        <v>1.780934296028881</v>
      </c>
      <c r="H271" s="6">
        <v>1.6105753424657534</v>
      </c>
      <c r="I271" s="6">
        <v>1.2685547850208045</v>
      </c>
      <c r="J271" s="6">
        <v>4.6600644235154389</v>
      </c>
    </row>
    <row r="272" spans="1:10" x14ac:dyDescent="0.25">
      <c r="A272" t="s">
        <v>47</v>
      </c>
      <c r="B272" t="s">
        <v>0</v>
      </c>
      <c r="C272">
        <v>64</v>
      </c>
      <c r="D272">
        <v>431</v>
      </c>
      <c r="E272" s="2">
        <v>33</v>
      </c>
      <c r="F272" t="s">
        <v>23</v>
      </c>
      <c r="G272" s="6">
        <v>2.0503393501805056</v>
      </c>
      <c r="H272" s="6">
        <v>1.7486246575342466</v>
      </c>
      <c r="I272" s="6">
        <v>1.4613370319001386</v>
      </c>
      <c r="J272" s="6">
        <v>5.260301039614891</v>
      </c>
    </row>
    <row r="273" spans="1:10" x14ac:dyDescent="0.25">
      <c r="A273" t="s">
        <v>47</v>
      </c>
      <c r="B273" t="s">
        <v>0</v>
      </c>
      <c r="C273">
        <v>64</v>
      </c>
      <c r="D273">
        <v>432</v>
      </c>
      <c r="E273" s="2">
        <v>5</v>
      </c>
      <c r="F273" t="s">
        <v>5</v>
      </c>
      <c r="G273" s="6">
        <v>1.6521920577617331</v>
      </c>
      <c r="H273" s="6">
        <v>1.5997479452054795</v>
      </c>
      <c r="I273" s="6">
        <v>1.2685547850208045</v>
      </c>
      <c r="J273" s="6">
        <v>4.5204947879880173</v>
      </c>
    </row>
    <row r="274" spans="1:10" x14ac:dyDescent="0.25">
      <c r="A274" t="s">
        <v>47</v>
      </c>
      <c r="B274" t="s">
        <v>0</v>
      </c>
      <c r="C274">
        <v>64</v>
      </c>
      <c r="D274">
        <v>433</v>
      </c>
      <c r="E274" s="2">
        <v>6</v>
      </c>
      <c r="F274" t="s">
        <v>1</v>
      </c>
      <c r="G274" s="6">
        <v>1.6266777358490565</v>
      </c>
      <c r="H274" s="6">
        <v>1.5455268389662029</v>
      </c>
      <c r="I274" s="6">
        <v>1.2198772946859904</v>
      </c>
      <c r="J274" s="6">
        <v>4.3920818695012498</v>
      </c>
    </row>
    <row r="275" spans="1:10" x14ac:dyDescent="0.25">
      <c r="A275" t="s">
        <v>47</v>
      </c>
      <c r="B275" t="s">
        <v>0</v>
      </c>
      <c r="C275">
        <v>64</v>
      </c>
      <c r="D275">
        <v>434</v>
      </c>
      <c r="E275" s="2">
        <v>22</v>
      </c>
      <c r="F275" t="s">
        <v>7</v>
      </c>
      <c r="G275" s="6">
        <v>1.906077987421384</v>
      </c>
      <c r="H275" s="6">
        <v>1.7605566600397615</v>
      </c>
      <c r="I275" s="6">
        <v>1.4054570048309178</v>
      </c>
      <c r="J275" s="6">
        <v>5.0720916522920634</v>
      </c>
    </row>
    <row r="276" spans="1:10" x14ac:dyDescent="0.25">
      <c r="A276" t="s">
        <v>47</v>
      </c>
      <c r="B276" t="s">
        <v>0</v>
      </c>
      <c r="C276">
        <v>64</v>
      </c>
      <c r="D276">
        <v>435</v>
      </c>
      <c r="E276" s="2">
        <v>11</v>
      </c>
      <c r="F276" t="s">
        <v>15</v>
      </c>
      <c r="G276" s="6">
        <v>1.6906083018867923</v>
      </c>
      <c r="H276" s="6">
        <v>1.6745447316103383</v>
      </c>
      <c r="I276" s="6">
        <v>1.3114299516908212</v>
      </c>
      <c r="J276" s="6">
        <v>4.6765829851879523</v>
      </c>
    </row>
    <row r="277" spans="1:10" x14ac:dyDescent="0.25">
      <c r="A277" t="s">
        <v>47</v>
      </c>
      <c r="B277" t="s">
        <v>0</v>
      </c>
      <c r="C277">
        <v>64</v>
      </c>
      <c r="D277">
        <v>436</v>
      </c>
      <c r="E277" s="2">
        <v>13</v>
      </c>
      <c r="F277" t="s">
        <v>24</v>
      </c>
      <c r="G277" s="6">
        <v>1.9013423899371069</v>
      </c>
      <c r="H277" s="6">
        <v>1.8411928429423461</v>
      </c>
      <c r="I277" s="6">
        <v>1.2718396135265702</v>
      </c>
      <c r="J277" s="6">
        <v>5.0143748464060227</v>
      </c>
    </row>
    <row r="278" spans="1:10" x14ac:dyDescent="0.25">
      <c r="A278" t="s">
        <v>47</v>
      </c>
      <c r="B278" t="s">
        <v>0</v>
      </c>
      <c r="C278">
        <v>64</v>
      </c>
      <c r="D278">
        <v>437</v>
      </c>
      <c r="E278" s="2">
        <v>10</v>
      </c>
      <c r="F278" t="s">
        <v>35</v>
      </c>
      <c r="G278" s="6">
        <v>1.5252055299539171</v>
      </c>
      <c r="H278" s="6">
        <v>1.4807267289719628</v>
      </c>
      <c r="I278" s="6">
        <v>1.2054545454545453</v>
      </c>
      <c r="J278" s="6">
        <v>4.2113868043804255</v>
      </c>
    </row>
    <row r="279" spans="1:10" x14ac:dyDescent="0.25">
      <c r="A279" t="s">
        <v>47</v>
      </c>
      <c r="B279" t="s">
        <v>0</v>
      </c>
      <c r="C279">
        <v>64</v>
      </c>
      <c r="D279">
        <v>438</v>
      </c>
      <c r="E279" s="2">
        <v>26</v>
      </c>
      <c r="F279" t="s">
        <v>21</v>
      </c>
      <c r="G279" s="6">
        <v>2.2951410138248849</v>
      </c>
      <c r="H279" s="6">
        <v>1.7257390654205611</v>
      </c>
      <c r="I279" s="6">
        <v>1.3732727272727272</v>
      </c>
      <c r="J279" s="6">
        <v>5.3941528065181732</v>
      </c>
    </row>
    <row r="280" spans="1:10" x14ac:dyDescent="0.25">
      <c r="A280" t="s">
        <v>47</v>
      </c>
      <c r="B280" t="s">
        <v>0</v>
      </c>
      <c r="C280">
        <v>64</v>
      </c>
      <c r="D280">
        <v>439</v>
      </c>
      <c r="E280" s="2">
        <v>32</v>
      </c>
      <c r="F280" t="s">
        <v>30</v>
      </c>
      <c r="G280" s="6">
        <v>1.6987465437788019</v>
      </c>
      <c r="H280" s="6">
        <v>1.5739379439252339</v>
      </c>
      <c r="I280" s="6">
        <v>1.1038181818181818</v>
      </c>
      <c r="J280" s="6">
        <v>4.3765026695222176</v>
      </c>
    </row>
    <row r="281" spans="1:10" x14ac:dyDescent="0.25">
      <c r="A281" t="s">
        <v>47</v>
      </c>
      <c r="B281" t="s">
        <v>0</v>
      </c>
      <c r="C281">
        <v>64</v>
      </c>
      <c r="D281">
        <v>440</v>
      </c>
      <c r="E281" s="2">
        <v>2</v>
      </c>
      <c r="F281" t="s">
        <v>4</v>
      </c>
      <c r="G281" s="6">
        <v>2.2267023041474658</v>
      </c>
      <c r="H281" s="6">
        <v>1.9041719626168228</v>
      </c>
      <c r="I281" s="6">
        <v>1.4938181818181817</v>
      </c>
      <c r="J281" s="6">
        <v>5.6246924485824703</v>
      </c>
    </row>
    <row r="282" spans="1:10" x14ac:dyDescent="0.25">
      <c r="A282" t="s">
        <v>47</v>
      </c>
      <c r="B282" t="s">
        <v>0</v>
      </c>
      <c r="C282">
        <v>64</v>
      </c>
      <c r="D282">
        <v>441</v>
      </c>
      <c r="E282" s="2">
        <v>27</v>
      </c>
      <c r="F282" t="s">
        <v>14</v>
      </c>
      <c r="G282" s="6">
        <v>1.886317399617591</v>
      </c>
      <c r="H282" s="6">
        <v>1.7797000000000001</v>
      </c>
      <c r="I282" s="6">
        <v>1.3500882352941177</v>
      </c>
      <c r="J282" s="6">
        <v>5.0161056349117086</v>
      </c>
    </row>
    <row r="283" spans="1:10" x14ac:dyDescent="0.25">
      <c r="A283" t="s">
        <v>47</v>
      </c>
      <c r="B283" t="s">
        <v>0</v>
      </c>
      <c r="C283">
        <v>64</v>
      </c>
      <c r="D283">
        <v>442</v>
      </c>
      <c r="E283" s="2">
        <v>14</v>
      </c>
      <c r="F283" t="s">
        <v>25</v>
      </c>
      <c r="G283" s="6">
        <v>2.1033055449330784</v>
      </c>
      <c r="H283" s="6">
        <v>1.6460888888888887</v>
      </c>
      <c r="I283" s="6">
        <v>1.2617647058823529</v>
      </c>
      <c r="J283" s="6">
        <v>5.0111591397043203</v>
      </c>
    </row>
    <row r="284" spans="1:10" x14ac:dyDescent="0.25">
      <c r="A284" t="s">
        <v>47</v>
      </c>
      <c r="B284" t="s">
        <v>0</v>
      </c>
      <c r="C284">
        <v>64</v>
      </c>
      <c r="D284">
        <v>443</v>
      </c>
      <c r="E284" s="2">
        <v>29</v>
      </c>
      <c r="F284" t="s">
        <v>11</v>
      </c>
      <c r="G284" s="6">
        <v>1.920838240917782</v>
      </c>
      <c r="H284" s="6">
        <v>1.8758999999999999</v>
      </c>
      <c r="I284" s="6">
        <v>1.1103529411764705</v>
      </c>
      <c r="J284" s="6">
        <v>4.9070911820942529</v>
      </c>
    </row>
    <row r="285" spans="1:10" x14ac:dyDescent="0.25">
      <c r="A285" t="s">
        <v>47</v>
      </c>
      <c r="B285" t="s">
        <v>0</v>
      </c>
      <c r="C285">
        <v>64</v>
      </c>
      <c r="D285">
        <v>444</v>
      </c>
      <c r="E285" s="2">
        <v>30</v>
      </c>
      <c r="F285" t="s">
        <v>9</v>
      </c>
      <c r="G285" s="6">
        <v>1.9060435946462717</v>
      </c>
      <c r="H285" s="6">
        <v>1.7155666666666665</v>
      </c>
      <c r="I285" s="6">
        <v>1.2718588235294117</v>
      </c>
      <c r="J285" s="6">
        <v>4.8934690848423497</v>
      </c>
    </row>
    <row r="286" spans="1:10" x14ac:dyDescent="0.25">
      <c r="A286" t="s">
        <v>47</v>
      </c>
      <c r="B286" t="s">
        <v>0</v>
      </c>
      <c r="C286">
        <v>64</v>
      </c>
      <c r="D286">
        <v>445</v>
      </c>
      <c r="E286" s="2">
        <v>7</v>
      </c>
      <c r="F286" t="s">
        <v>16</v>
      </c>
      <c r="G286" s="6">
        <v>1.8140012048192771</v>
      </c>
      <c r="H286" s="6">
        <v>1.8699655083655082</v>
      </c>
      <c r="I286" s="6">
        <v>1.2646964856230032</v>
      </c>
      <c r="J286" s="6">
        <v>4.9486631988077887</v>
      </c>
    </row>
    <row r="287" spans="1:10" x14ac:dyDescent="0.25">
      <c r="A287" t="s">
        <v>47</v>
      </c>
      <c r="B287" t="s">
        <v>0</v>
      </c>
      <c r="C287">
        <v>64</v>
      </c>
      <c r="D287">
        <v>446</v>
      </c>
      <c r="E287" s="2">
        <v>21</v>
      </c>
      <c r="F287" t="s">
        <v>22</v>
      </c>
      <c r="G287" s="6">
        <v>2.076522891566265</v>
      </c>
      <c r="H287" s="6">
        <v>2.0487330759330757</v>
      </c>
      <c r="I287" s="6">
        <v>1.4357316293929714</v>
      </c>
      <c r="J287" s="6">
        <v>5.5609875968923115</v>
      </c>
    </row>
    <row r="288" spans="1:10" x14ac:dyDescent="0.25">
      <c r="A288" t="s">
        <v>47</v>
      </c>
      <c r="B288" t="s">
        <v>0</v>
      </c>
      <c r="C288">
        <v>64</v>
      </c>
      <c r="D288">
        <v>447</v>
      </c>
      <c r="E288" s="2">
        <v>1</v>
      </c>
      <c r="F288" t="s">
        <v>6</v>
      </c>
      <c r="G288" s="6">
        <v>1.9346192771084336</v>
      </c>
      <c r="H288" s="6">
        <v>1.8728030888030884</v>
      </c>
      <c r="I288" s="6">
        <v>1.3297380191693291</v>
      </c>
      <c r="J288" s="6">
        <v>5.1371603850808514</v>
      </c>
    </row>
    <row r="289" spans="1:10" x14ac:dyDescent="0.25">
      <c r="A289" t="s">
        <v>47</v>
      </c>
      <c r="B289" t="s">
        <v>0</v>
      </c>
      <c r="C289">
        <v>64</v>
      </c>
      <c r="D289">
        <v>448</v>
      </c>
      <c r="E289" s="2">
        <v>18</v>
      </c>
      <c r="F289" t="s">
        <v>18</v>
      </c>
      <c r="G289" s="6">
        <v>2.1734903614457832</v>
      </c>
      <c r="H289" s="6">
        <v>1.8898285714285712</v>
      </c>
      <c r="I289" s="6">
        <v>1.2815591054313102</v>
      </c>
      <c r="J289" s="6">
        <v>5.3448780383056649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</vt:lpstr>
      <vt:lpstr>calc1</vt:lpstr>
      <vt:lpstr>aurora fix</vt:lpstr>
      <vt:lpstr>ithaca fix</vt:lpstr>
      <vt:lpstr>calc2</vt:lpstr>
      <vt:lpstr>Sheet7</vt:lpstr>
      <vt:lpstr>dm values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Lynn Hansen</dc:creator>
  <cp:lastModifiedBy>Julie Lynn Hansen</cp:lastModifiedBy>
  <dcterms:created xsi:type="dcterms:W3CDTF">2023-01-13T15:11:44Z</dcterms:created>
  <dcterms:modified xsi:type="dcterms:W3CDTF">2023-01-18T14:06:18Z</dcterms:modified>
</cp:coreProperties>
</file>